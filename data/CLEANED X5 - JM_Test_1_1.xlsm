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updateLinks="never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OneDrive - CGIAR\Dev\cleaned-XtRa\data\"/>
    </mc:Choice>
  </mc:AlternateContent>
  <bookViews>
    <workbookView xWindow="0" yWindow="0" windowWidth="20490" windowHeight="8235" firstSheet="18" activeTab="20"/>
  </bookViews>
  <sheets>
    <sheet name="INPUTS" sheetId="1" r:id="rId1"/>
    <sheet name="Land requirements" sheetId="29" r:id="rId2"/>
    <sheet name="Economics " sheetId="35" r:id="rId3"/>
    <sheet name="Productivity" sheetId="20" r:id="rId4"/>
    <sheet name="Soil impacts" sheetId="19" r:id="rId5"/>
    <sheet name="Water Impacts" sheetId="37" r:id="rId6"/>
    <sheet name="GHG emissions" sheetId="7" r:id="rId7"/>
    <sheet name="SUMMARY" sheetId="41" r:id="rId8"/>
    <sheet name="Livestock parameters" sheetId="24" r:id="rId9"/>
    <sheet name="Area Parameters" sheetId="38" r:id="rId10"/>
    <sheet name="Crop parameters" sheetId="23" r:id="rId11"/>
    <sheet name="Feed parameters" sheetId="36" r:id="rId12"/>
    <sheet name="Economics_Parameters" sheetId="33" r:id="rId13"/>
    <sheet name="GHG Parameters" sheetId="9" r:id="rId14"/>
    <sheet name="SOC parameters" sheetId="40" r:id="rId15"/>
    <sheet name="Soil erosion parameters" sheetId="25" r:id="rId16"/>
    <sheet name="Feed" sheetId="30" r:id="rId17"/>
    <sheet name="Land Requirement " sheetId="32" r:id="rId18"/>
    <sheet name="Meat &amp; Milk " sheetId="27" r:id="rId19"/>
    <sheet name="Economics_Payback " sheetId="34" r:id="rId20"/>
    <sheet name="N balance" sheetId="17" r:id="rId21"/>
    <sheet name="Water" sheetId="39" r:id="rId22"/>
    <sheet name="SOC" sheetId="10" r:id="rId23"/>
    <sheet name="Biomass" sheetId="11" r:id="rId24"/>
    <sheet name="Soil erosion" sheetId="18" r:id="rId25"/>
    <sheet name="GHG Ent fermentation" sheetId="2" r:id="rId26"/>
    <sheet name="GHG Manure" sheetId="3" r:id="rId27"/>
    <sheet name="GHG Soil" sheetId="14" r:id="rId28"/>
    <sheet name="GHG Burning" sheetId="16" r:id="rId29"/>
    <sheet name="GHG Off-farm" sheetId="28" r:id="rId30"/>
    <sheet name="GHG Rice" sheetId="13" r:id="rId31"/>
    <sheet name="Trees-Carbon" sheetId="44" r:id="rId32"/>
  </sheets>
  <functionGroups builtInGroupCount="18"/>
  <externalReferences>
    <externalReference r:id="rId33"/>
    <externalReference r:id="rId34"/>
    <externalReference r:id="rId35"/>
    <externalReference r:id="rId36"/>
    <externalReference r:id="rId37"/>
  </externalReferences>
  <definedNames>
    <definedName name="_xlnm._FilterDatabase" localSheetId="10" hidden="1">'Crop parameters'!$A$2:$Q$43</definedName>
    <definedName name="_xlnm._FilterDatabase" localSheetId="12" hidden="1">Economics_Parameters!$B$2:$E$17</definedName>
    <definedName name="_xlnm._FilterDatabase" localSheetId="16" hidden="1">Feed!$B$5:$U$11</definedName>
    <definedName name="animalha">INPUTS!$C$223</definedName>
    <definedName name="Brach">INPUTS!$C$227</definedName>
    <definedName name="Cowimpr">INPUTS!$C$235</definedName>
    <definedName name="Cowloc">INPUTS!$C$234</definedName>
    <definedName name="crop_parameters" localSheetId="11">'[1]Crop parameters'!$A$3:$Q$27</definedName>
    <definedName name="crop_parameters">'Crop parameters'!$A$3:$Q$28</definedName>
    <definedName name="Cstockch">INPUTS!$C$218</definedName>
    <definedName name="erosion">INPUTS!$C$208</definedName>
    <definedName name="erosion__t_yr">INPUTS!$C$208</definedName>
    <definedName name="Feed" localSheetId="11">'Feed parameters'!$A$2:$I$113</definedName>
    <definedName name="Feed">'Feed parameters'!$A$2:$I$52</definedName>
    <definedName name="feedlist" localSheetId="11">'Feed parameters'!$A$3:$A$113</definedName>
    <definedName name="feedlist">'Feed parameters'!$A$3:$A$52</definedName>
    <definedName name="feedparameters_tbl" localSheetId="11">'Feed parameters'!$A$2:$I$113</definedName>
    <definedName name="feedparameters_tbl">'Feed parameters'!$A$2:$I$52</definedName>
    <definedName name="GHGha">INPUTS!$C$217</definedName>
    <definedName name="GHGmeat">INPUTS!$C$215</definedName>
    <definedName name="GHGmilk">INPUTS!$C$214</definedName>
    <definedName name="GHGprotein">INPUTS!$C$216</definedName>
    <definedName name="GHGtot">INPUTS!$C$213</definedName>
    <definedName name="Glir">INPUTS!$C$233</definedName>
    <definedName name="Hyp">INPUTS!$C$228</definedName>
    <definedName name="Land_cover_erosion" localSheetId="11">'[1]Soil erosion parameters'!$B$23:$B$36</definedName>
    <definedName name="Land_cover_erosion">'Soil erosion parameters'!$B$23:$B$36</definedName>
    <definedName name="land_req">INPUTS!$C$209</definedName>
    <definedName name="Landarea">[2]Input!$D$30</definedName>
    <definedName name="Landuse_System_RUSLE">'Soil erosion parameters'!$B$39:$B$41</definedName>
    <definedName name="Maize">INPUTS!$C$229</definedName>
    <definedName name="meat">INPUTS!$C$211</definedName>
    <definedName name="milk">INPUTS!$C$210</definedName>
    <definedName name="milkha">INPUTS!#REF!</definedName>
    <definedName name="MMS">'Crop parameters'!$A$53:$A$55</definedName>
    <definedName name="molasses">INPUTS!$C$232</definedName>
    <definedName name="Nbal">INPUTS!$C$205</definedName>
    <definedName name="Nbalha">INPUTS!$C$205</definedName>
    <definedName name="Nbaltot">INPUTS!$C$204</definedName>
    <definedName name="OrganicAmendment">'GHG Rice'!$A$42:$A$47</definedName>
    <definedName name="Penn">INPUTS!$C$230</definedName>
    <definedName name="_xlnm.Print_Area" localSheetId="13">'GHG Parameters'!#REF!</definedName>
    <definedName name="protein">INPUTS!$C$212</definedName>
    <definedName name="RiceEcosystem">'GHG Rice'!$A$53:$A$60</definedName>
    <definedName name="Slope" localSheetId="11">'[1]Soil erosion parameters'!$F$3:$F$7</definedName>
    <definedName name="Slope">'Soil erosion parameters'!$F$3:$F$7</definedName>
    <definedName name="Slope_adj">'Soil erosion parameters'!$F$3:$F$6</definedName>
    <definedName name="Slope_erosion">'Soil erosion parameters'!$C$3:$C$9</definedName>
    <definedName name="Slope_length" localSheetId="11">'[1]Soil erosion parameters'!$C$44:$H$44</definedName>
    <definedName name="Slope_length">'Soil erosion parameters'!$C$44:$H$44</definedName>
    <definedName name="Soil_class" localSheetId="11">'[1]Soil erosion parameters'!$B$13:$B$20</definedName>
    <definedName name="Soil_class">'Soil erosion parameters'!$B$13:$B$20</definedName>
    <definedName name="soil_leaching">INPUTS!$C$207</definedName>
    <definedName name="soil_mining">INPUTS!$C$206</definedName>
    <definedName name="soilleach">INPUTS!$B$207</definedName>
    <definedName name="soilmining">INPUTS!$B$206</definedName>
    <definedName name="Sorghum">INPUTS!$C$231</definedName>
    <definedName name="USDbalha">INPUTS!#REF!</definedName>
    <definedName name="USDcostha">INPUTS!#REF!</definedName>
    <definedName name="USDvalha">INPUTS!#REF!</definedName>
    <definedName name="wateregime">'GHG Rice'!$A$65:$A$68</definedName>
    <definedName name="waterha">INPUTS!$C$222</definedName>
    <definedName name="watermeat">INPUTS!$C$220</definedName>
    <definedName name="watermilk">INPUTS!$C$219</definedName>
    <definedName name="waterprotein">INPUTS!$C$221</definedName>
  </definedNames>
  <calcPr calcId="162913"/>
</workbook>
</file>

<file path=xl/calcChain.xml><?xml version="1.0" encoding="utf-8"?>
<calcChain xmlns="http://schemas.openxmlformats.org/spreadsheetml/2006/main">
  <c r="J16" i="17" l="1"/>
  <c r="T161" i="30"/>
  <c r="AF10" i="17" l="1"/>
  <c r="R10" i="17"/>
  <c r="D31" i="23"/>
  <c r="D30" i="23"/>
  <c r="D25" i="23"/>
  <c r="D23" i="23"/>
  <c r="D19" i="23"/>
  <c r="G113" i="36"/>
  <c r="F113" i="36"/>
  <c r="D113" i="36"/>
  <c r="G83" i="36"/>
  <c r="F83" i="36"/>
  <c r="D83" i="36"/>
  <c r="F70" i="36"/>
  <c r="G53" i="36"/>
  <c r="F53" i="36"/>
  <c r="D53" i="36"/>
  <c r="G43" i="36"/>
  <c r="F43" i="36"/>
  <c r="D43" i="36"/>
  <c r="G70" i="36"/>
  <c r="D70" i="36"/>
  <c r="G20" i="24" l="1"/>
  <c r="H20" i="24"/>
  <c r="N20" i="24"/>
  <c r="V20" i="24"/>
  <c r="G21" i="24"/>
  <c r="H21" i="24"/>
  <c r="N21" i="24"/>
  <c r="H22" i="24"/>
  <c r="N22" i="24"/>
  <c r="G23" i="24"/>
  <c r="H23" i="24"/>
  <c r="N23" i="24"/>
  <c r="G24" i="24"/>
  <c r="H24" i="24"/>
  <c r="N24" i="24"/>
  <c r="H25" i="24"/>
  <c r="N25" i="24"/>
  <c r="G26" i="24"/>
  <c r="H26" i="24"/>
  <c r="N26" i="24"/>
  <c r="H27" i="24"/>
  <c r="N27" i="24"/>
  <c r="G28" i="24"/>
  <c r="H28" i="24"/>
  <c r="N28" i="24"/>
  <c r="G29" i="24"/>
  <c r="H29" i="24"/>
  <c r="N29" i="24"/>
  <c r="G30" i="24"/>
  <c r="H30" i="24"/>
  <c r="N30" i="24"/>
  <c r="G31" i="24"/>
  <c r="H31" i="24"/>
  <c r="J31" i="24" s="1"/>
  <c r="K31" i="24"/>
  <c r="N31" i="24"/>
  <c r="P31" i="24"/>
  <c r="Q31" i="24"/>
  <c r="H32" i="24"/>
  <c r="N32" i="24"/>
  <c r="H33" i="24"/>
  <c r="N33" i="24"/>
  <c r="G34" i="24"/>
  <c r="H34" i="24"/>
  <c r="N34" i="24"/>
  <c r="H35" i="24"/>
  <c r="K35" i="24"/>
  <c r="N35" i="24"/>
  <c r="P35" i="24"/>
  <c r="Q35" i="24"/>
  <c r="AL35" i="24"/>
  <c r="AM35" i="24"/>
  <c r="H36" i="24"/>
  <c r="N36" i="24"/>
  <c r="AL36" i="24"/>
  <c r="AM36" i="24"/>
  <c r="H37" i="24"/>
  <c r="N37" i="24"/>
  <c r="AL37" i="24"/>
  <c r="AM37" i="24"/>
  <c r="K102" i="30" l="1"/>
  <c r="E102" i="30"/>
  <c r="E101" i="30"/>
  <c r="E100" i="30"/>
  <c r="E99" i="30"/>
  <c r="K95" i="30"/>
  <c r="E95" i="30"/>
  <c r="E94" i="30"/>
  <c r="E92" i="30"/>
  <c r="K88" i="30"/>
  <c r="E88" i="30"/>
  <c r="E87" i="30"/>
  <c r="E85" i="30"/>
  <c r="K81" i="30"/>
  <c r="E81" i="30"/>
  <c r="E80" i="30"/>
  <c r="E78" i="30"/>
  <c r="K74" i="30"/>
  <c r="E74" i="30"/>
  <c r="E73" i="30"/>
  <c r="E71" i="30"/>
  <c r="K67" i="30"/>
  <c r="E67" i="30"/>
  <c r="E66" i="30"/>
  <c r="E64" i="30"/>
  <c r="K60" i="30"/>
  <c r="E60" i="30"/>
  <c r="E59" i="30"/>
  <c r="E57" i="30"/>
  <c r="K53" i="30"/>
  <c r="E53" i="30"/>
  <c r="E52" i="30"/>
  <c r="E50" i="30"/>
  <c r="K46" i="30"/>
  <c r="E46" i="30"/>
  <c r="E45" i="30"/>
  <c r="E43" i="30"/>
  <c r="K39" i="30"/>
  <c r="E39" i="30"/>
  <c r="E38" i="30"/>
  <c r="E36" i="30"/>
  <c r="K32" i="30"/>
  <c r="E32" i="30"/>
  <c r="E31" i="30"/>
  <c r="E29" i="30"/>
  <c r="K25" i="30"/>
  <c r="E25" i="30"/>
  <c r="E24" i="30"/>
  <c r="E22" i="30"/>
  <c r="K18" i="30"/>
  <c r="E18" i="30"/>
  <c r="E17" i="30"/>
  <c r="E15" i="30"/>
  <c r="AC11" i="30"/>
  <c r="W11" i="30"/>
  <c r="T11" i="30"/>
  <c r="N11" i="30"/>
  <c r="K11" i="30"/>
  <c r="E11" i="30"/>
  <c r="W10" i="30"/>
  <c r="N10" i="30"/>
  <c r="E10" i="30"/>
  <c r="W8" i="30"/>
  <c r="N8" i="30"/>
  <c r="E8" i="30"/>
  <c r="D128" i="1"/>
  <c r="D125" i="1"/>
  <c r="G112" i="36"/>
  <c r="F112" i="36"/>
  <c r="D112" i="36"/>
  <c r="G111" i="36"/>
  <c r="F111" i="36"/>
  <c r="D111" i="36"/>
  <c r="G110" i="36"/>
  <c r="F110" i="36"/>
  <c r="D110" i="36"/>
  <c r="G109" i="36"/>
  <c r="F109" i="36"/>
  <c r="D109" i="36"/>
  <c r="G108" i="36"/>
  <c r="F108" i="36"/>
  <c r="D108" i="36"/>
  <c r="G107" i="36"/>
  <c r="F107" i="36"/>
  <c r="D107" i="36"/>
  <c r="G106" i="36"/>
  <c r="F106" i="36"/>
  <c r="D106" i="36"/>
  <c r="G105" i="36"/>
  <c r="F105" i="36"/>
  <c r="D105" i="36"/>
  <c r="G104" i="36"/>
  <c r="F104" i="36"/>
  <c r="D104" i="36"/>
  <c r="G103" i="36"/>
  <c r="F103" i="36"/>
  <c r="D103" i="36"/>
  <c r="G102" i="36"/>
  <c r="F102" i="36"/>
  <c r="D102" i="36"/>
  <c r="G101" i="36"/>
  <c r="F101" i="36"/>
  <c r="D101" i="36"/>
  <c r="G100" i="36"/>
  <c r="F100" i="36"/>
  <c r="D100" i="36"/>
  <c r="G99" i="36"/>
  <c r="F99" i="36"/>
  <c r="D99" i="36"/>
  <c r="G98" i="36"/>
  <c r="F98" i="36"/>
  <c r="D98" i="36"/>
  <c r="G97" i="36"/>
  <c r="F97" i="36"/>
  <c r="D97" i="36"/>
  <c r="G96" i="36"/>
  <c r="F96" i="36"/>
  <c r="D96" i="36"/>
  <c r="G95" i="36"/>
  <c r="F95" i="36"/>
  <c r="D95" i="36"/>
  <c r="G94" i="36"/>
  <c r="F94" i="36"/>
  <c r="D94" i="36"/>
  <c r="G93" i="36"/>
  <c r="F93" i="36"/>
  <c r="D93" i="36"/>
  <c r="G92" i="36"/>
  <c r="F92" i="36"/>
  <c r="D92" i="36"/>
  <c r="G91" i="36"/>
  <c r="F91" i="36"/>
  <c r="D91" i="36"/>
  <c r="G90" i="36"/>
  <c r="F90" i="36"/>
  <c r="D90" i="36"/>
  <c r="G89" i="36"/>
  <c r="F89" i="36"/>
  <c r="D89" i="36"/>
  <c r="G88" i="36"/>
  <c r="F88" i="36"/>
  <c r="D88" i="36"/>
  <c r="G87" i="36"/>
  <c r="F87" i="36"/>
  <c r="D87" i="36"/>
  <c r="G86" i="36"/>
  <c r="F86" i="36"/>
  <c r="D86" i="36"/>
  <c r="G85" i="36"/>
  <c r="F85" i="36"/>
  <c r="D85" i="36"/>
  <c r="G84" i="36"/>
  <c r="F84" i="36"/>
  <c r="D84" i="36"/>
  <c r="G82" i="36"/>
  <c r="F82" i="36"/>
  <c r="D82" i="36"/>
  <c r="G81" i="36"/>
  <c r="F81" i="36"/>
  <c r="D81" i="36"/>
  <c r="G80" i="36"/>
  <c r="F80" i="36"/>
  <c r="D80" i="36"/>
  <c r="G79" i="36"/>
  <c r="F79" i="36"/>
  <c r="D79" i="36"/>
  <c r="G78" i="36"/>
  <c r="F78" i="36"/>
  <c r="D78" i="36"/>
  <c r="G77" i="36"/>
  <c r="F77" i="36"/>
  <c r="D77" i="36"/>
  <c r="G76" i="36"/>
  <c r="F76" i="36"/>
  <c r="D76" i="36"/>
  <c r="G75" i="36"/>
  <c r="F75" i="36"/>
  <c r="D75" i="36"/>
  <c r="G74" i="36"/>
  <c r="F74" i="36"/>
  <c r="D74" i="36"/>
  <c r="G73" i="36"/>
  <c r="F73" i="36"/>
  <c r="D73" i="36"/>
  <c r="G72" i="36"/>
  <c r="F72" i="36"/>
  <c r="D72" i="36"/>
  <c r="G71" i="36"/>
  <c r="F71" i="36"/>
  <c r="D71" i="36"/>
  <c r="G69" i="36"/>
  <c r="F69" i="36"/>
  <c r="D69" i="36"/>
  <c r="G68" i="36"/>
  <c r="F68" i="36"/>
  <c r="D68" i="36"/>
  <c r="G67" i="36"/>
  <c r="F67" i="36"/>
  <c r="D67" i="36"/>
  <c r="G66" i="36"/>
  <c r="F66" i="36"/>
  <c r="D66" i="36"/>
  <c r="G65" i="36"/>
  <c r="F65" i="36"/>
  <c r="D65" i="36"/>
  <c r="G64" i="36"/>
  <c r="F64" i="36"/>
  <c r="D64" i="36"/>
  <c r="G63" i="36"/>
  <c r="F63" i="36"/>
  <c r="D63" i="36"/>
  <c r="G62" i="36"/>
  <c r="F62" i="36"/>
  <c r="D62" i="36"/>
  <c r="G61" i="36"/>
  <c r="F61" i="36"/>
  <c r="D61" i="36"/>
  <c r="G60" i="36"/>
  <c r="F60" i="36"/>
  <c r="D60" i="36"/>
  <c r="G59" i="36"/>
  <c r="F59" i="36"/>
  <c r="D59" i="36"/>
  <c r="G58" i="36"/>
  <c r="F58" i="36"/>
  <c r="D58" i="36"/>
  <c r="G57" i="36"/>
  <c r="F57" i="36"/>
  <c r="D57" i="36"/>
  <c r="G56" i="36"/>
  <c r="F56" i="36"/>
  <c r="D56" i="36"/>
  <c r="G55" i="36"/>
  <c r="F55" i="36"/>
  <c r="D55" i="36"/>
  <c r="G54" i="36"/>
  <c r="F54" i="36"/>
  <c r="D54" i="36"/>
  <c r="G52" i="36"/>
  <c r="F52" i="36"/>
  <c r="D52" i="36"/>
  <c r="G51" i="36"/>
  <c r="K100" i="30" s="1"/>
  <c r="F51" i="36"/>
  <c r="K99" i="30" s="1"/>
  <c r="D51" i="36"/>
  <c r="K101" i="30" s="1"/>
  <c r="G50" i="36"/>
  <c r="F50" i="36"/>
  <c r="D50" i="36"/>
  <c r="G49" i="36"/>
  <c r="F49" i="36"/>
  <c r="D49" i="36"/>
  <c r="G48" i="36"/>
  <c r="F48" i="36"/>
  <c r="D48" i="36"/>
  <c r="G47" i="36"/>
  <c r="F47" i="36"/>
  <c r="D47" i="36"/>
  <c r="G46" i="36"/>
  <c r="F46" i="36"/>
  <c r="D46" i="36"/>
  <c r="G45" i="36"/>
  <c r="F45" i="36"/>
  <c r="D45" i="36"/>
  <c r="G44" i="36"/>
  <c r="F44" i="36"/>
  <c r="D44" i="36"/>
  <c r="G42" i="36"/>
  <c r="F42" i="36"/>
  <c r="D42" i="36"/>
  <c r="G41" i="36"/>
  <c r="F41" i="36"/>
  <c r="D41" i="36"/>
  <c r="G40" i="36"/>
  <c r="F40" i="36"/>
  <c r="D40" i="36"/>
  <c r="G39" i="36"/>
  <c r="F39" i="36"/>
  <c r="D39" i="36"/>
  <c r="G38" i="36"/>
  <c r="F38" i="36"/>
  <c r="D38" i="36"/>
  <c r="G37" i="36"/>
  <c r="F37" i="36"/>
  <c r="D37" i="36"/>
  <c r="G36" i="36"/>
  <c r="F36" i="36"/>
  <c r="D36" i="36"/>
  <c r="G35" i="36"/>
  <c r="F35" i="36"/>
  <c r="D35" i="36"/>
  <c r="G34" i="36"/>
  <c r="F34" i="36"/>
  <c r="D34" i="36"/>
  <c r="G33" i="36"/>
  <c r="F33" i="36"/>
  <c r="D33" i="36"/>
  <c r="G32" i="36"/>
  <c r="F32" i="36"/>
  <c r="D32" i="36"/>
  <c r="G31" i="36"/>
  <c r="F31" i="36"/>
  <c r="D31" i="36"/>
  <c r="G30" i="36"/>
  <c r="F30" i="36"/>
  <c r="D30" i="36"/>
  <c r="G29" i="36"/>
  <c r="F29" i="36"/>
  <c r="D29" i="36"/>
  <c r="G28" i="36"/>
  <c r="F28" i="36"/>
  <c r="D28" i="36"/>
  <c r="G27" i="36"/>
  <c r="F27" i="36"/>
  <c r="D27" i="36"/>
  <c r="G26" i="36"/>
  <c r="F26" i="36"/>
  <c r="D26" i="36"/>
  <c r="G25" i="36"/>
  <c r="F25" i="36"/>
  <c r="D25" i="36"/>
  <c r="G24" i="36"/>
  <c r="F24" i="36"/>
  <c r="D24" i="36"/>
  <c r="G23" i="36"/>
  <c r="F23" i="36"/>
  <c r="D23" i="36"/>
  <c r="G22" i="36"/>
  <c r="F22" i="36"/>
  <c r="D22" i="36"/>
  <c r="G21" i="36"/>
  <c r="F21" i="36"/>
  <c r="D21" i="36"/>
  <c r="D20" i="36"/>
  <c r="G19" i="36"/>
  <c r="F19" i="36"/>
  <c r="D19" i="36"/>
  <c r="G18" i="36"/>
  <c r="F18" i="36"/>
  <c r="D18" i="36"/>
  <c r="G17" i="36"/>
  <c r="F17" i="36"/>
  <c r="D17" i="36"/>
  <c r="G16" i="36"/>
  <c r="F16" i="36"/>
  <c r="D16" i="36"/>
  <c r="G15" i="36"/>
  <c r="F15" i="36"/>
  <c r="D15" i="36"/>
  <c r="G14" i="36"/>
  <c r="F14" i="36"/>
  <c r="D14" i="36"/>
  <c r="G13" i="36"/>
  <c r="F13" i="36"/>
  <c r="D13" i="36"/>
  <c r="G12" i="36"/>
  <c r="E93" i="30" s="1"/>
  <c r="F12" i="36"/>
  <c r="D12" i="36"/>
  <c r="G11" i="36"/>
  <c r="F11" i="36"/>
  <c r="D11" i="36"/>
  <c r="G10" i="36"/>
  <c r="F10" i="36"/>
  <c r="D10" i="36"/>
  <c r="G9" i="36"/>
  <c r="F9" i="36"/>
  <c r="D9" i="36"/>
  <c r="G8" i="36"/>
  <c r="F8" i="36"/>
  <c r="D8" i="36"/>
  <c r="G7" i="36"/>
  <c r="F7" i="36"/>
  <c r="D7" i="36"/>
  <c r="G6" i="36"/>
  <c r="F6" i="36"/>
  <c r="D6" i="36"/>
  <c r="G5" i="36"/>
  <c r="F5" i="36"/>
  <c r="D5" i="36"/>
  <c r="G4" i="36"/>
  <c r="F4" i="36"/>
  <c r="D4" i="36"/>
  <c r="G3" i="36"/>
  <c r="F3" i="36"/>
  <c r="D3" i="36"/>
  <c r="U25" i="23"/>
  <c r="U26" i="23"/>
  <c r="U27" i="23"/>
  <c r="U28" i="23"/>
  <c r="U29" i="23"/>
  <c r="U30" i="23"/>
  <c r="U31" i="23"/>
  <c r="U32" i="23"/>
  <c r="U33" i="23"/>
  <c r="U34" i="23"/>
  <c r="U35" i="23"/>
  <c r="U36" i="23"/>
  <c r="U37" i="23"/>
  <c r="U38" i="23"/>
  <c r="U39" i="23"/>
  <c r="U40" i="23"/>
  <c r="U41" i="23"/>
  <c r="U42" i="23"/>
  <c r="U43" i="23"/>
  <c r="U24" i="23"/>
  <c r="U4" i="23"/>
  <c r="U5" i="23"/>
  <c r="U6" i="23"/>
  <c r="U7" i="23"/>
  <c r="U8" i="23"/>
  <c r="U9" i="23"/>
  <c r="U10" i="23"/>
  <c r="U11" i="23"/>
  <c r="U12" i="23"/>
  <c r="U13" i="23"/>
  <c r="U14" i="23"/>
  <c r="U15" i="23"/>
  <c r="U16" i="23"/>
  <c r="U17" i="23"/>
  <c r="U18" i="23"/>
  <c r="U19" i="23"/>
  <c r="U20" i="23"/>
  <c r="U21" i="23"/>
  <c r="U22" i="23"/>
  <c r="U23" i="23"/>
  <c r="U3" i="23"/>
  <c r="P4" i="23"/>
  <c r="P5" i="23"/>
  <c r="P6" i="23"/>
  <c r="P7" i="23"/>
  <c r="P8" i="23"/>
  <c r="P9" i="23"/>
  <c r="P10" i="23"/>
  <c r="P11" i="23"/>
  <c r="P12" i="23"/>
  <c r="P13" i="23"/>
  <c r="P14" i="23"/>
  <c r="P15" i="23"/>
  <c r="P16" i="23"/>
  <c r="P17" i="23"/>
  <c r="P18" i="23"/>
  <c r="P19" i="23"/>
  <c r="P20" i="23"/>
  <c r="P21" i="23"/>
  <c r="P22" i="23"/>
  <c r="P23" i="23"/>
  <c r="P24" i="23"/>
  <c r="P25" i="23"/>
  <c r="P26" i="23"/>
  <c r="P27" i="23"/>
  <c r="P28" i="23"/>
  <c r="P29" i="23"/>
  <c r="P30" i="23"/>
  <c r="P31" i="23"/>
  <c r="P32" i="23"/>
  <c r="P33" i="23"/>
  <c r="P34" i="23"/>
  <c r="P35" i="23"/>
  <c r="P36" i="23"/>
  <c r="P37" i="23"/>
  <c r="P38" i="23"/>
  <c r="P39" i="23"/>
  <c r="P40" i="23"/>
  <c r="P41" i="23"/>
  <c r="P42" i="23"/>
  <c r="P43" i="23"/>
  <c r="P3" i="23"/>
  <c r="M4" i="23"/>
  <c r="M5" i="23"/>
  <c r="M8" i="23"/>
  <c r="M10" i="23"/>
  <c r="M11" i="23"/>
  <c r="M14" i="23"/>
  <c r="M15" i="23"/>
  <c r="M17" i="23"/>
  <c r="M18" i="23"/>
  <c r="M19" i="23"/>
  <c r="M20" i="23"/>
  <c r="M21" i="23"/>
  <c r="M22" i="23"/>
  <c r="M23" i="23"/>
  <c r="M24" i="23"/>
  <c r="M25" i="23"/>
  <c r="M26" i="23"/>
  <c r="M27" i="23"/>
  <c r="M28" i="23"/>
  <c r="M29" i="23"/>
  <c r="M30" i="23"/>
  <c r="M31" i="23"/>
  <c r="M32" i="23"/>
  <c r="M33" i="23"/>
  <c r="M34" i="23"/>
  <c r="M35" i="23"/>
  <c r="M36" i="23"/>
  <c r="M37" i="23"/>
  <c r="M38" i="23"/>
  <c r="M39" i="23"/>
  <c r="M40" i="23"/>
  <c r="M41" i="23"/>
  <c r="M42" i="23"/>
  <c r="M43" i="23"/>
  <c r="M3" i="23"/>
  <c r="F4" i="23"/>
  <c r="H4" i="23" s="1"/>
  <c r="G4" i="23"/>
  <c r="F5" i="23"/>
  <c r="G5" i="23"/>
  <c r="F6" i="23"/>
  <c r="G6" i="23"/>
  <c r="I6" i="23"/>
  <c r="F7" i="23"/>
  <c r="G7" i="23"/>
  <c r="I7" i="23"/>
  <c r="F8" i="23"/>
  <c r="H8" i="23" s="1"/>
  <c r="G8" i="23"/>
  <c r="F9" i="23"/>
  <c r="G9" i="23"/>
  <c r="F10" i="23"/>
  <c r="G10" i="23"/>
  <c r="I10" i="23"/>
  <c r="F11" i="23"/>
  <c r="G11" i="23"/>
  <c r="I11" i="23"/>
  <c r="F12" i="23"/>
  <c r="H12" i="23" s="1"/>
  <c r="M12" i="23" s="1"/>
  <c r="G12" i="23"/>
  <c r="F13" i="23"/>
  <c r="G13" i="23"/>
  <c r="F14" i="23"/>
  <c r="G14" i="23"/>
  <c r="I14" i="23"/>
  <c r="F15" i="23"/>
  <c r="G15" i="23"/>
  <c r="I15" i="23"/>
  <c r="F16" i="23"/>
  <c r="H16" i="23" s="1"/>
  <c r="M16" i="23" s="1"/>
  <c r="G16" i="23"/>
  <c r="F17" i="23"/>
  <c r="G17" i="23"/>
  <c r="F18" i="23"/>
  <c r="G18" i="23"/>
  <c r="I18" i="23"/>
  <c r="F19" i="23"/>
  <c r="G19" i="23"/>
  <c r="I19" i="23"/>
  <c r="F20" i="23"/>
  <c r="H20" i="23" s="1"/>
  <c r="G20" i="23"/>
  <c r="F21" i="23"/>
  <c r="G21" i="23"/>
  <c r="F22" i="23"/>
  <c r="G22" i="23"/>
  <c r="I22" i="23"/>
  <c r="F23" i="23"/>
  <c r="G23" i="23"/>
  <c r="I23" i="23"/>
  <c r="F24" i="23"/>
  <c r="H24" i="23" s="1"/>
  <c r="G24" i="23"/>
  <c r="F25" i="23"/>
  <c r="G25" i="23"/>
  <c r="F26" i="23"/>
  <c r="G26" i="23"/>
  <c r="I26" i="23"/>
  <c r="F27" i="23"/>
  <c r="G27" i="23"/>
  <c r="I27" i="23"/>
  <c r="F28" i="23"/>
  <c r="H28" i="23" s="1"/>
  <c r="G28" i="23"/>
  <c r="F29" i="23"/>
  <c r="G29" i="23"/>
  <c r="F30" i="23"/>
  <c r="G30" i="23"/>
  <c r="F31" i="23"/>
  <c r="G31" i="23"/>
  <c r="I31" i="23"/>
  <c r="F32" i="23"/>
  <c r="H32" i="23" s="1"/>
  <c r="G32" i="23"/>
  <c r="F33" i="23"/>
  <c r="G33" i="23"/>
  <c r="F34" i="23"/>
  <c r="G34" i="23"/>
  <c r="I34" i="23"/>
  <c r="F35" i="23"/>
  <c r="G35" i="23"/>
  <c r="I35" i="23"/>
  <c r="F36" i="23"/>
  <c r="H36" i="23" s="1"/>
  <c r="G36" i="23"/>
  <c r="F37" i="23"/>
  <c r="G37" i="23"/>
  <c r="F38" i="23"/>
  <c r="G38" i="23"/>
  <c r="I38" i="23"/>
  <c r="F39" i="23"/>
  <c r="G39" i="23"/>
  <c r="I39" i="23"/>
  <c r="F40" i="23"/>
  <c r="H40" i="23" s="1"/>
  <c r="G40" i="23"/>
  <c r="F41" i="23"/>
  <c r="G41" i="23"/>
  <c r="F42" i="23"/>
  <c r="G42" i="23"/>
  <c r="I42" i="23"/>
  <c r="F43" i="23"/>
  <c r="G43" i="23"/>
  <c r="I43" i="23"/>
  <c r="I3" i="23"/>
  <c r="G3" i="23"/>
  <c r="F3" i="23"/>
  <c r="H3" i="23" s="1"/>
  <c r="D4" i="23"/>
  <c r="I4" i="23" s="1"/>
  <c r="D5" i="23"/>
  <c r="I5" i="23" s="1"/>
  <c r="D6" i="23"/>
  <c r="D7" i="23"/>
  <c r="D8" i="23"/>
  <c r="I8" i="23" s="1"/>
  <c r="D9" i="23"/>
  <c r="I9" i="23" s="1"/>
  <c r="D10" i="23"/>
  <c r="D11" i="23"/>
  <c r="D12" i="23"/>
  <c r="I12" i="23" s="1"/>
  <c r="D13" i="23"/>
  <c r="I13" i="23" s="1"/>
  <c r="D14" i="23"/>
  <c r="D15" i="23"/>
  <c r="D16" i="23"/>
  <c r="I16" i="23" s="1"/>
  <c r="D17" i="23"/>
  <c r="I17" i="23" s="1"/>
  <c r="D18" i="23"/>
  <c r="D20" i="23"/>
  <c r="I20" i="23" s="1"/>
  <c r="D21" i="23"/>
  <c r="I21" i="23" s="1"/>
  <c r="D22" i="23"/>
  <c r="D24" i="23"/>
  <c r="I24" i="23" s="1"/>
  <c r="I25" i="23"/>
  <c r="D26" i="23"/>
  <c r="D27" i="23"/>
  <c r="D28" i="23"/>
  <c r="I28" i="23" s="1"/>
  <c r="D29" i="23"/>
  <c r="I29" i="23" s="1"/>
  <c r="I30" i="23"/>
  <c r="D32" i="23"/>
  <c r="I32" i="23" s="1"/>
  <c r="D33" i="23"/>
  <c r="I33" i="23" s="1"/>
  <c r="D34" i="23"/>
  <c r="D35" i="23"/>
  <c r="D36" i="23"/>
  <c r="I36" i="23" s="1"/>
  <c r="D37" i="23"/>
  <c r="I37" i="23" s="1"/>
  <c r="D38" i="23"/>
  <c r="D39" i="23"/>
  <c r="D40" i="23"/>
  <c r="I40" i="23" s="1"/>
  <c r="D41" i="23"/>
  <c r="I41" i="23" s="1"/>
  <c r="D42" i="23"/>
  <c r="D43" i="23"/>
  <c r="D3" i="23"/>
  <c r="H41" i="23" l="1"/>
  <c r="H33" i="23"/>
  <c r="H25" i="23"/>
  <c r="H21" i="23"/>
  <c r="H17" i="23"/>
  <c r="H13" i="23"/>
  <c r="M13" i="23" s="1"/>
  <c r="H9" i="23"/>
  <c r="M9" i="23" s="1"/>
  <c r="H5" i="23"/>
  <c r="H37" i="23"/>
  <c r="H29" i="23"/>
  <c r="H42" i="23"/>
  <c r="H38" i="23"/>
  <c r="H34" i="23"/>
  <c r="H30" i="23"/>
  <c r="H26" i="23"/>
  <c r="H22" i="23"/>
  <c r="H18" i="23"/>
  <c r="H14" i="23"/>
  <c r="H10" i="23"/>
  <c r="H6" i="23"/>
  <c r="M6" i="23" s="1"/>
  <c r="H43" i="23"/>
  <c r="H39" i="23"/>
  <c r="H35" i="23"/>
  <c r="H31" i="23"/>
  <c r="H27" i="23"/>
  <c r="H23" i="23"/>
  <c r="H19" i="23"/>
  <c r="H15" i="23"/>
  <c r="H11" i="23"/>
  <c r="H7" i="23"/>
  <c r="M7" i="23" s="1"/>
  <c r="W9" i="30"/>
  <c r="E30" i="30"/>
  <c r="E9" i="30"/>
  <c r="N9" i="30"/>
  <c r="E16" i="30"/>
  <c r="E23" i="30"/>
  <c r="E37" i="30"/>
  <c r="E44" i="30"/>
  <c r="E51" i="30"/>
  <c r="E58" i="30"/>
  <c r="E65" i="30"/>
  <c r="E72" i="30"/>
  <c r="E79" i="30"/>
  <c r="E86" i="30"/>
  <c r="K8" i="30"/>
  <c r="T8" i="30"/>
  <c r="AC8" i="30"/>
  <c r="K9" i="30"/>
  <c r="T9" i="30"/>
  <c r="AC9" i="30"/>
  <c r="K10" i="30"/>
  <c r="T10" i="30"/>
  <c r="AC10" i="30"/>
  <c r="K15" i="30"/>
  <c r="K16" i="30"/>
  <c r="K17" i="30"/>
  <c r="K22" i="30"/>
  <c r="K23" i="30"/>
  <c r="K24" i="30"/>
  <c r="K29" i="30"/>
  <c r="K30" i="30"/>
  <c r="K31" i="30"/>
  <c r="K36" i="30"/>
  <c r="K37" i="30"/>
  <c r="K38" i="30"/>
  <c r="K43" i="30"/>
  <c r="K44" i="30"/>
  <c r="K45" i="30"/>
  <c r="K50" i="30"/>
  <c r="K51" i="30"/>
  <c r="K52" i="30"/>
  <c r="K57" i="30"/>
  <c r="K58" i="30"/>
  <c r="K59" i="30"/>
  <c r="K64" i="30"/>
  <c r="K65" i="30"/>
  <c r="K66" i="30"/>
  <c r="K71" i="30"/>
  <c r="K72" i="30"/>
  <c r="K73" i="30"/>
  <c r="K78" i="30"/>
  <c r="K79" i="30"/>
  <c r="K80" i="30"/>
  <c r="K85" i="30"/>
  <c r="K86" i="30"/>
  <c r="K87" i="30"/>
  <c r="K92" i="30"/>
  <c r="K93" i="30"/>
  <c r="K94" i="30"/>
  <c r="B11" i="34"/>
  <c r="B12" i="34"/>
  <c r="B13" i="34"/>
  <c r="B14" i="34"/>
  <c r="B15" i="34"/>
  <c r="B16" i="34"/>
  <c r="B17" i="34"/>
  <c r="D22" i="3"/>
  <c r="D21" i="3"/>
  <c r="D20" i="3"/>
  <c r="D19" i="3"/>
  <c r="D18" i="3"/>
  <c r="D17" i="3"/>
  <c r="D16" i="3"/>
  <c r="D71" i="3"/>
  <c r="D70" i="3"/>
  <c r="D69" i="3"/>
  <c r="D68" i="3"/>
  <c r="D67" i="3"/>
  <c r="D66" i="3"/>
  <c r="D65" i="3"/>
  <c r="D21" i="2"/>
  <c r="D20" i="2"/>
  <c r="D19" i="2"/>
  <c r="D18" i="2"/>
  <c r="D17" i="2"/>
  <c r="D16" i="2"/>
  <c r="D15" i="2"/>
  <c r="AM15" i="24" l="1"/>
  <c r="AL15" i="24"/>
  <c r="AK15" i="24"/>
  <c r="AJ15" i="24"/>
  <c r="AI15" i="24"/>
  <c r="AH15" i="24"/>
  <c r="AG15" i="24"/>
  <c r="R16" i="27" s="1"/>
  <c r="AM14" i="24"/>
  <c r="AL14" i="24"/>
  <c r="AK14" i="24"/>
  <c r="AJ14" i="24"/>
  <c r="AI14" i="24"/>
  <c r="AH14" i="24"/>
  <c r="AG14" i="24"/>
  <c r="R15" i="27" s="1"/>
  <c r="AM13" i="24"/>
  <c r="AL13" i="24"/>
  <c r="AK13" i="24"/>
  <c r="AJ13" i="24"/>
  <c r="AI13" i="24"/>
  <c r="AH13" i="24"/>
  <c r="AG13" i="24"/>
  <c r="R14" i="27" s="1"/>
  <c r="AM12" i="24"/>
  <c r="AL12" i="24"/>
  <c r="AK12" i="24"/>
  <c r="AJ12" i="24"/>
  <c r="AI12" i="24"/>
  <c r="AH12" i="24"/>
  <c r="AG12" i="24"/>
  <c r="R13" i="27" s="1"/>
  <c r="AM11" i="24"/>
  <c r="AL11" i="24"/>
  <c r="AK11" i="24"/>
  <c r="AJ11" i="24"/>
  <c r="AI11" i="24"/>
  <c r="AH11" i="24"/>
  <c r="AG11" i="24"/>
  <c r="R12" i="27" s="1"/>
  <c r="AM10" i="24"/>
  <c r="AL10" i="24"/>
  <c r="AK10" i="24"/>
  <c r="AJ10" i="24"/>
  <c r="AI10" i="24"/>
  <c r="AH10" i="24"/>
  <c r="AG10" i="24"/>
  <c r="R11" i="27" s="1"/>
  <c r="AM9" i="24"/>
  <c r="AL9" i="24"/>
  <c r="AK9" i="24"/>
  <c r="AJ9" i="24"/>
  <c r="AI9" i="24"/>
  <c r="AH9" i="24"/>
  <c r="AG9" i="24"/>
  <c r="R10" i="27" s="1"/>
  <c r="AF15" i="24"/>
  <c r="Q16" i="27" s="1"/>
  <c r="AE15" i="24"/>
  <c r="AD15" i="24"/>
  <c r="AC15" i="24"/>
  <c r="AB15" i="24"/>
  <c r="AA15" i="24"/>
  <c r="Z15" i="24"/>
  <c r="Y15" i="24"/>
  <c r="X15" i="24"/>
  <c r="W15" i="24"/>
  <c r="V15" i="24"/>
  <c r="U15" i="24"/>
  <c r="T15" i="24"/>
  <c r="S15" i="24"/>
  <c r="R15" i="24"/>
  <c r="Q15" i="24"/>
  <c r="P15" i="24"/>
  <c r="O15" i="24"/>
  <c r="N15" i="24"/>
  <c r="M15" i="24"/>
  <c r="L15" i="24"/>
  <c r="K15" i="24"/>
  <c r="J15" i="24"/>
  <c r="I15" i="24"/>
  <c r="H15" i="24"/>
  <c r="G15" i="24"/>
  <c r="F15" i="24"/>
  <c r="E15" i="24"/>
  <c r="D15" i="24"/>
  <c r="C15" i="24"/>
  <c r="B15" i="24"/>
  <c r="AF14" i="24"/>
  <c r="Q15" i="27" s="1"/>
  <c r="AE14" i="24"/>
  <c r="AD14" i="24"/>
  <c r="AC14" i="24"/>
  <c r="AB14" i="24"/>
  <c r="AA14" i="24"/>
  <c r="Z14" i="24"/>
  <c r="Y14" i="24"/>
  <c r="X14" i="24"/>
  <c r="W14" i="24"/>
  <c r="V14" i="24"/>
  <c r="U14" i="24"/>
  <c r="T14" i="24"/>
  <c r="S14" i="24"/>
  <c r="R14" i="24"/>
  <c r="Q14" i="24"/>
  <c r="P14" i="24"/>
  <c r="O14" i="24"/>
  <c r="N14" i="24"/>
  <c r="M14" i="24"/>
  <c r="L14" i="24"/>
  <c r="K14" i="24"/>
  <c r="J14" i="24"/>
  <c r="I14" i="24"/>
  <c r="H14" i="24"/>
  <c r="G14" i="24"/>
  <c r="F14" i="24"/>
  <c r="E14" i="24"/>
  <c r="D14" i="24"/>
  <c r="C14" i="24"/>
  <c r="B14" i="24"/>
  <c r="AF13" i="24"/>
  <c r="Q14" i="27" s="1"/>
  <c r="AE13" i="24"/>
  <c r="AD13" i="24"/>
  <c r="AC13" i="24"/>
  <c r="AB13" i="24"/>
  <c r="AA13" i="24"/>
  <c r="Z13" i="24"/>
  <c r="Y13" i="24"/>
  <c r="X13" i="24"/>
  <c r="W13" i="24"/>
  <c r="V13" i="24"/>
  <c r="U13" i="24"/>
  <c r="T13" i="24"/>
  <c r="S13" i="24"/>
  <c r="R13" i="24"/>
  <c r="Q13" i="24"/>
  <c r="P13" i="24"/>
  <c r="O13" i="24"/>
  <c r="N13" i="24"/>
  <c r="M13" i="24"/>
  <c r="L13" i="24"/>
  <c r="K13" i="24"/>
  <c r="J13" i="24"/>
  <c r="I13" i="24"/>
  <c r="H13" i="24"/>
  <c r="G13" i="24"/>
  <c r="F13" i="24"/>
  <c r="E13" i="24"/>
  <c r="D13" i="24"/>
  <c r="C13" i="24"/>
  <c r="B13" i="24"/>
  <c r="AF12" i="24"/>
  <c r="Q13" i="27" s="1"/>
  <c r="AE12" i="24"/>
  <c r="AD12" i="24"/>
  <c r="AC12" i="24"/>
  <c r="AB12" i="24"/>
  <c r="AA12" i="24"/>
  <c r="Z12" i="24"/>
  <c r="Y12" i="24"/>
  <c r="X12" i="24"/>
  <c r="W12" i="24"/>
  <c r="V12" i="24"/>
  <c r="U12" i="24"/>
  <c r="T12" i="24"/>
  <c r="S12" i="24"/>
  <c r="R12" i="24"/>
  <c r="Q12" i="24"/>
  <c r="P12" i="24"/>
  <c r="O12" i="24"/>
  <c r="N12" i="24"/>
  <c r="M12" i="24"/>
  <c r="L12" i="24"/>
  <c r="K12" i="24"/>
  <c r="J12" i="24"/>
  <c r="I12" i="24"/>
  <c r="H12" i="24"/>
  <c r="G12" i="24"/>
  <c r="F12" i="24"/>
  <c r="E12" i="24"/>
  <c r="D12" i="24"/>
  <c r="C12" i="24"/>
  <c r="B12" i="24"/>
  <c r="AF11" i="24"/>
  <c r="Q12" i="27" s="1"/>
  <c r="AE11" i="24"/>
  <c r="AD11" i="24"/>
  <c r="AC11" i="24"/>
  <c r="AB11" i="24"/>
  <c r="AA11" i="24"/>
  <c r="Z11" i="24"/>
  <c r="Y11" i="24"/>
  <c r="X11" i="24"/>
  <c r="W11" i="24"/>
  <c r="V11" i="24"/>
  <c r="U11" i="24"/>
  <c r="T11" i="24"/>
  <c r="S11" i="24"/>
  <c r="R11" i="24"/>
  <c r="Q11" i="24"/>
  <c r="P11" i="24"/>
  <c r="O11" i="24"/>
  <c r="N11" i="24"/>
  <c r="M11" i="24"/>
  <c r="L11" i="24"/>
  <c r="K11" i="24"/>
  <c r="J11" i="24"/>
  <c r="I11" i="24"/>
  <c r="H11" i="24"/>
  <c r="G11" i="24"/>
  <c r="F11" i="24"/>
  <c r="E11" i="24"/>
  <c r="D11" i="24"/>
  <c r="C11" i="24"/>
  <c r="B11" i="24"/>
  <c r="AF10" i="24"/>
  <c r="Q11" i="27" s="1"/>
  <c r="AE10" i="24"/>
  <c r="AD10" i="24"/>
  <c r="AC10" i="24"/>
  <c r="AB10" i="24"/>
  <c r="AA10" i="24"/>
  <c r="Z10" i="24"/>
  <c r="Y10" i="24"/>
  <c r="X10" i="24"/>
  <c r="W10" i="24"/>
  <c r="V10" i="24"/>
  <c r="U10" i="24"/>
  <c r="T10" i="24"/>
  <c r="S10" i="24"/>
  <c r="R10" i="24"/>
  <c r="Q10" i="24"/>
  <c r="P10" i="24"/>
  <c r="O10" i="24"/>
  <c r="N10" i="24"/>
  <c r="M10" i="24"/>
  <c r="L10" i="24"/>
  <c r="K10" i="24"/>
  <c r="J10" i="24"/>
  <c r="I10" i="24"/>
  <c r="H10" i="24"/>
  <c r="G10" i="24"/>
  <c r="F10" i="24"/>
  <c r="E10" i="24"/>
  <c r="D10" i="24"/>
  <c r="C10" i="24"/>
  <c r="B10" i="24"/>
  <c r="AF9" i="24"/>
  <c r="Q10" i="27" s="1"/>
  <c r="AE9" i="24"/>
  <c r="AD9" i="24"/>
  <c r="AC9" i="24"/>
  <c r="AB9" i="24"/>
  <c r="AA9" i="24"/>
  <c r="Z9" i="24"/>
  <c r="Y9" i="24"/>
  <c r="X9" i="24"/>
  <c r="W9" i="24"/>
  <c r="V9" i="24"/>
  <c r="U9" i="24"/>
  <c r="T9" i="24"/>
  <c r="S9" i="24"/>
  <c r="R9" i="24"/>
  <c r="Q9" i="24"/>
  <c r="P9" i="24"/>
  <c r="O9" i="24"/>
  <c r="N9" i="24"/>
  <c r="M9" i="24"/>
  <c r="L9" i="24"/>
  <c r="K9" i="24"/>
  <c r="J9" i="24"/>
  <c r="I9" i="24"/>
  <c r="H9" i="24"/>
  <c r="G9" i="24"/>
  <c r="F9" i="24"/>
  <c r="E9" i="24"/>
  <c r="D9" i="24"/>
  <c r="C9" i="24"/>
  <c r="B9" i="24"/>
  <c r="AM34" i="24"/>
  <c r="AM33" i="24"/>
  <c r="AM32" i="24"/>
  <c r="AM31" i="24"/>
  <c r="AM30" i="24"/>
  <c r="AM29" i="24"/>
  <c r="AM28" i="24"/>
  <c r="AM27" i="24"/>
  <c r="AM26" i="24"/>
  <c r="AM25" i="24"/>
  <c r="AM24" i="24"/>
  <c r="AM23" i="24"/>
  <c r="AM22" i="24"/>
  <c r="AM21" i="24"/>
  <c r="AM20" i="24"/>
  <c r="AL34" i="24"/>
  <c r="AL33" i="24"/>
  <c r="AL32" i="24"/>
  <c r="AL31" i="24"/>
  <c r="AL30" i="24"/>
  <c r="AL29" i="24"/>
  <c r="AL28" i="24"/>
  <c r="AL27" i="24"/>
  <c r="AL26" i="24"/>
  <c r="AL25" i="24"/>
  <c r="AL24" i="24"/>
  <c r="AL23" i="24"/>
  <c r="AL22" i="24"/>
  <c r="AL21" i="24"/>
  <c r="AL20" i="24"/>
  <c r="B157" i="1" l="1"/>
  <c r="E157" i="1" s="1"/>
  <c r="B156" i="1"/>
  <c r="E156" i="1" s="1"/>
  <c r="B155" i="1"/>
  <c r="D155" i="1" s="1"/>
  <c r="B154" i="1"/>
  <c r="E154" i="1" s="1"/>
  <c r="B153" i="1"/>
  <c r="E153" i="1" s="1"/>
  <c r="D153" i="1"/>
  <c r="C175" i="1"/>
  <c r="C174" i="1"/>
  <c r="C173" i="1"/>
  <c r="C172" i="1"/>
  <c r="C171" i="1"/>
  <c r="C170" i="1"/>
  <c r="C169" i="1"/>
  <c r="C164" i="1"/>
  <c r="C163" i="1"/>
  <c r="C162" i="1"/>
  <c r="C157" i="1"/>
  <c r="C156" i="1"/>
  <c r="C155" i="1"/>
  <c r="C154" i="1"/>
  <c r="C153" i="1"/>
  <c r="C152" i="1"/>
  <c r="C151" i="1"/>
  <c r="C146" i="1"/>
  <c r="C145" i="1"/>
  <c r="C144" i="1"/>
  <c r="E155" i="1" l="1"/>
  <c r="D157" i="1"/>
  <c r="D154" i="1"/>
  <c r="D156" i="1"/>
  <c r="I11" i="29" l="1"/>
  <c r="C234" i="1" l="1"/>
  <c r="C235" i="1"/>
  <c r="C54" i="34"/>
  <c r="B54" i="34"/>
  <c r="A54" i="34"/>
  <c r="C53" i="34"/>
  <c r="B53" i="34"/>
  <c r="A53" i="34"/>
  <c r="C52" i="34"/>
  <c r="B52" i="34"/>
  <c r="A52" i="34"/>
  <c r="A38" i="34"/>
  <c r="A37" i="34"/>
  <c r="A36" i="34"/>
  <c r="A35" i="34"/>
  <c r="A34" i="34"/>
  <c r="A33" i="34"/>
  <c r="A32" i="34"/>
  <c r="A31" i="34"/>
  <c r="A30" i="34"/>
  <c r="A29" i="34"/>
  <c r="A28" i="34"/>
  <c r="A27" i="34"/>
  <c r="A26" i="34"/>
  <c r="A25" i="34"/>
  <c r="A17" i="34"/>
  <c r="A15" i="34"/>
  <c r="A13" i="34"/>
  <c r="A11" i="34"/>
  <c r="B10" i="34"/>
  <c r="E10" i="34" s="1"/>
  <c r="A10" i="34"/>
  <c r="B9" i="34"/>
  <c r="E9" i="34" s="1"/>
  <c r="A9" i="34"/>
  <c r="B8" i="34"/>
  <c r="A8" i="34"/>
  <c r="H24" i="44"/>
  <c r="C24" i="44"/>
  <c r="H23" i="44"/>
  <c r="C23" i="44"/>
  <c r="H22" i="44"/>
  <c r="C22" i="44"/>
  <c r="H21" i="44"/>
  <c r="C21" i="44"/>
  <c r="H20" i="44"/>
  <c r="C20" i="44"/>
  <c r="H19" i="44"/>
  <c r="C19" i="44"/>
  <c r="H18" i="44"/>
  <c r="C18" i="44"/>
  <c r="H17" i="44"/>
  <c r="C17" i="44"/>
  <c r="H16" i="44"/>
  <c r="C16" i="44"/>
  <c r="H15" i="44"/>
  <c r="C15" i="44"/>
  <c r="H14" i="44"/>
  <c r="G14" i="44"/>
  <c r="G15" i="44" s="1"/>
  <c r="C14" i="44"/>
  <c r="B14" i="44"/>
  <c r="E14" i="44" s="1"/>
  <c r="J13" i="44"/>
  <c r="H13" i="44"/>
  <c r="I13" i="44" s="1"/>
  <c r="E13" i="44"/>
  <c r="C13" i="44"/>
  <c r="D13" i="44" s="1"/>
  <c r="I8" i="44"/>
  <c r="H8" i="44"/>
  <c r="J8" i="44" s="1"/>
  <c r="D8" i="44"/>
  <c r="I7" i="44"/>
  <c r="H7" i="44"/>
  <c r="J7" i="44" s="1"/>
  <c r="D7" i="44"/>
  <c r="I6" i="44"/>
  <c r="H6" i="44"/>
  <c r="J6" i="44" s="1"/>
  <c r="D6" i="44"/>
  <c r="I5" i="44"/>
  <c r="H5" i="44"/>
  <c r="J5" i="44" s="1"/>
  <c r="D5" i="44"/>
  <c r="I4" i="44"/>
  <c r="H4" i="44"/>
  <c r="J4" i="44" s="1"/>
  <c r="K4" i="44" s="1"/>
  <c r="L4" i="44" s="1"/>
  <c r="N4" i="44" s="1"/>
  <c r="D4" i="44"/>
  <c r="I3" i="44"/>
  <c r="H3" i="44"/>
  <c r="J3" i="44" s="1"/>
  <c r="I2" i="44"/>
  <c r="H2" i="44"/>
  <c r="J2" i="44" s="1"/>
  <c r="D2" i="44"/>
  <c r="H12" i="11"/>
  <c r="H11" i="11"/>
  <c r="E18" i="10"/>
  <c r="K18" i="10" s="1"/>
  <c r="E17" i="10"/>
  <c r="K17" i="10" s="1"/>
  <c r="H15" i="10"/>
  <c r="J14" i="10"/>
  <c r="I14" i="10"/>
  <c r="H14" i="10"/>
  <c r="J13" i="10"/>
  <c r="I13" i="10"/>
  <c r="H13" i="10"/>
  <c r="H4" i="10"/>
  <c r="H6" i="10" s="1"/>
  <c r="F13" i="10" s="1"/>
  <c r="G30" i="10"/>
  <c r="G29" i="10"/>
  <c r="G28" i="10"/>
  <c r="K15" i="10"/>
  <c r="E3" i="10"/>
  <c r="H4" i="39"/>
  <c r="G4" i="39"/>
  <c r="F4" i="39"/>
  <c r="E4" i="39"/>
  <c r="D4" i="39"/>
  <c r="C4" i="39"/>
  <c r="B4" i="39"/>
  <c r="BE15" i="17"/>
  <c r="AV15" i="17"/>
  <c r="AD15" i="17"/>
  <c r="AA15" i="17"/>
  <c r="Z15" i="17"/>
  <c r="W15" i="17"/>
  <c r="V15" i="17"/>
  <c r="Q15" i="17"/>
  <c r="P15" i="17"/>
  <c r="F15" i="17"/>
  <c r="BE14" i="17"/>
  <c r="AD14" i="17"/>
  <c r="AA14" i="17"/>
  <c r="Z14" i="17"/>
  <c r="W14" i="17"/>
  <c r="V14" i="17"/>
  <c r="Q14" i="17"/>
  <c r="P14" i="17"/>
  <c r="F14" i="17"/>
  <c r="BE13" i="17"/>
  <c r="AD13" i="17"/>
  <c r="AA13" i="17"/>
  <c r="Z13" i="17"/>
  <c r="W13" i="17"/>
  <c r="V13" i="17"/>
  <c r="Q13" i="17"/>
  <c r="P13" i="17"/>
  <c r="F13" i="17"/>
  <c r="BE12" i="17"/>
  <c r="AD12" i="17"/>
  <c r="AA12" i="17"/>
  <c r="Z12" i="17"/>
  <c r="W12" i="17"/>
  <c r="X12" i="17" s="1"/>
  <c r="Y12" i="17" s="1"/>
  <c r="V12" i="17"/>
  <c r="Q12" i="17"/>
  <c r="P12" i="17"/>
  <c r="F12" i="17"/>
  <c r="BE11" i="17"/>
  <c r="AD11" i="17"/>
  <c r="AA11" i="17"/>
  <c r="Z11" i="17"/>
  <c r="W11" i="17"/>
  <c r="V11" i="17"/>
  <c r="Q11" i="17"/>
  <c r="P11" i="17"/>
  <c r="F11" i="17"/>
  <c r="BE10" i="17"/>
  <c r="AV10" i="17"/>
  <c r="AD10" i="17"/>
  <c r="AA10" i="17"/>
  <c r="Z10" i="17"/>
  <c r="W10" i="17"/>
  <c r="V10" i="17"/>
  <c r="Q10" i="17"/>
  <c r="P10" i="17"/>
  <c r="F10" i="17"/>
  <c r="BE9" i="17"/>
  <c r="AD9" i="17"/>
  <c r="AA9" i="17"/>
  <c r="Z9" i="17"/>
  <c r="W9" i="17"/>
  <c r="V9" i="17"/>
  <c r="Q9" i="17"/>
  <c r="P9" i="17"/>
  <c r="F9" i="17"/>
  <c r="CZ19" i="32"/>
  <c r="CX19" i="32"/>
  <c r="CJ19" i="32"/>
  <c r="CO19" i="32" s="1"/>
  <c r="CH19" i="32"/>
  <c r="BT19" i="32"/>
  <c r="BR19" i="32"/>
  <c r="BD19" i="32"/>
  <c r="BH19" i="32" s="1"/>
  <c r="BB19" i="32"/>
  <c r="AN19" i="32"/>
  <c r="AL19" i="32"/>
  <c r="X19" i="32"/>
  <c r="AB19" i="32" s="1"/>
  <c r="V19" i="32"/>
  <c r="H19" i="32"/>
  <c r="F19" i="32"/>
  <c r="CZ18" i="32"/>
  <c r="CX18" i="32"/>
  <c r="CJ18" i="32"/>
  <c r="CH18" i="32"/>
  <c r="BT18" i="32"/>
  <c r="BR18" i="32"/>
  <c r="BD18" i="32"/>
  <c r="BB18" i="32"/>
  <c r="AN18" i="32"/>
  <c r="AL18" i="32"/>
  <c r="X18" i="32"/>
  <c r="V18" i="32"/>
  <c r="H18" i="32"/>
  <c r="F18" i="32"/>
  <c r="CZ17" i="32"/>
  <c r="DE17" i="32" s="1"/>
  <c r="CX17" i="32"/>
  <c r="CJ17" i="32"/>
  <c r="CP17" i="32" s="1"/>
  <c r="CH17" i="32"/>
  <c r="BT17" i="32"/>
  <c r="BR17" i="32"/>
  <c r="BD17" i="32"/>
  <c r="BB17" i="32"/>
  <c r="AN17" i="32"/>
  <c r="AL17" i="32"/>
  <c r="X17" i="32"/>
  <c r="AD17" i="32" s="1"/>
  <c r="V17" i="32"/>
  <c r="H17" i="32"/>
  <c r="N17" i="32" s="1"/>
  <c r="F17" i="32"/>
  <c r="CZ16" i="32"/>
  <c r="CX16" i="32"/>
  <c r="CJ16" i="32"/>
  <c r="CH16" i="32"/>
  <c r="BT16" i="32"/>
  <c r="BR16" i="32"/>
  <c r="BD16" i="32"/>
  <c r="BB16" i="32"/>
  <c r="AN16" i="32"/>
  <c r="AL16" i="32"/>
  <c r="X16" i="32"/>
  <c r="V16" i="32"/>
  <c r="H16" i="32"/>
  <c r="M16" i="32" s="1"/>
  <c r="F16" i="32"/>
  <c r="CZ15" i="32"/>
  <c r="DD15" i="32" s="1"/>
  <c r="CX15" i="32"/>
  <c r="CJ15" i="32"/>
  <c r="CP15" i="32" s="1"/>
  <c r="CH15" i="32"/>
  <c r="BT15" i="32"/>
  <c r="BR15" i="32"/>
  <c r="BD15" i="32"/>
  <c r="BJ15" i="32" s="1"/>
  <c r="BB15" i="32"/>
  <c r="AN15" i="32"/>
  <c r="AL15" i="32"/>
  <c r="X15" i="32"/>
  <c r="AD15" i="32" s="1"/>
  <c r="V15" i="32"/>
  <c r="H15" i="32"/>
  <c r="L15" i="32" s="1"/>
  <c r="F15" i="32"/>
  <c r="CZ14" i="32"/>
  <c r="DE14" i="32" s="1"/>
  <c r="CX14" i="32"/>
  <c r="CJ14" i="32"/>
  <c r="CH14" i="32"/>
  <c r="BT14" i="32"/>
  <c r="BR14" i="32"/>
  <c r="BD14" i="32"/>
  <c r="BB14" i="32"/>
  <c r="AN14" i="32"/>
  <c r="AL14" i="32"/>
  <c r="X14" i="32"/>
  <c r="AC14" i="32" s="1"/>
  <c r="V14" i="32"/>
  <c r="H14" i="32"/>
  <c r="M14" i="32" s="1"/>
  <c r="F14" i="32"/>
  <c r="CZ13" i="32"/>
  <c r="DE13" i="32" s="1"/>
  <c r="CX13" i="32"/>
  <c r="CJ13" i="32"/>
  <c r="CP13" i="32" s="1"/>
  <c r="CH13" i="32"/>
  <c r="BT13" i="32"/>
  <c r="BR13" i="32"/>
  <c r="BD13" i="32"/>
  <c r="BJ13" i="32" s="1"/>
  <c r="BB13" i="32"/>
  <c r="AN13" i="32"/>
  <c r="AL13" i="32"/>
  <c r="X13" i="32"/>
  <c r="AD13" i="32" s="1"/>
  <c r="V13" i="32"/>
  <c r="H13" i="32"/>
  <c r="N13" i="32" s="1"/>
  <c r="F13" i="32"/>
  <c r="CZ12" i="32"/>
  <c r="CX12" i="32"/>
  <c r="CJ12" i="32"/>
  <c r="CH12" i="32"/>
  <c r="BT12" i="32"/>
  <c r="BR12" i="32"/>
  <c r="BD12" i="32"/>
  <c r="BH12" i="32" s="1"/>
  <c r="BB12" i="32"/>
  <c r="AN12" i="32"/>
  <c r="AL12" i="32"/>
  <c r="X12" i="32"/>
  <c r="V12" i="32"/>
  <c r="H12" i="32"/>
  <c r="N12" i="32" s="1"/>
  <c r="F12" i="32"/>
  <c r="CZ11" i="32"/>
  <c r="DD11" i="32" s="1"/>
  <c r="CX11" i="32"/>
  <c r="CJ11" i="32"/>
  <c r="CP11" i="32" s="1"/>
  <c r="CH11" i="32"/>
  <c r="BT11" i="32"/>
  <c r="BR11" i="32"/>
  <c r="BD11" i="32"/>
  <c r="BH11" i="32" s="1"/>
  <c r="BB11" i="32"/>
  <c r="AN11" i="32"/>
  <c r="AL11" i="32"/>
  <c r="X11" i="32"/>
  <c r="AC11" i="32" s="1"/>
  <c r="V11" i="32"/>
  <c r="H11" i="32"/>
  <c r="N11" i="32" s="1"/>
  <c r="F11" i="32"/>
  <c r="CZ10" i="32"/>
  <c r="CX10" i="32"/>
  <c r="CJ10" i="32"/>
  <c r="CH10" i="32"/>
  <c r="BT10" i="32"/>
  <c r="BR10" i="32"/>
  <c r="BD10" i="32"/>
  <c r="BB10" i="32"/>
  <c r="AN10" i="32"/>
  <c r="AL10" i="32"/>
  <c r="X10" i="32"/>
  <c r="V10" i="32"/>
  <c r="H10" i="32"/>
  <c r="F10" i="32"/>
  <c r="CZ9" i="32"/>
  <c r="DD9" i="32" s="1"/>
  <c r="CX9" i="32"/>
  <c r="CJ9" i="32"/>
  <c r="CH9" i="32"/>
  <c r="BT9" i="32"/>
  <c r="BR9" i="32"/>
  <c r="BD9" i="32"/>
  <c r="BB9" i="32"/>
  <c r="AN9" i="32"/>
  <c r="AL9" i="32"/>
  <c r="X9" i="32"/>
  <c r="AC9" i="32" s="1"/>
  <c r="V9" i="32"/>
  <c r="H9" i="32"/>
  <c r="M9" i="32" s="1"/>
  <c r="F9" i="32"/>
  <c r="CZ8" i="32"/>
  <c r="DE8" i="32" s="1"/>
  <c r="CX8" i="32"/>
  <c r="CJ8" i="32"/>
  <c r="CO8" i="32" s="1"/>
  <c r="CH8" i="32"/>
  <c r="BT8" i="32"/>
  <c r="BR8" i="32"/>
  <c r="BD8" i="32"/>
  <c r="BB8" i="32"/>
  <c r="AN8" i="32"/>
  <c r="AL8" i="32"/>
  <c r="X8" i="32"/>
  <c r="AC8" i="32" s="1"/>
  <c r="V8" i="32"/>
  <c r="H8" i="32"/>
  <c r="M8" i="32" s="1"/>
  <c r="F8" i="32"/>
  <c r="CZ7" i="32"/>
  <c r="CX7" i="32"/>
  <c r="CJ7" i="32"/>
  <c r="CO7" i="32" s="1"/>
  <c r="CH7" i="32"/>
  <c r="BT7" i="32"/>
  <c r="BR7" i="32"/>
  <c r="BD7" i="32"/>
  <c r="BB7" i="32"/>
  <c r="AN7" i="32"/>
  <c r="AL7" i="32"/>
  <c r="X7" i="32"/>
  <c r="V7" i="32"/>
  <c r="H7" i="32"/>
  <c r="M7" i="32" s="1"/>
  <c r="F7" i="32"/>
  <c r="CZ6" i="32"/>
  <c r="DE6" i="32" s="1"/>
  <c r="CX6" i="32"/>
  <c r="CJ6" i="32"/>
  <c r="CP6" i="32" s="1"/>
  <c r="CH6" i="32"/>
  <c r="BT6" i="32"/>
  <c r="BR6" i="32"/>
  <c r="BD6" i="32"/>
  <c r="BI6" i="32" s="1"/>
  <c r="BB6" i="32"/>
  <c r="AN6" i="32"/>
  <c r="AL6" i="32"/>
  <c r="X6" i="32"/>
  <c r="AC6" i="32" s="1"/>
  <c r="V6" i="32"/>
  <c r="H6" i="32"/>
  <c r="M6" i="32" s="1"/>
  <c r="F6" i="32"/>
  <c r="CT4" i="32"/>
  <c r="CD4" i="32"/>
  <c r="BN4" i="32"/>
  <c r="AX4" i="32"/>
  <c r="AH4" i="32"/>
  <c r="R4" i="32"/>
  <c r="B4" i="32"/>
  <c r="DD19" i="32"/>
  <c r="L19" i="32"/>
  <c r="DF17" i="32"/>
  <c r="AB17" i="32"/>
  <c r="AC16" i="32"/>
  <c r="DE15" i="32"/>
  <c r="BJ12" i="32"/>
  <c r="DF11" i="32"/>
  <c r="DE11" i="32"/>
  <c r="DE10" i="32"/>
  <c r="BI8" i="32"/>
  <c r="N174" i="30"/>
  <c r="M174" i="30"/>
  <c r="L174" i="30"/>
  <c r="K174" i="30"/>
  <c r="J174" i="30"/>
  <c r="I174" i="30"/>
  <c r="H174" i="30"/>
  <c r="G174" i="30"/>
  <c r="A174" i="30"/>
  <c r="N173" i="30"/>
  <c r="M173" i="30"/>
  <c r="L173" i="30"/>
  <c r="K173" i="30"/>
  <c r="J173" i="30"/>
  <c r="I173" i="30"/>
  <c r="H173" i="30"/>
  <c r="G173" i="30"/>
  <c r="A173" i="30"/>
  <c r="N172" i="30"/>
  <c r="M172" i="30"/>
  <c r="L172" i="30"/>
  <c r="K172" i="30"/>
  <c r="J172" i="30"/>
  <c r="I172" i="30"/>
  <c r="H172" i="30"/>
  <c r="G172" i="30"/>
  <c r="A172" i="30"/>
  <c r="N171" i="30"/>
  <c r="M171" i="30"/>
  <c r="L171" i="30"/>
  <c r="K171" i="30"/>
  <c r="J171" i="30"/>
  <c r="I171" i="30"/>
  <c r="H171" i="30"/>
  <c r="G171" i="30"/>
  <c r="A171" i="30"/>
  <c r="N170" i="30"/>
  <c r="M170" i="30"/>
  <c r="L170" i="30"/>
  <c r="K170" i="30"/>
  <c r="J170" i="30"/>
  <c r="I170" i="30"/>
  <c r="H170" i="30"/>
  <c r="G170" i="30"/>
  <c r="A170" i="30"/>
  <c r="N169" i="30"/>
  <c r="M169" i="30"/>
  <c r="L169" i="30"/>
  <c r="K169" i="30"/>
  <c r="J169" i="30"/>
  <c r="I169" i="30"/>
  <c r="H169" i="30"/>
  <c r="G169" i="30"/>
  <c r="A169" i="30"/>
  <c r="N168" i="30"/>
  <c r="M168" i="30"/>
  <c r="L168" i="30"/>
  <c r="K168" i="30"/>
  <c r="J168" i="30"/>
  <c r="I168" i="30"/>
  <c r="H168" i="30"/>
  <c r="G168" i="30"/>
  <c r="A168" i="30"/>
  <c r="N167" i="30"/>
  <c r="M167" i="30"/>
  <c r="L167" i="30"/>
  <c r="K167" i="30"/>
  <c r="J167" i="30"/>
  <c r="I167" i="30"/>
  <c r="H167" i="30"/>
  <c r="G167" i="30"/>
  <c r="A167" i="30"/>
  <c r="N166" i="30"/>
  <c r="M166" i="30"/>
  <c r="L166" i="30"/>
  <c r="K166" i="30"/>
  <c r="J166" i="30"/>
  <c r="I166" i="30"/>
  <c r="H166" i="30"/>
  <c r="G166" i="30"/>
  <c r="A166" i="30"/>
  <c r="N165" i="30"/>
  <c r="M165" i="30"/>
  <c r="L165" i="30"/>
  <c r="K165" i="30"/>
  <c r="J165" i="30"/>
  <c r="I165" i="30"/>
  <c r="H165" i="30"/>
  <c r="G165" i="30"/>
  <c r="A165" i="30"/>
  <c r="N164" i="30"/>
  <c r="M164" i="30"/>
  <c r="L164" i="30"/>
  <c r="K164" i="30"/>
  <c r="J164" i="30"/>
  <c r="I164" i="30"/>
  <c r="H164" i="30"/>
  <c r="G164" i="30"/>
  <c r="A164" i="30"/>
  <c r="N163" i="30"/>
  <c r="M163" i="30"/>
  <c r="L163" i="30"/>
  <c r="K163" i="30"/>
  <c r="J163" i="30"/>
  <c r="I163" i="30"/>
  <c r="H163" i="30"/>
  <c r="G163" i="30"/>
  <c r="A163" i="30"/>
  <c r="N162" i="30"/>
  <c r="M162" i="30"/>
  <c r="K162" i="30"/>
  <c r="J162" i="30"/>
  <c r="I162" i="30"/>
  <c r="H162" i="30"/>
  <c r="G162" i="30"/>
  <c r="A162" i="30"/>
  <c r="N161" i="30"/>
  <c r="M161" i="30"/>
  <c r="L161" i="30"/>
  <c r="K161" i="30"/>
  <c r="J161" i="30"/>
  <c r="I161" i="30"/>
  <c r="H161" i="30"/>
  <c r="G161" i="30"/>
  <c r="A161" i="30"/>
  <c r="A156" i="30"/>
  <c r="A155" i="30"/>
  <c r="A154" i="30"/>
  <c r="A153" i="30"/>
  <c r="A152" i="30"/>
  <c r="A151" i="30"/>
  <c r="A150" i="30"/>
  <c r="A149" i="30"/>
  <c r="A148" i="30"/>
  <c r="A147" i="30"/>
  <c r="A146" i="30"/>
  <c r="A145" i="30"/>
  <c r="A144" i="30"/>
  <c r="A143" i="30"/>
  <c r="A139" i="30"/>
  <c r="A138" i="30"/>
  <c r="A137" i="30"/>
  <c r="A119" i="30" s="1"/>
  <c r="A136" i="30"/>
  <c r="A118" i="30" s="1"/>
  <c r="A135" i="30"/>
  <c r="A134" i="30"/>
  <c r="A133" i="30"/>
  <c r="A132" i="30"/>
  <c r="A114" i="30" s="1"/>
  <c r="A131" i="30"/>
  <c r="A113" i="30" s="1"/>
  <c r="A130" i="30"/>
  <c r="A112" i="30" s="1"/>
  <c r="A129" i="30"/>
  <c r="A111" i="30" s="1"/>
  <c r="A128" i="30"/>
  <c r="A110" i="30" s="1"/>
  <c r="A127" i="30"/>
  <c r="A126" i="30"/>
  <c r="AC98" i="30"/>
  <c r="AB98" i="30"/>
  <c r="AA98" i="30"/>
  <c r="Z98" i="30"/>
  <c r="Y98" i="30"/>
  <c r="X98" i="30"/>
  <c r="W98" i="30"/>
  <c r="T98" i="30"/>
  <c r="S98" i="30"/>
  <c r="R98" i="30"/>
  <c r="Q98" i="30"/>
  <c r="P98" i="30"/>
  <c r="O98" i="30"/>
  <c r="N98" i="30"/>
  <c r="K98" i="30"/>
  <c r="J98" i="30"/>
  <c r="I98" i="30"/>
  <c r="H98" i="30"/>
  <c r="G98" i="30"/>
  <c r="F98" i="30"/>
  <c r="E98" i="30"/>
  <c r="B98" i="30"/>
  <c r="AC91" i="30"/>
  <c r="AB91" i="30"/>
  <c r="AA91" i="30"/>
  <c r="Z91" i="30"/>
  <c r="Y91" i="30"/>
  <c r="X91" i="30"/>
  <c r="W91" i="30"/>
  <c r="T91" i="30"/>
  <c r="S91" i="30"/>
  <c r="R91" i="30"/>
  <c r="Q91" i="30"/>
  <c r="P91" i="30"/>
  <c r="O91" i="30"/>
  <c r="N91" i="30"/>
  <c r="K91" i="30"/>
  <c r="J91" i="30"/>
  <c r="I91" i="30"/>
  <c r="H91" i="30"/>
  <c r="G91" i="30"/>
  <c r="F91" i="30"/>
  <c r="E91" i="30"/>
  <c r="B91" i="30"/>
  <c r="AC84" i="30"/>
  <c r="AB84" i="30"/>
  <c r="AA84" i="30"/>
  <c r="Z84" i="30"/>
  <c r="Y84" i="30"/>
  <c r="X84" i="30"/>
  <c r="W84" i="30"/>
  <c r="T84" i="30"/>
  <c r="S84" i="30"/>
  <c r="R84" i="30"/>
  <c r="Q84" i="30"/>
  <c r="P84" i="30"/>
  <c r="O84" i="30"/>
  <c r="N84" i="30"/>
  <c r="K84" i="30"/>
  <c r="J84" i="30"/>
  <c r="I84" i="30"/>
  <c r="H84" i="30"/>
  <c r="G84" i="30"/>
  <c r="F84" i="30"/>
  <c r="E84" i="30"/>
  <c r="B84" i="30"/>
  <c r="AC77" i="30"/>
  <c r="AB77" i="30"/>
  <c r="AA77" i="30"/>
  <c r="Z77" i="30"/>
  <c r="Y77" i="30"/>
  <c r="X77" i="30"/>
  <c r="W77" i="30"/>
  <c r="T77" i="30"/>
  <c r="S77" i="30"/>
  <c r="R77" i="30"/>
  <c r="Q77" i="30"/>
  <c r="P77" i="30"/>
  <c r="O77" i="30"/>
  <c r="N77" i="30"/>
  <c r="K77" i="30"/>
  <c r="J77" i="30"/>
  <c r="I77" i="30"/>
  <c r="H77" i="30"/>
  <c r="G77" i="30"/>
  <c r="F77" i="30"/>
  <c r="E77" i="30"/>
  <c r="B77" i="30"/>
  <c r="AC70" i="30"/>
  <c r="AB70" i="30"/>
  <c r="AA70" i="30"/>
  <c r="Z70" i="30"/>
  <c r="Y70" i="30"/>
  <c r="X70" i="30"/>
  <c r="W70" i="30"/>
  <c r="T70" i="30"/>
  <c r="S70" i="30"/>
  <c r="R70" i="30"/>
  <c r="Q70" i="30"/>
  <c r="P70" i="30"/>
  <c r="O70" i="30"/>
  <c r="N70" i="30"/>
  <c r="K70" i="30"/>
  <c r="J70" i="30"/>
  <c r="I70" i="30"/>
  <c r="H70" i="30"/>
  <c r="G70" i="30"/>
  <c r="F70" i="30"/>
  <c r="E70" i="30"/>
  <c r="B70" i="30"/>
  <c r="AC63" i="30"/>
  <c r="AB63" i="30"/>
  <c r="AA63" i="30"/>
  <c r="Z63" i="30"/>
  <c r="Y63" i="30"/>
  <c r="X63" i="30"/>
  <c r="W63" i="30"/>
  <c r="T63" i="30"/>
  <c r="S63" i="30"/>
  <c r="R63" i="30"/>
  <c r="Q63" i="30"/>
  <c r="P63" i="30"/>
  <c r="O63" i="30"/>
  <c r="N63" i="30"/>
  <c r="K63" i="30"/>
  <c r="J63" i="30"/>
  <c r="I63" i="30"/>
  <c r="H63" i="30"/>
  <c r="G63" i="30"/>
  <c r="F63" i="30"/>
  <c r="E63" i="30"/>
  <c r="B63" i="30"/>
  <c r="AC56" i="30"/>
  <c r="AB56" i="30"/>
  <c r="AA56" i="30"/>
  <c r="Z56" i="30"/>
  <c r="Y56" i="30"/>
  <c r="X56" i="30"/>
  <c r="W56" i="30"/>
  <c r="T56" i="30"/>
  <c r="S56" i="30"/>
  <c r="R56" i="30"/>
  <c r="Q56" i="30"/>
  <c r="P56" i="30"/>
  <c r="O56" i="30"/>
  <c r="N56" i="30"/>
  <c r="K56" i="30"/>
  <c r="J56" i="30"/>
  <c r="I56" i="30"/>
  <c r="H56" i="30"/>
  <c r="G56" i="30"/>
  <c r="F56" i="30"/>
  <c r="E56" i="30"/>
  <c r="B56" i="30"/>
  <c r="AC49" i="30"/>
  <c r="AB49" i="30"/>
  <c r="AA49" i="30"/>
  <c r="Z49" i="30"/>
  <c r="Y49" i="30"/>
  <c r="X49" i="30"/>
  <c r="W49" i="30"/>
  <c r="T49" i="30"/>
  <c r="S49" i="30"/>
  <c r="R49" i="30"/>
  <c r="Q49" i="30"/>
  <c r="P49" i="30"/>
  <c r="O49" i="30"/>
  <c r="N49" i="30"/>
  <c r="K49" i="30"/>
  <c r="J49" i="30"/>
  <c r="I49" i="30"/>
  <c r="H49" i="30"/>
  <c r="G49" i="30"/>
  <c r="F49" i="30"/>
  <c r="E49" i="30"/>
  <c r="B49" i="30"/>
  <c r="AC42" i="30"/>
  <c r="AB42" i="30"/>
  <c r="AA42" i="30"/>
  <c r="Z42" i="30"/>
  <c r="Y42" i="30"/>
  <c r="X42" i="30"/>
  <c r="W42" i="30"/>
  <c r="T42" i="30"/>
  <c r="S42" i="30"/>
  <c r="R42" i="30"/>
  <c r="Q42" i="30"/>
  <c r="P42" i="30"/>
  <c r="O42" i="30"/>
  <c r="N42" i="30"/>
  <c r="K42" i="30"/>
  <c r="J42" i="30"/>
  <c r="I42" i="30"/>
  <c r="H42" i="30"/>
  <c r="G42" i="30"/>
  <c r="F42" i="30"/>
  <c r="E42" i="30"/>
  <c r="B42" i="30"/>
  <c r="AC35" i="30"/>
  <c r="AB35" i="30"/>
  <c r="AA35" i="30"/>
  <c r="Z35" i="30"/>
  <c r="Y35" i="30"/>
  <c r="X35" i="30"/>
  <c r="W35" i="30"/>
  <c r="T35" i="30"/>
  <c r="S35" i="30"/>
  <c r="R35" i="30"/>
  <c r="Q35" i="30"/>
  <c r="P35" i="30"/>
  <c r="O35" i="30"/>
  <c r="N35" i="30"/>
  <c r="K35" i="30"/>
  <c r="J35" i="30"/>
  <c r="I35" i="30"/>
  <c r="H35" i="30"/>
  <c r="G35" i="30"/>
  <c r="F35" i="30"/>
  <c r="E35" i="30"/>
  <c r="B35" i="30"/>
  <c r="AC28" i="30"/>
  <c r="AB28" i="30"/>
  <c r="AA28" i="30"/>
  <c r="Z28" i="30"/>
  <c r="Y28" i="30"/>
  <c r="X28" i="30"/>
  <c r="W28" i="30"/>
  <c r="T28" i="30"/>
  <c r="S28" i="30"/>
  <c r="R28" i="30"/>
  <c r="Q28" i="30"/>
  <c r="P28" i="30"/>
  <c r="O28" i="30"/>
  <c r="N28" i="30"/>
  <c r="K28" i="30"/>
  <c r="J28" i="30"/>
  <c r="I28" i="30"/>
  <c r="H28" i="30"/>
  <c r="G28" i="30"/>
  <c r="F28" i="30"/>
  <c r="E28" i="30"/>
  <c r="B28" i="30"/>
  <c r="AC21" i="30"/>
  <c r="AB21" i="30"/>
  <c r="AA21" i="30"/>
  <c r="Z21" i="30"/>
  <c r="Y21" i="30"/>
  <c r="X21" i="30"/>
  <c r="W21" i="30"/>
  <c r="T21" i="30"/>
  <c r="S21" i="30"/>
  <c r="R21" i="30"/>
  <c r="Q21" i="30"/>
  <c r="P21" i="30"/>
  <c r="O21" i="30"/>
  <c r="N21" i="30"/>
  <c r="K21" i="30"/>
  <c r="J21" i="30"/>
  <c r="I21" i="30"/>
  <c r="H21" i="30"/>
  <c r="G21" i="30"/>
  <c r="F21" i="30"/>
  <c r="E21" i="30"/>
  <c r="B21" i="30"/>
  <c r="AC14" i="30"/>
  <c r="AB14" i="30"/>
  <c r="AA14" i="30"/>
  <c r="Z14" i="30"/>
  <c r="Y14" i="30"/>
  <c r="X14" i="30"/>
  <c r="W14" i="30"/>
  <c r="T14" i="30"/>
  <c r="S14" i="30"/>
  <c r="R14" i="30"/>
  <c r="Q14" i="30"/>
  <c r="P14" i="30"/>
  <c r="O14" i="30"/>
  <c r="K14" i="30"/>
  <c r="J14" i="30"/>
  <c r="I14" i="30"/>
  <c r="H14" i="30"/>
  <c r="G14" i="30"/>
  <c r="F14" i="30"/>
  <c r="E14" i="30"/>
  <c r="B14" i="30"/>
  <c r="AC7" i="30"/>
  <c r="AB7" i="30"/>
  <c r="AA7" i="30"/>
  <c r="Z7" i="30"/>
  <c r="Y7" i="30"/>
  <c r="X7" i="30"/>
  <c r="W7" i="30"/>
  <c r="T7" i="30"/>
  <c r="S7" i="30"/>
  <c r="R7" i="30"/>
  <c r="Q7" i="30"/>
  <c r="P7" i="30"/>
  <c r="O7" i="30"/>
  <c r="N7" i="30"/>
  <c r="K7" i="30"/>
  <c r="J7" i="30"/>
  <c r="I7" i="30"/>
  <c r="H7" i="30"/>
  <c r="G7" i="30"/>
  <c r="F7" i="30"/>
  <c r="E7" i="30"/>
  <c r="B7" i="30"/>
  <c r="K6" i="30"/>
  <c r="J6" i="30"/>
  <c r="I6" i="30"/>
  <c r="H6" i="30"/>
  <c r="G6" i="30"/>
  <c r="F6" i="30"/>
  <c r="E6" i="30"/>
  <c r="Y3" i="30"/>
  <c r="P3" i="30"/>
  <c r="G3" i="30"/>
  <c r="T175" i="30"/>
  <c r="J9" i="17" s="1"/>
  <c r="A117" i="30"/>
  <c r="A116" i="30"/>
  <c r="A109" i="30"/>
  <c r="A108" i="30"/>
  <c r="A121" i="30"/>
  <c r="A120" i="30"/>
  <c r="A115" i="30"/>
  <c r="J88" i="30" l="1"/>
  <c r="J60" i="30"/>
  <c r="J32" i="30"/>
  <c r="J101" i="30"/>
  <c r="J74" i="30"/>
  <c r="J46" i="30"/>
  <c r="J18" i="30"/>
  <c r="J100" i="30"/>
  <c r="J95" i="30"/>
  <c r="J39" i="30"/>
  <c r="J102" i="30"/>
  <c r="J81" i="30"/>
  <c r="J53" i="30"/>
  <c r="J25" i="30"/>
  <c r="J11" i="30"/>
  <c r="J67" i="30"/>
  <c r="J99" i="30"/>
  <c r="J8" i="30"/>
  <c r="J22" i="30"/>
  <c r="J30" i="30"/>
  <c r="J38" i="30"/>
  <c r="J50" i="30"/>
  <c r="J58" i="30"/>
  <c r="J66" i="30"/>
  <c r="J78" i="30"/>
  <c r="J86" i="30"/>
  <c r="J94" i="30"/>
  <c r="J9" i="30"/>
  <c r="J29" i="30"/>
  <c r="J65" i="30"/>
  <c r="J93" i="30"/>
  <c r="J15" i="30"/>
  <c r="J23" i="30"/>
  <c r="J31" i="30"/>
  <c r="J43" i="30"/>
  <c r="J51" i="30"/>
  <c r="J59" i="30"/>
  <c r="J71" i="30"/>
  <c r="J79" i="30"/>
  <c r="J87" i="30"/>
  <c r="J17" i="30"/>
  <c r="J45" i="30"/>
  <c r="J85" i="30"/>
  <c r="J10" i="30"/>
  <c r="J16" i="30"/>
  <c r="J24" i="30"/>
  <c r="J36" i="30"/>
  <c r="J44" i="30"/>
  <c r="J52" i="30"/>
  <c r="J64" i="30"/>
  <c r="J72" i="30"/>
  <c r="J80" i="30"/>
  <c r="J92" i="30"/>
  <c r="J37" i="30"/>
  <c r="J57" i="30"/>
  <c r="J73" i="30"/>
  <c r="I88" i="30"/>
  <c r="I95" i="30"/>
  <c r="I81" i="30"/>
  <c r="I67" i="30"/>
  <c r="I53" i="30"/>
  <c r="I39" i="30"/>
  <c r="I25" i="30"/>
  <c r="I11" i="30"/>
  <c r="I100" i="30"/>
  <c r="I74" i="30"/>
  <c r="I46" i="30"/>
  <c r="I32" i="30"/>
  <c r="I101" i="30"/>
  <c r="I102" i="30"/>
  <c r="I99" i="30"/>
  <c r="I60" i="30"/>
  <c r="I18" i="30"/>
  <c r="I15" i="30"/>
  <c r="I23" i="30"/>
  <c r="I31" i="30"/>
  <c r="I43" i="30"/>
  <c r="I51" i="30"/>
  <c r="I59" i="30"/>
  <c r="I71" i="30"/>
  <c r="I79" i="30"/>
  <c r="I87" i="30"/>
  <c r="I37" i="30"/>
  <c r="I57" i="30"/>
  <c r="I73" i="30"/>
  <c r="I93" i="30"/>
  <c r="I8" i="30"/>
  <c r="I30" i="30"/>
  <c r="I50" i="30"/>
  <c r="I66" i="30"/>
  <c r="I86" i="30"/>
  <c r="I10" i="30"/>
  <c r="I16" i="30"/>
  <c r="I24" i="30"/>
  <c r="I36" i="30"/>
  <c r="I44" i="30"/>
  <c r="I52" i="30"/>
  <c r="I64" i="30"/>
  <c r="I72" i="30"/>
  <c r="I80" i="30"/>
  <c r="I92" i="30"/>
  <c r="I9" i="30"/>
  <c r="I17" i="30"/>
  <c r="I29" i="30"/>
  <c r="I45" i="30"/>
  <c r="I65" i="30"/>
  <c r="I85" i="30"/>
  <c r="I22" i="30"/>
  <c r="I38" i="30"/>
  <c r="I58" i="30"/>
  <c r="I78" i="30"/>
  <c r="I94" i="30"/>
  <c r="G102" i="30"/>
  <c r="G100" i="30"/>
  <c r="G95" i="30"/>
  <c r="G93" i="30"/>
  <c r="G88" i="30"/>
  <c r="G86" i="30"/>
  <c r="G81" i="30"/>
  <c r="G79" i="30"/>
  <c r="G74" i="30"/>
  <c r="G72" i="30"/>
  <c r="G67" i="30"/>
  <c r="G65" i="30"/>
  <c r="G60" i="30"/>
  <c r="G58" i="30"/>
  <c r="G53" i="30"/>
  <c r="G51" i="30"/>
  <c r="G46" i="30"/>
  <c r="G44" i="30"/>
  <c r="G39" i="30"/>
  <c r="G37" i="30"/>
  <c r="G32" i="30"/>
  <c r="G30" i="30"/>
  <c r="G25" i="30"/>
  <c r="G23" i="30"/>
  <c r="G18" i="30"/>
  <c r="G16" i="30"/>
  <c r="G11" i="30"/>
  <c r="G9" i="30"/>
  <c r="G101" i="30"/>
  <c r="G99" i="30"/>
  <c r="G94" i="30"/>
  <c r="G92" i="30"/>
  <c r="G87" i="30"/>
  <c r="G85" i="30"/>
  <c r="G80" i="30"/>
  <c r="G78" i="30"/>
  <c r="G73" i="30"/>
  <c r="G71" i="30"/>
  <c r="G66" i="30"/>
  <c r="G64" i="30"/>
  <c r="G59" i="30"/>
  <c r="G57" i="30"/>
  <c r="G52" i="30"/>
  <c r="G50" i="30"/>
  <c r="G45" i="30"/>
  <c r="G43" i="30"/>
  <c r="G38" i="30"/>
  <c r="G36" i="30"/>
  <c r="G31" i="30"/>
  <c r="G29" i="30"/>
  <c r="G24" i="30"/>
  <c r="G22" i="30"/>
  <c r="G17" i="30"/>
  <c r="G15" i="30"/>
  <c r="G10" i="30"/>
  <c r="G8" i="30"/>
  <c r="H58" i="30"/>
  <c r="H46" i="30"/>
  <c r="H32" i="30"/>
  <c r="H23" i="30"/>
  <c r="H11" i="30"/>
  <c r="H101" i="30"/>
  <c r="H99" i="30"/>
  <c r="H94" i="30"/>
  <c r="H92" i="30"/>
  <c r="H87" i="30"/>
  <c r="H85" i="30"/>
  <c r="H80" i="30"/>
  <c r="H78" i="30"/>
  <c r="H73" i="30"/>
  <c r="H71" i="30"/>
  <c r="H66" i="30"/>
  <c r="H64" i="30"/>
  <c r="H59" i="30"/>
  <c r="H57" i="30"/>
  <c r="H52" i="30"/>
  <c r="H50" i="30"/>
  <c r="H45" i="30"/>
  <c r="H43" i="30"/>
  <c r="H38" i="30"/>
  <c r="H36" i="30"/>
  <c r="H31" i="30"/>
  <c r="H29" i="30"/>
  <c r="H24" i="30"/>
  <c r="H22" i="30"/>
  <c r="H17" i="30"/>
  <c r="H15" i="30"/>
  <c r="H10" i="30"/>
  <c r="H8" i="30"/>
  <c r="H102" i="30"/>
  <c r="H95" i="30"/>
  <c r="H93" i="30"/>
  <c r="H86" i="30"/>
  <c r="H74" i="30"/>
  <c r="H67" i="30"/>
  <c r="H65" i="30"/>
  <c r="H53" i="30"/>
  <c r="H44" i="30"/>
  <c r="H37" i="30"/>
  <c r="H30" i="30"/>
  <c r="H18" i="30"/>
  <c r="H16" i="30"/>
  <c r="H9" i="30"/>
  <c r="H100" i="30"/>
  <c r="H88" i="30"/>
  <c r="H81" i="30"/>
  <c r="H79" i="30"/>
  <c r="H72" i="30"/>
  <c r="H60" i="30"/>
  <c r="H51" i="30"/>
  <c r="H39" i="30"/>
  <c r="H25" i="30"/>
  <c r="F101" i="30"/>
  <c r="F94" i="30"/>
  <c r="F87" i="30"/>
  <c r="F80" i="30"/>
  <c r="F73" i="30"/>
  <c r="F66" i="30"/>
  <c r="F59" i="30"/>
  <c r="F52" i="30"/>
  <c r="F45" i="30"/>
  <c r="F38" i="30"/>
  <c r="F31" i="30"/>
  <c r="F24" i="30"/>
  <c r="F17" i="30"/>
  <c r="F10" i="30"/>
  <c r="F93" i="30"/>
  <c r="F72" i="30"/>
  <c r="F58" i="30"/>
  <c r="F51" i="30"/>
  <c r="F37" i="30"/>
  <c r="F30" i="30"/>
  <c r="F11" i="30"/>
  <c r="F102" i="30"/>
  <c r="F95" i="30"/>
  <c r="F88" i="30"/>
  <c r="F81" i="30"/>
  <c r="F74" i="30"/>
  <c r="F67" i="30"/>
  <c r="F60" i="30"/>
  <c r="F53" i="30"/>
  <c r="F46" i="30"/>
  <c r="F39" i="30"/>
  <c r="F32" i="30"/>
  <c r="F25" i="30"/>
  <c r="F18" i="30"/>
  <c r="F9" i="30"/>
  <c r="F100" i="30"/>
  <c r="F86" i="30"/>
  <c r="F79" i="30"/>
  <c r="F65" i="30"/>
  <c r="F44" i="30"/>
  <c r="F23" i="30"/>
  <c r="F16" i="30"/>
  <c r="F99" i="30"/>
  <c r="F92" i="30"/>
  <c r="F85" i="30"/>
  <c r="F78" i="30"/>
  <c r="F71" i="30"/>
  <c r="F64" i="30"/>
  <c r="F57" i="30"/>
  <c r="F50" i="30"/>
  <c r="F43" i="30"/>
  <c r="F36" i="30"/>
  <c r="F29" i="30"/>
  <c r="F22" i="30"/>
  <c r="F15" i="30"/>
  <c r="F8" i="30"/>
  <c r="M12" i="32"/>
  <c r="CO6" i="32"/>
  <c r="M17" i="32"/>
  <c r="BI11" i="32"/>
  <c r="CN6" i="32"/>
  <c r="AB9" i="32"/>
  <c r="M15" i="32"/>
  <c r="J13" i="17"/>
  <c r="N15" i="32"/>
  <c r="DD17" i="32"/>
  <c r="DE9" i="32"/>
  <c r="F53" i="34"/>
  <c r="DF13" i="32"/>
  <c r="L17" i="32"/>
  <c r="CN17" i="32"/>
  <c r="BH15" i="32"/>
  <c r="AD6" i="32"/>
  <c r="AC17" i="32"/>
  <c r="AB6" i="32"/>
  <c r="L12" i="32"/>
  <c r="L13" i="32"/>
  <c r="M13" i="32"/>
  <c r="CO17" i="32"/>
  <c r="BI15" i="32"/>
  <c r="BI19" i="32"/>
  <c r="BJ11" i="32"/>
  <c r="K8" i="44"/>
  <c r="L8" i="44" s="1"/>
  <c r="N8" i="44" s="1"/>
  <c r="AD11" i="32"/>
  <c r="DF8" i="32"/>
  <c r="CN7" i="32"/>
  <c r="N6" i="32"/>
  <c r="AB15" i="32"/>
  <c r="AC19" i="32"/>
  <c r="AC15" i="32"/>
  <c r="CN15" i="32"/>
  <c r="CN11" i="32"/>
  <c r="CO15" i="32"/>
  <c r="CO11" i="32"/>
  <c r="BH13" i="32"/>
  <c r="CN19" i="32"/>
  <c r="F54" i="34"/>
  <c r="AB11" i="32"/>
  <c r="BI13" i="32"/>
  <c r="AE145" i="30"/>
  <c r="AA145" i="30"/>
  <c r="C55" i="34"/>
  <c r="AC152" i="30"/>
  <c r="L9" i="32"/>
  <c r="J11" i="17"/>
  <c r="J15" i="17"/>
  <c r="J10" i="17"/>
  <c r="J12" i="17"/>
  <c r="J14" i="17"/>
  <c r="DD13" i="32"/>
  <c r="G31" i="10"/>
  <c r="E44" i="10" s="1"/>
  <c r="B55" i="34"/>
  <c r="K6" i="44"/>
  <c r="L6" i="44" s="1"/>
  <c r="N6" i="44" s="1"/>
  <c r="P6" i="44" s="1"/>
  <c r="R6" i="44" s="1"/>
  <c r="K7" i="44"/>
  <c r="L7" i="44" s="1"/>
  <c r="N7" i="44" s="1"/>
  <c r="O7" i="44" s="1"/>
  <c r="I9" i="44"/>
  <c r="J9" i="44"/>
  <c r="K2" i="44"/>
  <c r="L2" i="44" s="1"/>
  <c r="N2" i="44" s="1"/>
  <c r="K5" i="44"/>
  <c r="L5" i="44" s="1"/>
  <c r="N5" i="44" s="1"/>
  <c r="J14" i="44"/>
  <c r="I14" i="44"/>
  <c r="F52" i="34"/>
  <c r="P8" i="44"/>
  <c r="R8" i="44" s="1"/>
  <c r="O8" i="44"/>
  <c r="J15" i="44"/>
  <c r="I15" i="44"/>
  <c r="G16" i="44"/>
  <c r="P4" i="44"/>
  <c r="R4" i="44" s="1"/>
  <c r="O4" i="44"/>
  <c r="B15" i="44"/>
  <c r="D14" i="44"/>
  <c r="X10" i="17"/>
  <c r="Y10" i="17" s="1"/>
  <c r="X14" i="17"/>
  <c r="Y14" i="17" s="1"/>
  <c r="X9" i="17"/>
  <c r="Y9" i="17" s="1"/>
  <c r="X13" i="17"/>
  <c r="Y13" i="17" s="1"/>
  <c r="X11" i="17"/>
  <c r="Y11" i="17" s="1"/>
  <c r="X15" i="17"/>
  <c r="Y15" i="17" s="1"/>
  <c r="BH8" i="32"/>
  <c r="BI9" i="32"/>
  <c r="AB13" i="32"/>
  <c r="BH17" i="32"/>
  <c r="DE7" i="32"/>
  <c r="DF15" i="32"/>
  <c r="M19" i="32"/>
  <c r="L6" i="32"/>
  <c r="BJ8" i="32"/>
  <c r="L11" i="32"/>
  <c r="AC13" i="32"/>
  <c r="BI17" i="32"/>
  <c r="M11" i="32"/>
  <c r="CN13" i="32"/>
  <c r="BJ17" i="32"/>
  <c r="CO13" i="32"/>
  <c r="N10" i="32"/>
  <c r="AD7" i="32"/>
  <c r="CP9" i="32"/>
  <c r="N18" i="32"/>
  <c r="M18" i="32"/>
  <c r="L18" i="32"/>
  <c r="DF7" i="32"/>
  <c r="DD8" i="32"/>
  <c r="BH9" i="32"/>
  <c r="L10" i="32"/>
  <c r="AB12" i="32"/>
  <c r="AD12" i="32"/>
  <c r="AC12" i="32"/>
  <c r="BH6" i="32"/>
  <c r="CN8" i="32"/>
  <c r="DF16" i="32"/>
  <c r="DE16" i="32"/>
  <c r="DD16" i="32"/>
  <c r="CP18" i="32"/>
  <c r="CO18" i="32"/>
  <c r="CN18" i="32"/>
  <c r="DF18" i="32"/>
  <c r="DE18" i="32"/>
  <c r="DD18" i="32"/>
  <c r="N7" i="32"/>
  <c r="AB7" i="32"/>
  <c r="AB8" i="32"/>
  <c r="CN9" i="32"/>
  <c r="AB10" i="32"/>
  <c r="AD10" i="32"/>
  <c r="BH10" i="32"/>
  <c r="BI10" i="32"/>
  <c r="CN10" i="32"/>
  <c r="CP10" i="32"/>
  <c r="BJ6" i="32"/>
  <c r="AC7" i="32"/>
  <c r="CP7" i="32"/>
  <c r="DD7" i="32"/>
  <c r="AD8" i="32"/>
  <c r="CP8" i="32"/>
  <c r="AD9" i="32"/>
  <c r="CO9" i="32"/>
  <c r="BJ7" i="32"/>
  <c r="DD6" i="32"/>
  <c r="BH7" i="32"/>
  <c r="L8" i="32"/>
  <c r="DF9" i="32"/>
  <c r="CO10" i="32"/>
  <c r="CN12" i="32"/>
  <c r="CP12" i="32"/>
  <c r="CO12" i="32"/>
  <c r="DD12" i="32"/>
  <c r="DF12" i="32"/>
  <c r="DE12" i="32"/>
  <c r="CP14" i="32"/>
  <c r="CN14" i="32"/>
  <c r="CO14" i="32"/>
  <c r="BJ18" i="32"/>
  <c r="BI18" i="32"/>
  <c r="BH18" i="32"/>
  <c r="DF6" i="32"/>
  <c r="L7" i="32"/>
  <c r="BI7" i="32"/>
  <c r="N8" i="32"/>
  <c r="BJ9" i="32"/>
  <c r="M10" i="32"/>
  <c r="AC10" i="32"/>
  <c r="BJ10" i="32"/>
  <c r="DD10" i="32"/>
  <c r="DF10" i="32"/>
  <c r="N9" i="32"/>
  <c r="AD18" i="32"/>
  <c r="AC18" i="32"/>
  <c r="AB18" i="32"/>
  <c r="BI12" i="32"/>
  <c r="BI14" i="32"/>
  <c r="AD16" i="32"/>
  <c r="AB16" i="32"/>
  <c r="CP16" i="32"/>
  <c r="CO16" i="32"/>
  <c r="CN16" i="32"/>
  <c r="AD14" i="32"/>
  <c r="AB14" i="32"/>
  <c r="DF14" i="32"/>
  <c r="DD14" i="32"/>
  <c r="BJ16" i="32"/>
  <c r="BH16" i="32"/>
  <c r="BJ14" i="32"/>
  <c r="BH14" i="32"/>
  <c r="N14" i="32"/>
  <c r="L14" i="32"/>
  <c r="N16" i="32"/>
  <c r="L16" i="32"/>
  <c r="BI16" i="32"/>
  <c r="DE19" i="32"/>
  <c r="N19" i="32"/>
  <c r="AD19" i="32"/>
  <c r="BJ19" i="32"/>
  <c r="CP19" i="32"/>
  <c r="DF19" i="32"/>
  <c r="R6" i="30"/>
  <c r="P6" i="30"/>
  <c r="S6" i="30"/>
  <c r="O6" i="30"/>
  <c r="Q6" i="30"/>
  <c r="AC145" i="30"/>
  <c r="AE152" i="30"/>
  <c r="T6" i="30"/>
  <c r="U152" i="30"/>
  <c r="U145" i="30"/>
  <c r="W152" i="30"/>
  <c r="AC151" i="30"/>
  <c r="U151" i="30"/>
  <c r="AC144" i="30"/>
  <c r="U144" i="30"/>
  <c r="AA151" i="30"/>
  <c r="S151" i="30"/>
  <c r="Y151" i="30"/>
  <c r="Y144" i="30"/>
  <c r="W144" i="30"/>
  <c r="S144" i="30"/>
  <c r="AE151" i="30"/>
  <c r="AE144" i="30"/>
  <c r="AA144" i="30"/>
  <c r="W151" i="30"/>
  <c r="N6" i="30"/>
  <c r="W145" i="30"/>
  <c r="Y152" i="30"/>
  <c r="S152" i="30"/>
  <c r="Y145" i="30"/>
  <c r="AA152" i="30"/>
  <c r="D13" i="1"/>
  <c r="S11" i="30" l="1"/>
  <c r="S9" i="30"/>
  <c r="S8" i="30"/>
  <c r="S10" i="30"/>
  <c r="S17" i="30" s="1"/>
  <c r="S24" i="30" s="1"/>
  <c r="AA6" i="30"/>
  <c r="R11" i="30"/>
  <c r="R8" i="30"/>
  <c r="R10" i="30"/>
  <c r="R17" i="30" s="1"/>
  <c r="R9" i="30"/>
  <c r="Y6" i="30"/>
  <c r="P10" i="30"/>
  <c r="P8" i="30"/>
  <c r="P11" i="30"/>
  <c r="P18" i="30" s="1"/>
  <c r="P9" i="30"/>
  <c r="Q8" i="30"/>
  <c r="Q11" i="30"/>
  <c r="Q9" i="30"/>
  <c r="Q10" i="30"/>
  <c r="O11" i="30"/>
  <c r="O10" i="30"/>
  <c r="O17" i="30" s="1"/>
  <c r="O24" i="30" s="1"/>
  <c r="O8" i="30"/>
  <c r="O9" i="30"/>
  <c r="L102" i="30"/>
  <c r="F55" i="34"/>
  <c r="O6" i="44"/>
  <c r="F68" i="30"/>
  <c r="I89" i="30"/>
  <c r="K61" i="30"/>
  <c r="G54" i="30"/>
  <c r="H54" i="30"/>
  <c r="P7" i="44"/>
  <c r="R7" i="44" s="1"/>
  <c r="I26" i="30"/>
  <c r="L67" i="30"/>
  <c r="J103" i="30"/>
  <c r="J75" i="30"/>
  <c r="L74" i="30"/>
  <c r="I54" i="30"/>
  <c r="G33" i="30"/>
  <c r="F89" i="30"/>
  <c r="H40" i="30"/>
  <c r="L53" i="30"/>
  <c r="E12" i="30"/>
  <c r="I96" i="30"/>
  <c r="H82" i="30"/>
  <c r="E75" i="30"/>
  <c r="F12" i="30"/>
  <c r="K54" i="30"/>
  <c r="F75" i="30"/>
  <c r="E96" i="30"/>
  <c r="O5" i="44"/>
  <c r="P5" i="44"/>
  <c r="R5" i="44" s="1"/>
  <c r="L60" i="30"/>
  <c r="G40" i="30"/>
  <c r="I68" i="30"/>
  <c r="I47" i="30"/>
  <c r="J68" i="30"/>
  <c r="H68" i="30"/>
  <c r="I12" i="30"/>
  <c r="I33" i="30"/>
  <c r="F19" i="30"/>
  <c r="G82" i="30"/>
  <c r="E68" i="30"/>
  <c r="M21" i="32"/>
  <c r="CO21" i="32"/>
  <c r="DE21" i="32"/>
  <c r="AC21" i="32"/>
  <c r="AD21" i="32"/>
  <c r="P2" i="44"/>
  <c r="O2" i="44"/>
  <c r="J16" i="44"/>
  <c r="I16" i="44"/>
  <c r="G17" i="44"/>
  <c r="E15" i="44"/>
  <c r="D15" i="44"/>
  <c r="B16" i="44"/>
  <c r="Q6" i="44"/>
  <c r="S6" i="44" s="1"/>
  <c r="Q7" i="44"/>
  <c r="S7" i="44" s="1"/>
  <c r="Q4" i="44"/>
  <c r="S4" i="44" s="1"/>
  <c r="Q5" i="44"/>
  <c r="S5" i="44" s="1"/>
  <c r="Q8" i="44"/>
  <c r="S8" i="44" s="1"/>
  <c r="N21" i="32"/>
  <c r="AB21" i="32"/>
  <c r="BI21" i="32"/>
  <c r="CN21" i="32"/>
  <c r="L21" i="32"/>
  <c r="CP21" i="32"/>
  <c r="DF21" i="32"/>
  <c r="BH21" i="32"/>
  <c r="BJ21" i="32"/>
  <c r="DD21" i="32"/>
  <c r="T17" i="30"/>
  <c r="R18" i="30"/>
  <c r="AA149" i="30" s="1"/>
  <c r="Q17" i="30"/>
  <c r="Q24" i="30" s="1"/>
  <c r="Q31" i="30" s="1"/>
  <c r="Q38" i="30" s="1"/>
  <c r="Q45" i="30" s="1"/>
  <c r="Q52" i="30" s="1"/>
  <c r="Q59" i="30" s="1"/>
  <c r="Q66" i="30" s="1"/>
  <c r="L88" i="30"/>
  <c r="F47" i="30"/>
  <c r="G89" i="30"/>
  <c r="S18" i="30"/>
  <c r="S25" i="30" s="1"/>
  <c r="S32" i="30" s="1"/>
  <c r="S39" i="30" s="1"/>
  <c r="S46" i="30" s="1"/>
  <c r="AB6" i="30"/>
  <c r="G19" i="30"/>
  <c r="J47" i="30"/>
  <c r="I40" i="30"/>
  <c r="F82" i="30"/>
  <c r="F96" i="30"/>
  <c r="H89" i="30"/>
  <c r="K82" i="30"/>
  <c r="G75" i="30"/>
  <c r="K96" i="30"/>
  <c r="J26" i="30"/>
  <c r="K47" i="30"/>
  <c r="K75" i="30"/>
  <c r="L18" i="30"/>
  <c r="J96" i="30"/>
  <c r="J40" i="30"/>
  <c r="I19" i="30"/>
  <c r="L95" i="30"/>
  <c r="F61" i="30"/>
  <c r="H103" i="30"/>
  <c r="E19" i="30"/>
  <c r="I103" i="30"/>
  <c r="E103" i="30"/>
  <c r="H33" i="30"/>
  <c r="H26" i="30"/>
  <c r="E40" i="30"/>
  <c r="K40" i="30"/>
  <c r="J61" i="30"/>
  <c r="J82" i="30"/>
  <c r="G47" i="30"/>
  <c r="G61" i="30"/>
  <c r="X6" i="30"/>
  <c r="E47" i="30"/>
  <c r="E61" i="30"/>
  <c r="F103" i="30"/>
  <c r="E89" i="30"/>
  <c r="K89" i="30"/>
  <c r="E82" i="30"/>
  <c r="H75" i="30"/>
  <c r="G68" i="30"/>
  <c r="J89" i="30"/>
  <c r="L32" i="30"/>
  <c r="I61" i="30"/>
  <c r="H96" i="30"/>
  <c r="K68" i="30"/>
  <c r="F33" i="30"/>
  <c r="J54" i="30"/>
  <c r="K12" i="30"/>
  <c r="I82" i="30"/>
  <c r="G12" i="30"/>
  <c r="W6" i="30"/>
  <c r="L46" i="30"/>
  <c r="G26" i="30"/>
  <c r="F26" i="30"/>
  <c r="AC6" i="30"/>
  <c r="E54" i="30"/>
  <c r="F40" i="30"/>
  <c r="H19" i="30"/>
  <c r="H61" i="30"/>
  <c r="J19" i="30"/>
  <c r="E26" i="30"/>
  <c r="G103" i="30"/>
  <c r="K103" i="30"/>
  <c r="L81" i="30"/>
  <c r="I75" i="30"/>
  <c r="L25" i="30"/>
  <c r="H47" i="30"/>
  <c r="K26" i="30"/>
  <c r="Z6" i="30"/>
  <c r="K33" i="30"/>
  <c r="J12" i="30"/>
  <c r="F54" i="30"/>
  <c r="K19" i="30"/>
  <c r="L11" i="30"/>
  <c r="J33" i="30"/>
  <c r="E33" i="30"/>
  <c r="G96" i="30"/>
  <c r="H12" i="30"/>
  <c r="L39" i="30"/>
  <c r="P85" i="1"/>
  <c r="O85" i="1"/>
  <c r="N85" i="1"/>
  <c r="M85" i="1"/>
  <c r="L85" i="1"/>
  <c r="K85" i="1"/>
  <c r="J85" i="1"/>
  <c r="I85" i="1"/>
  <c r="H85" i="1"/>
  <c r="G85" i="1"/>
  <c r="F85" i="1"/>
  <c r="E85" i="1"/>
  <c r="D85" i="1"/>
  <c r="C85" i="1"/>
  <c r="AB11" i="30" l="1"/>
  <c r="AB10" i="30"/>
  <c r="AB9" i="30"/>
  <c r="AB8" i="30"/>
  <c r="AA11" i="30"/>
  <c r="AA9" i="30"/>
  <c r="AA10" i="30"/>
  <c r="AA17" i="30" s="1"/>
  <c r="AA24" i="30" s="1"/>
  <c r="AA31" i="30" s="1"/>
  <c r="AA38" i="30" s="1"/>
  <c r="AA45" i="30" s="1"/>
  <c r="AA52" i="30" s="1"/>
  <c r="AA59" i="30" s="1"/>
  <c r="AA66" i="30" s="1"/>
  <c r="AA87" i="30" s="1"/>
  <c r="AA94" i="30" s="1"/>
  <c r="AA101" i="30" s="1"/>
  <c r="AA8" i="30"/>
  <c r="Z11" i="30"/>
  <c r="Z9" i="30"/>
  <c r="Z10" i="30"/>
  <c r="Z17" i="30" s="1"/>
  <c r="Z24" i="30" s="1"/>
  <c r="Z31" i="30" s="1"/>
  <c r="Z38" i="30" s="1"/>
  <c r="Z45" i="30" s="1"/>
  <c r="Z52" i="30" s="1"/>
  <c r="Z59" i="30" s="1"/>
  <c r="Z66" i="30" s="1"/>
  <c r="Z8" i="30"/>
  <c r="Y11" i="30"/>
  <c r="Y9" i="30"/>
  <c r="Y10" i="30"/>
  <c r="Y8" i="30"/>
  <c r="X8" i="30"/>
  <c r="X11" i="30"/>
  <c r="X10" i="30"/>
  <c r="X17" i="30" s="1"/>
  <c r="X24" i="30" s="1"/>
  <c r="X31" i="30" s="1"/>
  <c r="X38" i="30" s="1"/>
  <c r="X45" i="30" s="1"/>
  <c r="X52" i="30" s="1"/>
  <c r="X59" i="30" s="1"/>
  <c r="X66" i="30" s="1"/>
  <c r="X9" i="30"/>
  <c r="AC149" i="30"/>
  <c r="AC156" i="30"/>
  <c r="R25" i="30"/>
  <c r="AA156" i="30" s="1"/>
  <c r="O31" i="30"/>
  <c r="O38" i="30" s="1"/>
  <c r="O45" i="30" s="1"/>
  <c r="O52" i="30" s="1"/>
  <c r="O59" i="30" s="1"/>
  <c r="O66" i="30" s="1"/>
  <c r="O73" i="30" s="1"/>
  <c r="O80" i="30" s="1"/>
  <c r="U155" i="30"/>
  <c r="R12" i="30"/>
  <c r="AA143" i="30" s="1"/>
  <c r="E72" i="41"/>
  <c r="E75" i="41"/>
  <c r="E73" i="41"/>
  <c r="Q2" i="44"/>
  <c r="J17" i="44"/>
  <c r="I17" i="44"/>
  <c r="G18" i="44"/>
  <c r="E16" i="44"/>
  <c r="D16" i="44"/>
  <c r="B17" i="44"/>
  <c r="R2" i="44"/>
  <c r="P25" i="30"/>
  <c r="W149" i="30"/>
  <c r="S31" i="30"/>
  <c r="S38" i="30" s="1"/>
  <c r="S45" i="30" s="1"/>
  <c r="S52" i="30" s="1"/>
  <c r="S59" i="30" s="1"/>
  <c r="S66" i="30" s="1"/>
  <c r="AC155" i="30"/>
  <c r="P12" i="30"/>
  <c r="W143" i="30" s="1"/>
  <c r="AC17" i="30"/>
  <c r="AC24" i="30" s="1"/>
  <c r="AC31" i="30" s="1"/>
  <c r="AC38" i="30" s="1"/>
  <c r="AC45" i="30" s="1"/>
  <c r="AC52" i="30" s="1"/>
  <c r="AC59" i="30" s="1"/>
  <c r="AC66" i="30" s="1"/>
  <c r="AB17" i="30"/>
  <c r="AB24" i="30" s="1"/>
  <c r="AB31" i="30" s="1"/>
  <c r="AB38" i="30" s="1"/>
  <c r="AB45" i="30" s="1"/>
  <c r="AB52" i="30" s="1"/>
  <c r="AB59" i="30" s="1"/>
  <c r="AB66" i="30" s="1"/>
  <c r="AB18" i="30"/>
  <c r="AB25" i="30" s="1"/>
  <c r="AB32" i="30" s="1"/>
  <c r="R24" i="30"/>
  <c r="AA148" i="30"/>
  <c r="AC148" i="30"/>
  <c r="N17" i="30"/>
  <c r="T24" i="30"/>
  <c r="AE148" i="30"/>
  <c r="N18" i="30"/>
  <c r="S12" i="30"/>
  <c r="AC143" i="30" s="1"/>
  <c r="U11" i="30"/>
  <c r="N12" i="30"/>
  <c r="S143" i="30" s="1"/>
  <c r="Y148" i="30"/>
  <c r="Y18" i="30"/>
  <c r="AA18" i="30"/>
  <c r="Q18" i="30"/>
  <c r="Q12" i="30"/>
  <c r="Y143" i="30" s="1"/>
  <c r="S53" i="30"/>
  <c r="Q73" i="30"/>
  <c r="Q80" i="30" s="1"/>
  <c r="Q87" i="30"/>
  <c r="Q94" i="30" s="1"/>
  <c r="Q101" i="30" s="1"/>
  <c r="Y155" i="30"/>
  <c r="O18" i="30"/>
  <c r="O12" i="30"/>
  <c r="U143" i="30" s="1"/>
  <c r="T18" i="30"/>
  <c r="T12" i="30"/>
  <c r="AE143" i="30" s="1"/>
  <c r="U148" i="30"/>
  <c r="AA73" i="30" l="1"/>
  <c r="AA80" i="30" s="1"/>
  <c r="R32" i="30"/>
  <c r="O87" i="30"/>
  <c r="O94" i="30" s="1"/>
  <c r="O101" i="30" s="1"/>
  <c r="E10" i="11"/>
  <c r="H10" i="11" s="1"/>
  <c r="H13" i="11" s="1"/>
  <c r="J18" i="44"/>
  <c r="I18" i="44"/>
  <c r="G19" i="44"/>
  <c r="B18" i="44"/>
  <c r="E17" i="44"/>
  <c r="D17" i="44"/>
  <c r="S2" i="44"/>
  <c r="R31" i="30"/>
  <c r="R38" i="30" s="1"/>
  <c r="R45" i="30" s="1"/>
  <c r="R52" i="30" s="1"/>
  <c r="R59" i="30" s="1"/>
  <c r="R66" i="30" s="1"/>
  <c r="AA155" i="30"/>
  <c r="AB73" i="30"/>
  <c r="AB80" i="30" s="1"/>
  <c r="AB87" i="30"/>
  <c r="AB94" i="30" s="1"/>
  <c r="AB101" i="30" s="1"/>
  <c r="W156" i="30"/>
  <c r="P32" i="30"/>
  <c r="P39" i="30" s="1"/>
  <c r="P46" i="30" s="1"/>
  <c r="S87" i="30"/>
  <c r="S94" i="30" s="1"/>
  <c r="S101" i="30" s="1"/>
  <c r="S73" i="30"/>
  <c r="S80" i="30" s="1"/>
  <c r="W18" i="30"/>
  <c r="AD11" i="30"/>
  <c r="W12" i="30"/>
  <c r="AB12" i="30"/>
  <c r="Z18" i="30"/>
  <c r="Z12" i="30"/>
  <c r="S60" i="30"/>
  <c r="T31" i="30"/>
  <c r="T38" i="30" s="1"/>
  <c r="T45" i="30" s="1"/>
  <c r="T52" i="30" s="1"/>
  <c r="T59" i="30" s="1"/>
  <c r="T66" i="30" s="1"/>
  <c r="AE155" i="30"/>
  <c r="O25" i="30"/>
  <c r="U149" i="30"/>
  <c r="AC73" i="30"/>
  <c r="AC80" i="30" s="1"/>
  <c r="AC87" i="30"/>
  <c r="AC94" i="30" s="1"/>
  <c r="AC101" i="30" s="1"/>
  <c r="AC18" i="30"/>
  <c r="AC12" i="30"/>
  <c r="AB39" i="30"/>
  <c r="Z73" i="30"/>
  <c r="Z80" i="30" s="1"/>
  <c r="Z87" i="30"/>
  <c r="Z94" i="30" s="1"/>
  <c r="Z101" i="30" s="1"/>
  <c r="T25" i="30"/>
  <c r="AE149" i="30"/>
  <c r="Q25" i="30"/>
  <c r="Y149" i="30"/>
  <c r="Y12" i="30"/>
  <c r="AA12" i="30"/>
  <c r="N25" i="30"/>
  <c r="S149" i="30"/>
  <c r="W17" i="30"/>
  <c r="X18" i="30"/>
  <c r="X12" i="30"/>
  <c r="R39" i="30"/>
  <c r="Y25" i="30"/>
  <c r="N24" i="30"/>
  <c r="S148" i="30"/>
  <c r="X73" i="30"/>
  <c r="X80" i="30" s="1"/>
  <c r="X87" i="30"/>
  <c r="X94" i="30" s="1"/>
  <c r="X101" i="30" s="1"/>
  <c r="AA25" i="30"/>
  <c r="E18" i="44" l="1"/>
  <c r="B19" i="44"/>
  <c r="D18" i="44"/>
  <c r="J19" i="44"/>
  <c r="I19" i="44"/>
  <c r="G20" i="44"/>
  <c r="Y19" i="30"/>
  <c r="R73" i="30"/>
  <c r="R80" i="30" s="1"/>
  <c r="R87" i="30"/>
  <c r="R94" i="30" s="1"/>
  <c r="R101" i="30" s="1"/>
  <c r="T73" i="30"/>
  <c r="T80" i="30" s="1"/>
  <c r="T87" i="30"/>
  <c r="T94" i="30" s="1"/>
  <c r="T101" i="30" s="1"/>
  <c r="N31" i="30"/>
  <c r="S155" i="30"/>
  <c r="AE11" i="30"/>
  <c r="T32" i="30"/>
  <c r="T26" i="30"/>
  <c r="AE156" i="30"/>
  <c r="Y32" i="30"/>
  <c r="R46" i="30"/>
  <c r="W24" i="30"/>
  <c r="AB46" i="30"/>
  <c r="AC25" i="30"/>
  <c r="AC19" i="30"/>
  <c r="Z25" i="30"/>
  <c r="Z19" i="30"/>
  <c r="Q26" i="30"/>
  <c r="Q32" i="30"/>
  <c r="Y156" i="30"/>
  <c r="P53" i="30"/>
  <c r="O32" i="30"/>
  <c r="O26" i="30"/>
  <c r="U156" i="30"/>
  <c r="S67" i="30"/>
  <c r="W25" i="30"/>
  <c r="AD18" i="30"/>
  <c r="W19" i="30"/>
  <c r="AB19" i="30"/>
  <c r="N32" i="30"/>
  <c r="U25" i="30"/>
  <c r="N26" i="30"/>
  <c r="S156" i="30"/>
  <c r="S26" i="30"/>
  <c r="P26" i="30"/>
  <c r="R26" i="30"/>
  <c r="AA19" i="30"/>
  <c r="AA32" i="30"/>
  <c r="X25" i="30"/>
  <c r="X19" i="30"/>
  <c r="G16" i="9"/>
  <c r="G15" i="9"/>
  <c r="G14" i="9"/>
  <c r="G13" i="9"/>
  <c r="G12" i="9"/>
  <c r="G11" i="9"/>
  <c r="G10" i="9"/>
  <c r="A10" i="9"/>
  <c r="A11" i="9"/>
  <c r="A12" i="9"/>
  <c r="A13" i="9"/>
  <c r="A14" i="9"/>
  <c r="A15" i="9"/>
  <c r="A16" i="9"/>
  <c r="AA26" i="30" l="1"/>
  <c r="Y26" i="30"/>
  <c r="J20" i="44"/>
  <c r="I20" i="44"/>
  <c r="G21" i="44"/>
  <c r="B20" i="44"/>
  <c r="E19" i="44"/>
  <c r="D19" i="44"/>
  <c r="W31" i="30"/>
  <c r="AC32" i="30"/>
  <c r="AC26" i="30"/>
  <c r="N38" i="30"/>
  <c r="S74" i="30"/>
  <c r="S88" i="30"/>
  <c r="O39" i="30"/>
  <c r="O33" i="30"/>
  <c r="Y39" i="30"/>
  <c r="T39" i="30"/>
  <c r="T33" i="30"/>
  <c r="Q39" i="30"/>
  <c r="Q33" i="30"/>
  <c r="X32" i="30"/>
  <c r="X26" i="30"/>
  <c r="AB53" i="30"/>
  <c r="R53" i="30"/>
  <c r="W32" i="30"/>
  <c r="W26" i="30"/>
  <c r="AD25" i="30"/>
  <c r="AE25" i="30" s="1"/>
  <c r="AB26" i="30"/>
  <c r="AA39" i="30"/>
  <c r="U32" i="30"/>
  <c r="N39" i="30"/>
  <c r="N33" i="30"/>
  <c r="S33" i="30"/>
  <c r="P33" i="30"/>
  <c r="R33" i="30"/>
  <c r="P60" i="30"/>
  <c r="Z32" i="30"/>
  <c r="Z26" i="30"/>
  <c r="F26" i="18"/>
  <c r="F24" i="18"/>
  <c r="F25" i="18"/>
  <c r="B21" i="44" l="1"/>
  <c r="E20" i="44"/>
  <c r="D20" i="44"/>
  <c r="J21" i="44"/>
  <c r="I21" i="44"/>
  <c r="G22" i="44"/>
  <c r="S81" i="30"/>
  <c r="AC39" i="30"/>
  <c r="AC33" i="30"/>
  <c r="Z39" i="30"/>
  <c r="Z33" i="30"/>
  <c r="W39" i="30"/>
  <c r="AD32" i="30"/>
  <c r="AE32" i="30" s="1"/>
  <c r="W33" i="30"/>
  <c r="AB33" i="30"/>
  <c r="Q46" i="30"/>
  <c r="Q40" i="30"/>
  <c r="Y33" i="30"/>
  <c r="O46" i="30"/>
  <c r="O40" i="30"/>
  <c r="T46" i="30"/>
  <c r="T40" i="30"/>
  <c r="N46" i="30"/>
  <c r="U39" i="30"/>
  <c r="N40" i="30"/>
  <c r="S40" i="30"/>
  <c r="P40" i="30"/>
  <c r="R40" i="30"/>
  <c r="AA46" i="30"/>
  <c r="N45" i="30"/>
  <c r="P67" i="30"/>
  <c r="AA33" i="30"/>
  <c r="R60" i="30"/>
  <c r="W38" i="30"/>
  <c r="Y46" i="30"/>
  <c r="AB60" i="30"/>
  <c r="X39" i="30"/>
  <c r="X33" i="30"/>
  <c r="S95" i="30"/>
  <c r="S102" i="30" s="1"/>
  <c r="C13" i="1"/>
  <c r="A11" i="24"/>
  <c r="A15" i="32" l="1"/>
  <c r="J22" i="44"/>
  <c r="I22" i="44"/>
  <c r="G23" i="44"/>
  <c r="B22" i="44"/>
  <c r="E21" i="44"/>
  <c r="D21" i="44"/>
  <c r="X46" i="30"/>
  <c r="X40" i="30"/>
  <c r="AA40" i="30"/>
  <c r="AC46" i="30"/>
  <c r="AC40" i="30"/>
  <c r="N53" i="30"/>
  <c r="N47" i="30"/>
  <c r="U46" i="30"/>
  <c r="S47" i="30"/>
  <c r="P47" i="30"/>
  <c r="R47" i="30"/>
  <c r="Y40" i="30"/>
  <c r="AA53" i="30"/>
  <c r="W45" i="30"/>
  <c r="P88" i="30"/>
  <c r="P74" i="30"/>
  <c r="T53" i="30"/>
  <c r="T47" i="30"/>
  <c r="O53" i="30"/>
  <c r="O47" i="30"/>
  <c r="Y53" i="30"/>
  <c r="R67" i="30"/>
  <c r="W46" i="30"/>
  <c r="W40" i="30"/>
  <c r="AD39" i="30"/>
  <c r="AB40" i="30"/>
  <c r="AB67" i="30"/>
  <c r="N52" i="30"/>
  <c r="Q47" i="30"/>
  <c r="Q53" i="30"/>
  <c r="Z40" i="30"/>
  <c r="Z46" i="30"/>
  <c r="E22" i="44" l="1"/>
  <c r="D22" i="44"/>
  <c r="B23" i="44"/>
  <c r="J23" i="44"/>
  <c r="I23" i="44"/>
  <c r="G24" i="44"/>
  <c r="AE39" i="30"/>
  <c r="O60" i="30"/>
  <c r="O54" i="30"/>
  <c r="AB88" i="30"/>
  <c r="AB74" i="30"/>
  <c r="R88" i="30"/>
  <c r="R74" i="30"/>
  <c r="N60" i="30"/>
  <c r="N54" i="30"/>
  <c r="U53" i="30"/>
  <c r="AE53" i="30" s="1"/>
  <c r="S54" i="30"/>
  <c r="P54" i="30"/>
  <c r="R54" i="30"/>
  <c r="Y60" i="30"/>
  <c r="P81" i="30"/>
  <c r="Z53" i="30"/>
  <c r="Z47" i="30"/>
  <c r="AA47" i="30"/>
  <c r="AA60" i="30"/>
  <c r="P95" i="30"/>
  <c r="P102" i="30" s="1"/>
  <c r="AC53" i="30"/>
  <c r="AC47" i="30"/>
  <c r="Q60" i="30"/>
  <c r="Q54" i="30"/>
  <c r="W53" i="30"/>
  <c r="AD46" i="30"/>
  <c r="W47" i="30"/>
  <c r="AB47" i="30"/>
  <c r="T60" i="30"/>
  <c r="T54" i="30"/>
  <c r="Y47" i="30"/>
  <c r="N59" i="30"/>
  <c r="X53" i="30"/>
  <c r="X47" i="30"/>
  <c r="W52" i="30"/>
  <c r="J24" i="44" l="1"/>
  <c r="I24" i="44"/>
  <c r="E23" i="44"/>
  <c r="D23" i="44"/>
  <c r="B24" i="44"/>
  <c r="AE46" i="30"/>
  <c r="N67" i="30"/>
  <c r="U60" i="30"/>
  <c r="AE60" i="30" s="1"/>
  <c r="N61" i="30"/>
  <c r="S61" i="30"/>
  <c r="P61" i="30"/>
  <c r="R61" i="30"/>
  <c r="O67" i="30"/>
  <c r="O61" i="30"/>
  <c r="Q67" i="30"/>
  <c r="Q61" i="30"/>
  <c r="T61" i="30"/>
  <c r="T67" i="30"/>
  <c r="AC54" i="30"/>
  <c r="AC60" i="30"/>
  <c r="W60" i="30"/>
  <c r="W54" i="30"/>
  <c r="AD53" i="30"/>
  <c r="AB54" i="30"/>
  <c r="W59" i="30"/>
  <c r="AB81" i="30"/>
  <c r="R81" i="30"/>
  <c r="Z60" i="30"/>
  <c r="Z54" i="30"/>
  <c r="R95" i="30"/>
  <c r="R102" i="30" s="1"/>
  <c r="Y54" i="30"/>
  <c r="AB95" i="30"/>
  <c r="N66" i="30"/>
  <c r="AA67" i="30"/>
  <c r="X60" i="30"/>
  <c r="X54" i="30"/>
  <c r="AA54" i="30"/>
  <c r="Y67" i="30"/>
  <c r="E24" i="44" l="1"/>
  <c r="D24" i="44"/>
  <c r="AA61" i="30"/>
  <c r="W66" i="30"/>
  <c r="O88" i="30"/>
  <c r="O74" i="30"/>
  <c r="O68" i="30"/>
  <c r="T74" i="30"/>
  <c r="T88" i="30"/>
  <c r="T68" i="30"/>
  <c r="X67" i="30"/>
  <c r="X61" i="30"/>
  <c r="AB102" i="30"/>
  <c r="Z67" i="30"/>
  <c r="Z61" i="30"/>
  <c r="AC67" i="30"/>
  <c r="AC61" i="30"/>
  <c r="AA88" i="30"/>
  <c r="AA74" i="30"/>
  <c r="Y61" i="30"/>
  <c r="N73" i="30"/>
  <c r="W67" i="30"/>
  <c r="AD60" i="30"/>
  <c r="W61" i="30"/>
  <c r="AB61" i="30"/>
  <c r="Q74" i="30"/>
  <c r="Q88" i="30"/>
  <c r="Q68" i="30"/>
  <c r="Y88" i="30"/>
  <c r="Y74" i="30"/>
  <c r="N74" i="30"/>
  <c r="U67" i="30"/>
  <c r="AE67" i="30" s="1"/>
  <c r="N68" i="30"/>
  <c r="S68" i="30"/>
  <c r="P68" i="30"/>
  <c r="R68" i="30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K143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71" i="3"/>
  <c r="B70" i="3"/>
  <c r="B69" i="3"/>
  <c r="B68" i="3"/>
  <c r="B67" i="3"/>
  <c r="B66" i="3"/>
  <c r="B65" i="3"/>
  <c r="B64" i="3"/>
  <c r="D64" i="3" s="1"/>
  <c r="B63" i="3"/>
  <c r="D63" i="3" s="1"/>
  <c r="B62" i="3"/>
  <c r="D62" i="3" s="1"/>
  <c r="B61" i="3"/>
  <c r="D61" i="3" s="1"/>
  <c r="B60" i="3"/>
  <c r="D60" i="3" s="1"/>
  <c r="B59" i="3"/>
  <c r="D59" i="3" s="1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C22" i="3"/>
  <c r="C21" i="3"/>
  <c r="C20" i="3"/>
  <c r="C19" i="3"/>
  <c r="C18" i="3"/>
  <c r="B22" i="3"/>
  <c r="B21" i="3"/>
  <c r="B20" i="3"/>
  <c r="B19" i="3"/>
  <c r="B18" i="3"/>
  <c r="Y68" i="30" l="1"/>
  <c r="AA68" i="30"/>
  <c r="T95" i="30"/>
  <c r="T102" i="30" s="1"/>
  <c r="N81" i="30"/>
  <c r="U74" i="30"/>
  <c r="AE74" i="30" s="1"/>
  <c r="N75" i="30"/>
  <c r="S75" i="30"/>
  <c r="P75" i="30"/>
  <c r="R75" i="30"/>
  <c r="T81" i="30"/>
  <c r="T75" i="30"/>
  <c r="Y81" i="30"/>
  <c r="AD67" i="30"/>
  <c r="W74" i="30"/>
  <c r="W68" i="30"/>
  <c r="AB68" i="30"/>
  <c r="AA95" i="30"/>
  <c r="X88" i="30"/>
  <c r="X74" i="30"/>
  <c r="X68" i="30"/>
  <c r="Y95" i="30"/>
  <c r="O81" i="30"/>
  <c r="O75" i="30"/>
  <c r="AC74" i="30"/>
  <c r="AC88" i="30"/>
  <c r="AC68" i="30"/>
  <c r="O95" i="30"/>
  <c r="O102" i="30" s="1"/>
  <c r="AA81" i="30"/>
  <c r="Q95" i="30"/>
  <c r="Q102" i="30" s="1"/>
  <c r="N80" i="30"/>
  <c r="W73" i="30"/>
  <c r="Q81" i="30"/>
  <c r="Q75" i="30"/>
  <c r="Z88" i="30"/>
  <c r="Z74" i="30"/>
  <c r="Z68" i="30"/>
  <c r="P55" i="1"/>
  <c r="O55" i="1"/>
  <c r="N55" i="1"/>
  <c r="M55" i="1"/>
  <c r="L55" i="1"/>
  <c r="Q82" i="30" l="1"/>
  <c r="AA75" i="30"/>
  <c r="X95" i="30"/>
  <c r="N87" i="30"/>
  <c r="O82" i="30"/>
  <c r="Z95" i="30"/>
  <c r="AA102" i="30"/>
  <c r="AC95" i="30"/>
  <c r="T82" i="30"/>
  <c r="N88" i="30"/>
  <c r="N82" i="30"/>
  <c r="U81" i="30"/>
  <c r="AE81" i="30" s="1"/>
  <c r="S82" i="30"/>
  <c r="P82" i="30"/>
  <c r="R82" i="30"/>
  <c r="AC81" i="30"/>
  <c r="AC75" i="30"/>
  <c r="W75" i="30"/>
  <c r="AD74" i="30"/>
  <c r="W81" i="30"/>
  <c r="AB75" i="30"/>
  <c r="Z81" i="30"/>
  <c r="Z75" i="30"/>
  <c r="Y102" i="30"/>
  <c r="W80" i="30"/>
  <c r="X81" i="30"/>
  <c r="X75" i="30"/>
  <c r="Y75" i="30"/>
  <c r="D44" i="2"/>
  <c r="F44" i="2" s="1"/>
  <c r="D43" i="2"/>
  <c r="F43" i="2" s="1"/>
  <c r="D42" i="2"/>
  <c r="F42" i="2" s="1"/>
  <c r="D41" i="2"/>
  <c r="F41" i="2" s="1"/>
  <c r="D40" i="2"/>
  <c r="F40" i="2" s="1"/>
  <c r="D39" i="2"/>
  <c r="F39" i="2" s="1"/>
  <c r="X82" i="30" l="1"/>
  <c r="AC82" i="30"/>
  <c r="Y82" i="30"/>
  <c r="AC102" i="30"/>
  <c r="Z82" i="30"/>
  <c r="W88" i="30"/>
  <c r="AD81" i="30"/>
  <c r="W82" i="30"/>
  <c r="AB82" i="30"/>
  <c r="Z102" i="30"/>
  <c r="N94" i="30"/>
  <c r="W87" i="30"/>
  <c r="AA82" i="30"/>
  <c r="N95" i="30"/>
  <c r="U88" i="30"/>
  <c r="AE88" i="30" s="1"/>
  <c r="N89" i="30"/>
  <c r="S89" i="30"/>
  <c r="S96" i="30" s="1"/>
  <c r="P89" i="30"/>
  <c r="P96" i="30" s="1"/>
  <c r="R89" i="30"/>
  <c r="R96" i="30" s="1"/>
  <c r="O89" i="30"/>
  <c r="O96" i="30" s="1"/>
  <c r="Q89" i="30"/>
  <c r="Q96" i="30" s="1"/>
  <c r="T89" i="30"/>
  <c r="T96" i="30" s="1"/>
  <c r="X102" i="30"/>
  <c r="C21" i="2"/>
  <c r="C20" i="2"/>
  <c r="C19" i="2"/>
  <c r="C18" i="2"/>
  <c r="C17" i="2"/>
  <c r="C16" i="2"/>
  <c r="C15" i="2"/>
  <c r="C10" i="2"/>
  <c r="C9" i="2"/>
  <c r="W94" i="30" l="1"/>
  <c r="W95" i="30"/>
  <c r="AD88" i="30"/>
  <c r="W89" i="30"/>
  <c r="AB89" i="30"/>
  <c r="Y89" i="30"/>
  <c r="AA89" i="30"/>
  <c r="Z89" i="30"/>
  <c r="X89" i="30"/>
  <c r="AC89" i="30"/>
  <c r="N101" i="30"/>
  <c r="N102" i="30"/>
  <c r="N96" i="30"/>
  <c r="U95" i="30"/>
  <c r="AE95" i="30" s="1"/>
  <c r="K16" i="27"/>
  <c r="C16" i="27"/>
  <c r="B16" i="27"/>
  <c r="P16" i="27" s="1"/>
  <c r="A16" i="27"/>
  <c r="K15" i="27"/>
  <c r="C15" i="27"/>
  <c r="B15" i="27"/>
  <c r="P15" i="27" s="1"/>
  <c r="A15" i="27"/>
  <c r="K14" i="27"/>
  <c r="C14" i="27"/>
  <c r="B14" i="27"/>
  <c r="P14" i="27" s="1"/>
  <c r="A14" i="27"/>
  <c r="K13" i="27"/>
  <c r="C13" i="27"/>
  <c r="B13" i="27"/>
  <c r="P13" i="27" s="1"/>
  <c r="A13" i="27"/>
  <c r="K12" i="27"/>
  <c r="C12" i="27"/>
  <c r="B12" i="27"/>
  <c r="P12" i="27" s="1"/>
  <c r="A12" i="27"/>
  <c r="K11" i="27"/>
  <c r="C11" i="27"/>
  <c r="B11" i="27"/>
  <c r="P11" i="27" s="1"/>
  <c r="A11" i="27"/>
  <c r="B10" i="27"/>
  <c r="N103" i="30" l="1"/>
  <c r="U102" i="30"/>
  <c r="AE102" i="30" s="1"/>
  <c r="S103" i="30"/>
  <c r="P103" i="30"/>
  <c r="R103" i="30"/>
  <c r="T103" i="30"/>
  <c r="O103" i="30"/>
  <c r="Q103" i="30"/>
  <c r="W102" i="30"/>
  <c r="AD95" i="30"/>
  <c r="W96" i="30"/>
  <c r="AB96" i="30"/>
  <c r="Y96" i="30"/>
  <c r="AA96" i="30"/>
  <c r="AC96" i="30"/>
  <c r="X96" i="30"/>
  <c r="Z96" i="30"/>
  <c r="W101" i="30"/>
  <c r="G11" i="27"/>
  <c r="G12" i="27"/>
  <c r="G13" i="27"/>
  <c r="G15" i="27"/>
  <c r="G16" i="27"/>
  <c r="G14" i="27"/>
  <c r="W103" i="30" l="1"/>
  <c r="AD102" i="30"/>
  <c r="AB103" i="30"/>
  <c r="AA103" i="30"/>
  <c r="Y103" i="30"/>
  <c r="Z103" i="30"/>
  <c r="X103" i="30"/>
  <c r="AC103" i="30"/>
  <c r="A15" i="24"/>
  <c r="A14" i="24"/>
  <c r="A13" i="24"/>
  <c r="A12" i="24"/>
  <c r="H119" i="30" l="1"/>
  <c r="M120" i="30"/>
  <c r="E15" i="27"/>
  <c r="E13" i="27"/>
  <c r="F118" i="30"/>
  <c r="F121" i="30"/>
  <c r="A16" i="32"/>
  <c r="A17" i="32"/>
  <c r="A18" i="32"/>
  <c r="A19" i="32"/>
  <c r="G120" i="30"/>
  <c r="H15" i="27"/>
  <c r="O15" i="27" s="1"/>
  <c r="F120" i="30"/>
  <c r="L120" i="30"/>
  <c r="B120" i="30"/>
  <c r="H120" i="30"/>
  <c r="L121" i="30"/>
  <c r="B121" i="30"/>
  <c r="E16" i="27"/>
  <c r="H121" i="30"/>
  <c r="G121" i="30"/>
  <c r="H16" i="27"/>
  <c r="O16" i="27" s="1"/>
  <c r="M121" i="30"/>
  <c r="E12" i="27"/>
  <c r="H117" i="30"/>
  <c r="H12" i="27"/>
  <c r="O12" i="27" s="1"/>
  <c r="F117" i="30"/>
  <c r="M117" i="30"/>
  <c r="L117" i="30"/>
  <c r="B117" i="30"/>
  <c r="G117" i="30"/>
  <c r="M118" i="30"/>
  <c r="H13" i="27"/>
  <c r="O13" i="27" s="1"/>
  <c r="B118" i="30"/>
  <c r="H118" i="30"/>
  <c r="G118" i="30"/>
  <c r="L118" i="30"/>
  <c r="B119" i="30"/>
  <c r="E14" i="27"/>
  <c r="G119" i="30"/>
  <c r="H14" i="27"/>
  <c r="O14" i="27" s="1"/>
  <c r="F119" i="30"/>
  <c r="M119" i="30"/>
  <c r="L119" i="30"/>
  <c r="B19" i="2"/>
  <c r="B20" i="2"/>
  <c r="B17" i="2"/>
  <c r="B18" i="2"/>
  <c r="B21" i="2"/>
  <c r="K121" i="30" l="1"/>
  <c r="E120" i="30"/>
  <c r="K117" i="30"/>
  <c r="E119" i="30"/>
  <c r="E117" i="30"/>
  <c r="J117" i="30"/>
  <c r="D117" i="30"/>
  <c r="K119" i="30"/>
  <c r="C118" i="30"/>
  <c r="I118" i="30"/>
  <c r="J120" i="30"/>
  <c r="D120" i="30"/>
  <c r="I121" i="30"/>
  <c r="C121" i="30"/>
  <c r="D118" i="30"/>
  <c r="D119" i="30"/>
  <c r="K118" i="30"/>
  <c r="C120" i="30"/>
  <c r="I120" i="30"/>
  <c r="I119" i="30"/>
  <c r="C119" i="30"/>
  <c r="I117" i="30"/>
  <c r="C117" i="30"/>
  <c r="J121" i="30"/>
  <c r="D121" i="30"/>
  <c r="E118" i="30"/>
  <c r="J119" i="30"/>
  <c r="J118" i="30"/>
  <c r="E121" i="30"/>
  <c r="K120" i="30"/>
  <c r="L13" i="27"/>
  <c r="M13" i="27" s="1"/>
  <c r="J14" i="27"/>
  <c r="I14" i="27"/>
  <c r="J16" i="27"/>
  <c r="I16" i="27"/>
  <c r="C71" i="3"/>
  <c r="D16" i="27"/>
  <c r="C68" i="3"/>
  <c r="D13" i="27"/>
  <c r="J13" i="27"/>
  <c r="I13" i="27"/>
  <c r="C70" i="3"/>
  <c r="D15" i="27"/>
  <c r="C69" i="3"/>
  <c r="D14" i="27"/>
  <c r="L14" i="27"/>
  <c r="L16" i="27"/>
  <c r="L15" i="27"/>
  <c r="J15" i="27"/>
  <c r="I15" i="27"/>
  <c r="L12" i="27"/>
  <c r="I12" i="27"/>
  <c r="J12" i="27"/>
  <c r="C67" i="3"/>
  <c r="D12" i="27"/>
  <c r="E21" i="2"/>
  <c r="E18" i="2"/>
  <c r="E20" i="2"/>
  <c r="E17" i="2"/>
  <c r="E19" i="2"/>
  <c r="A10" i="24"/>
  <c r="A9" i="24"/>
  <c r="E10" i="27" l="1"/>
  <c r="M116" i="30"/>
  <c r="F116" i="30"/>
  <c r="E11" i="27"/>
  <c r="C135" i="30"/>
  <c r="M135" i="30" s="1"/>
  <c r="B135" i="30"/>
  <c r="D135" i="30" s="1"/>
  <c r="B137" i="30"/>
  <c r="D137" i="30" s="1"/>
  <c r="B136" i="30"/>
  <c r="D136" i="30" s="1"/>
  <c r="A13" i="32"/>
  <c r="A14" i="32"/>
  <c r="C137" i="30"/>
  <c r="O137" i="30" s="1"/>
  <c r="B138" i="30"/>
  <c r="F138" i="30" s="1"/>
  <c r="C138" i="30"/>
  <c r="O138" i="30" s="1"/>
  <c r="B139" i="30"/>
  <c r="F139" i="30" s="1"/>
  <c r="C136" i="30"/>
  <c r="O136" i="30" s="1"/>
  <c r="C139" i="30"/>
  <c r="N139" i="30" s="1"/>
  <c r="N13" i="27"/>
  <c r="N14" i="27"/>
  <c r="M14" i="27"/>
  <c r="N16" i="27"/>
  <c r="M16" i="27"/>
  <c r="N15" i="27"/>
  <c r="M15" i="27"/>
  <c r="M12" i="27"/>
  <c r="N12" i="27"/>
  <c r="G116" i="30"/>
  <c r="L116" i="30"/>
  <c r="H11" i="27"/>
  <c r="O11" i="27" s="1"/>
  <c r="F115" i="30"/>
  <c r="L115" i="30"/>
  <c r="G115" i="30"/>
  <c r="M115" i="30"/>
  <c r="B15" i="2"/>
  <c r="B16" i="2"/>
  <c r="A8" i="24"/>
  <c r="A7" i="24"/>
  <c r="A6" i="24"/>
  <c r="A5" i="24"/>
  <c r="A4" i="24"/>
  <c r="J4" i="24" s="1"/>
  <c r="A3" i="24"/>
  <c r="A2" i="24"/>
  <c r="AH3" i="24" l="1"/>
  <c r="AE3" i="24"/>
  <c r="AA3" i="24"/>
  <c r="W3" i="24"/>
  <c r="S3" i="24"/>
  <c r="O3" i="24"/>
  <c r="K3" i="24"/>
  <c r="AK3" i="24"/>
  <c r="AG3" i="24"/>
  <c r="R4" i="27" s="1"/>
  <c r="AD3" i="24"/>
  <c r="Z3" i="24"/>
  <c r="V3" i="24"/>
  <c r="E4" i="27" s="1"/>
  <c r="R3" i="24"/>
  <c r="N3" i="24"/>
  <c r="J3" i="24"/>
  <c r="E3" i="24"/>
  <c r="AI3" i="24"/>
  <c r="AF3" i="24"/>
  <c r="Q4" i="27" s="1"/>
  <c r="AB3" i="24"/>
  <c r="T3" i="24"/>
  <c r="L3" i="24"/>
  <c r="C3" i="24"/>
  <c r="B3" i="24"/>
  <c r="AJ3" i="24"/>
  <c r="AC3" i="24"/>
  <c r="Y3" i="24"/>
  <c r="U3" i="24"/>
  <c r="Q3" i="24"/>
  <c r="M3" i="24"/>
  <c r="I3" i="24"/>
  <c r="D3" i="24"/>
  <c r="X3" i="24"/>
  <c r="P3" i="24"/>
  <c r="H3" i="24"/>
  <c r="F3" i="24"/>
  <c r="AL3" i="24"/>
  <c r="AM3" i="24"/>
  <c r="G3" i="24"/>
  <c r="AI2" i="24"/>
  <c r="AD2" i="24"/>
  <c r="Z2" i="24"/>
  <c r="V2" i="24"/>
  <c r="R2" i="24"/>
  <c r="L108" i="30" s="1"/>
  <c r="N2" i="24"/>
  <c r="J2" i="24"/>
  <c r="E2" i="24"/>
  <c r="AG2" i="24"/>
  <c r="R3" i="27" s="1"/>
  <c r="AB2" i="24"/>
  <c r="T2" i="24"/>
  <c r="L2" i="24"/>
  <c r="C2" i="24"/>
  <c r="AJ2" i="24"/>
  <c r="AH2" i="24"/>
  <c r="AC2" i="24"/>
  <c r="Y2" i="24"/>
  <c r="U2" i="24"/>
  <c r="Q2" i="24"/>
  <c r="M2" i="24"/>
  <c r="G108" i="30" s="1"/>
  <c r="I2" i="24"/>
  <c r="D2" i="24"/>
  <c r="AK2" i="24"/>
  <c r="AF2" i="24"/>
  <c r="Q3" i="27" s="1"/>
  <c r="X2" i="24"/>
  <c r="P2" i="24"/>
  <c r="H2" i="24"/>
  <c r="AE2" i="24"/>
  <c r="AA2" i="24"/>
  <c r="W2" i="24"/>
  <c r="S2" i="24"/>
  <c r="O2" i="24"/>
  <c r="K2" i="24"/>
  <c r="F2" i="24"/>
  <c r="B2" i="24"/>
  <c r="AL2" i="24"/>
  <c r="AM2" i="24"/>
  <c r="AH8" i="24"/>
  <c r="AC8" i="24"/>
  <c r="Y8" i="24"/>
  <c r="U8" i="24"/>
  <c r="Q8" i="24"/>
  <c r="M8" i="24"/>
  <c r="I8" i="24"/>
  <c r="E8" i="24"/>
  <c r="V8" i="24"/>
  <c r="E9" i="27" s="1"/>
  <c r="J8" i="24"/>
  <c r="AK8" i="24"/>
  <c r="AG8" i="24"/>
  <c r="R9" i="27" s="1"/>
  <c r="AF8" i="24"/>
  <c r="Q9" i="27" s="1"/>
  <c r="AB8" i="24"/>
  <c r="X8" i="24"/>
  <c r="T8" i="24"/>
  <c r="P8" i="24"/>
  <c r="L8" i="24"/>
  <c r="H8" i="24"/>
  <c r="D8" i="24"/>
  <c r="AD8" i="24"/>
  <c r="Z8" i="24"/>
  <c r="N8" i="24"/>
  <c r="F8" i="24"/>
  <c r="AJ8" i="24"/>
  <c r="AE8" i="24"/>
  <c r="AA8" i="24"/>
  <c r="W8" i="24"/>
  <c r="S8" i="24"/>
  <c r="M114" i="30" s="1"/>
  <c r="O8" i="24"/>
  <c r="K8" i="24"/>
  <c r="G8" i="24"/>
  <c r="C8" i="24"/>
  <c r="AI8" i="24"/>
  <c r="R8" i="24"/>
  <c r="B8" i="24"/>
  <c r="AM8" i="24"/>
  <c r="AL8" i="24"/>
  <c r="AI7" i="24"/>
  <c r="AC7" i="24"/>
  <c r="Y7" i="24"/>
  <c r="U7" i="24"/>
  <c r="Q7" i="24"/>
  <c r="M7" i="24"/>
  <c r="G113" i="30" s="1"/>
  <c r="I7" i="24"/>
  <c r="E7" i="24"/>
  <c r="AF7" i="24"/>
  <c r="Q8" i="27" s="1"/>
  <c r="AB7" i="24"/>
  <c r="X7" i="24"/>
  <c r="T7" i="24"/>
  <c r="P7" i="24"/>
  <c r="L7" i="24"/>
  <c r="F113" i="30" s="1"/>
  <c r="H7" i="24"/>
  <c r="D7" i="24"/>
  <c r="R7" i="24"/>
  <c r="L113" i="30" s="1"/>
  <c r="F7" i="24"/>
  <c r="AH7" i="24"/>
  <c r="AK7" i="24"/>
  <c r="AG7" i="24"/>
  <c r="R8" i="27" s="1"/>
  <c r="AE7" i="24"/>
  <c r="AA7" i="24"/>
  <c r="W7" i="24"/>
  <c r="S7" i="24"/>
  <c r="M113" i="30" s="1"/>
  <c r="O7" i="24"/>
  <c r="K7" i="24"/>
  <c r="G7" i="24"/>
  <c r="C7" i="24"/>
  <c r="AJ7" i="24"/>
  <c r="AD7" i="24"/>
  <c r="Z7" i="24"/>
  <c r="V7" i="24"/>
  <c r="N7" i="24"/>
  <c r="J7" i="24"/>
  <c r="B7" i="24"/>
  <c r="AL7" i="24"/>
  <c r="AM7" i="24"/>
  <c r="AJ4" i="24"/>
  <c r="AC4" i="24"/>
  <c r="U4" i="24"/>
  <c r="Q4" i="24"/>
  <c r="M4" i="24"/>
  <c r="G110" i="30" s="1"/>
  <c r="I4" i="24"/>
  <c r="D4" i="24"/>
  <c r="AK4" i="24"/>
  <c r="AD4" i="24"/>
  <c r="V4" i="24"/>
  <c r="AI4" i="24"/>
  <c r="AF4" i="24"/>
  <c r="Q5" i="27" s="1"/>
  <c r="AB4" i="24"/>
  <c r="P4" i="24"/>
  <c r="F110" i="30"/>
  <c r="H4" i="24"/>
  <c r="C4" i="24"/>
  <c r="AG4" i="24"/>
  <c r="R5" i="27" s="1"/>
  <c r="L110" i="30"/>
  <c r="AH4" i="24"/>
  <c r="AE4" i="24"/>
  <c r="AA4" i="24"/>
  <c r="S4" i="24"/>
  <c r="M110" i="30" s="1"/>
  <c r="O4" i="24"/>
  <c r="K4" i="24"/>
  <c r="F4" i="24"/>
  <c r="B4" i="24"/>
  <c r="Z4" i="24"/>
  <c r="N4" i="24"/>
  <c r="E4" i="24"/>
  <c r="AM4" i="24"/>
  <c r="AL4" i="24"/>
  <c r="AB6" i="24"/>
  <c r="T6" i="24"/>
  <c r="L6" i="24"/>
  <c r="F112" i="30" s="1"/>
  <c r="D6" i="24"/>
  <c r="AA6" i="24"/>
  <c r="S6" i="24"/>
  <c r="M112" i="30" s="1"/>
  <c r="K6" i="24"/>
  <c r="C6" i="24"/>
  <c r="X6" i="24"/>
  <c r="AE6" i="24"/>
  <c r="AM6" i="24"/>
  <c r="AL6" i="24"/>
  <c r="Z6" i="24"/>
  <c r="R6" i="24"/>
  <c r="L112" i="30" s="1"/>
  <c r="J6" i="24"/>
  <c r="B6" i="24"/>
  <c r="H6" i="24"/>
  <c r="AI6" i="24"/>
  <c r="O6" i="24"/>
  <c r="AK6" i="24"/>
  <c r="Y6" i="24"/>
  <c r="Q6" i="24"/>
  <c r="I6" i="24"/>
  <c r="AJ6" i="24"/>
  <c r="AF6" i="24"/>
  <c r="Q7" i="27" s="1"/>
  <c r="P6" i="24"/>
  <c r="W6" i="24"/>
  <c r="AH6" i="24"/>
  <c r="AD6" i="24"/>
  <c r="V6" i="24"/>
  <c r="E7" i="27" s="1"/>
  <c r="N6" i="24"/>
  <c r="F6" i="24"/>
  <c r="AG6" i="24"/>
  <c r="R7" i="27" s="1"/>
  <c r="AC6" i="24"/>
  <c r="U6" i="24"/>
  <c r="M6" i="24"/>
  <c r="G112" i="30" s="1"/>
  <c r="E6" i="24"/>
  <c r="AH5" i="24"/>
  <c r="U5" i="24"/>
  <c r="S5" i="24"/>
  <c r="M111" i="30" s="1"/>
  <c r="AG5" i="24"/>
  <c r="R6" i="27" s="1"/>
  <c r="AM5" i="24"/>
  <c r="Z5" i="24"/>
  <c r="R5" i="24"/>
  <c r="L111" i="30" s="1"/>
  <c r="J5" i="24"/>
  <c r="B5" i="24"/>
  <c r="AK5" i="24"/>
  <c r="AF5" i="24"/>
  <c r="Q6" i="27" s="1"/>
  <c r="X5" i="24"/>
  <c r="P5" i="24"/>
  <c r="H5" i="24"/>
  <c r="AD5" i="24"/>
  <c r="E5" i="24"/>
  <c r="D5" i="24"/>
  <c r="C5" i="24"/>
  <c r="AL5" i="24"/>
  <c r="Y5" i="24"/>
  <c r="Q5" i="24"/>
  <c r="I5" i="24"/>
  <c r="N5" i="24"/>
  <c r="T5" i="24"/>
  <c r="K5" i="24"/>
  <c r="F5" i="24"/>
  <c r="AC5" i="24"/>
  <c r="AB5" i="24"/>
  <c r="AA5" i="24"/>
  <c r="AJ5" i="24"/>
  <c r="AE5" i="24"/>
  <c r="W5" i="24"/>
  <c r="O5" i="24"/>
  <c r="AI5" i="24"/>
  <c r="V5" i="24"/>
  <c r="E6" i="27" s="1"/>
  <c r="M5" i="24"/>
  <c r="G111" i="30" s="1"/>
  <c r="L5" i="24"/>
  <c r="F111" i="30" s="1"/>
  <c r="F114" i="30"/>
  <c r="L114" i="30"/>
  <c r="F108" i="30"/>
  <c r="O135" i="30"/>
  <c r="N135" i="30"/>
  <c r="E135" i="30"/>
  <c r="F135" i="30"/>
  <c r="E136" i="30"/>
  <c r="E138" i="30"/>
  <c r="F136" i="30"/>
  <c r="E137" i="30"/>
  <c r="F137" i="30"/>
  <c r="D138" i="30"/>
  <c r="M139" i="30"/>
  <c r="D139" i="30"/>
  <c r="E139" i="30"/>
  <c r="O139" i="30"/>
  <c r="M136" i="30"/>
  <c r="A9" i="32"/>
  <c r="N136" i="30"/>
  <c r="A10" i="32"/>
  <c r="A7" i="32"/>
  <c r="M137" i="30"/>
  <c r="A11" i="32"/>
  <c r="A12" i="32"/>
  <c r="N137" i="30"/>
  <c r="A8" i="32"/>
  <c r="A6" i="32"/>
  <c r="N138" i="30"/>
  <c r="M138" i="30"/>
  <c r="K115" i="30"/>
  <c r="E115" i="30"/>
  <c r="J115" i="30"/>
  <c r="D115" i="30"/>
  <c r="L11" i="27"/>
  <c r="N11" i="27" s="1"/>
  <c r="L10" i="27"/>
  <c r="M10" i="27" s="1"/>
  <c r="J11" i="27"/>
  <c r="I11" i="27"/>
  <c r="C66" i="3"/>
  <c r="D11" i="27"/>
  <c r="C65" i="3"/>
  <c r="D10" i="27"/>
  <c r="E8" i="27"/>
  <c r="G114" i="30"/>
  <c r="E16" i="2"/>
  <c r="E15" i="2"/>
  <c r="M108" i="30"/>
  <c r="B8" i="2"/>
  <c r="D8" i="2" s="1"/>
  <c r="F109" i="30"/>
  <c r="M109" i="30"/>
  <c r="L109" i="30"/>
  <c r="G109" i="30"/>
  <c r="E5" i="27"/>
  <c r="B10" i="2"/>
  <c r="D10" i="2" s="1"/>
  <c r="B11" i="2"/>
  <c r="D11" i="2" s="1"/>
  <c r="B12" i="2"/>
  <c r="D12" i="2" s="1"/>
  <c r="B14" i="2"/>
  <c r="D14" i="2" s="1"/>
  <c r="B9" i="2"/>
  <c r="D9" i="2" s="1"/>
  <c r="B13" i="2"/>
  <c r="D13" i="2" s="1"/>
  <c r="U8" i="27" l="1"/>
  <c r="C16" i="34" s="1"/>
  <c r="E16" i="34" s="1"/>
  <c r="U4" i="27"/>
  <c r="C12" i="34" s="1"/>
  <c r="E12" i="34" s="1"/>
  <c r="D109" i="30"/>
  <c r="K111" i="30"/>
  <c r="J109" i="30"/>
  <c r="K109" i="30"/>
  <c r="E109" i="30"/>
  <c r="J110" i="30"/>
  <c r="E110" i="30"/>
  <c r="J111" i="30"/>
  <c r="E111" i="30"/>
  <c r="K110" i="30"/>
  <c r="D111" i="30"/>
  <c r="D110" i="30"/>
  <c r="D114" i="30"/>
  <c r="M11" i="27"/>
  <c r="N10" i="27"/>
  <c r="C63" i="3"/>
  <c r="L4" i="27"/>
  <c r="M4" i="27" s="1"/>
  <c r="C58" i="3"/>
  <c r="C62" i="3"/>
  <c r="C60" i="3"/>
  <c r="C61" i="3"/>
  <c r="L5" i="27"/>
  <c r="C59" i="3"/>
  <c r="L3" i="27"/>
  <c r="C64" i="3"/>
  <c r="E10" i="2"/>
  <c r="E9" i="2"/>
  <c r="N4" i="27" l="1"/>
  <c r="N3" i="27"/>
  <c r="M3" i="27"/>
  <c r="N5" i="27"/>
  <c r="M5" i="27"/>
  <c r="K139" i="3" l="1"/>
  <c r="K138" i="3"/>
  <c r="E68" i="3"/>
  <c r="E67" i="3"/>
  <c r="N42" i="3"/>
  <c r="K42" i="3" s="1"/>
  <c r="N41" i="3"/>
  <c r="K41" i="3" s="1"/>
  <c r="M42" i="3"/>
  <c r="J42" i="3" s="1"/>
  <c r="M41" i="3"/>
  <c r="J41" i="3" s="1"/>
  <c r="L42" i="3"/>
  <c r="I42" i="3" s="1"/>
  <c r="L41" i="3"/>
  <c r="I41" i="3" s="1"/>
  <c r="B40" i="2"/>
  <c r="B39" i="2"/>
  <c r="K10" i="27"/>
  <c r="P10" i="27" s="1"/>
  <c r="C10" i="27"/>
  <c r="K9" i="27"/>
  <c r="C9" i="27"/>
  <c r="K8" i="27"/>
  <c r="C8" i="27"/>
  <c r="K7" i="27"/>
  <c r="C7" i="27"/>
  <c r="K6" i="27"/>
  <c r="C6" i="27"/>
  <c r="K5" i="27"/>
  <c r="C5" i="27"/>
  <c r="B5" i="27"/>
  <c r="K4" i="27"/>
  <c r="C4" i="27"/>
  <c r="B4" i="27"/>
  <c r="D4" i="27" l="1"/>
  <c r="P4" i="27"/>
  <c r="D5" i="27"/>
  <c r="P5" i="27"/>
  <c r="B162" i="3"/>
  <c r="C162" i="3" s="1"/>
  <c r="F162" i="3" s="1"/>
  <c r="B163" i="3"/>
  <c r="C163" i="3" s="1"/>
  <c r="G163" i="3" s="1"/>
  <c r="F67" i="3"/>
  <c r="F68" i="3"/>
  <c r="G5" i="27"/>
  <c r="H5" i="27" s="1"/>
  <c r="O5" i="27" s="1"/>
  <c r="G10" i="27"/>
  <c r="H10" i="27" s="1"/>
  <c r="O10" i="27" s="1"/>
  <c r="G4" i="27"/>
  <c r="H4" i="27" s="1"/>
  <c r="O4" i="27" s="1"/>
  <c r="E18" i="3"/>
  <c r="E19" i="3"/>
  <c r="E163" i="3" l="1"/>
  <c r="D162" i="3"/>
  <c r="D163" i="3"/>
  <c r="E162" i="3"/>
  <c r="G162" i="3"/>
  <c r="F163" i="3"/>
  <c r="J5" i="27"/>
  <c r="I5" i="27"/>
  <c r="I4" i="27"/>
  <c r="J4" i="27"/>
  <c r="I10" i="27"/>
  <c r="J10" i="27"/>
  <c r="M74" i="1"/>
  <c r="L74" i="1"/>
  <c r="M63" i="1"/>
  <c r="L63" i="1"/>
  <c r="H116" i="30"/>
  <c r="B151" i="1" l="1"/>
  <c r="A10" i="27"/>
  <c r="B174" i="1"/>
  <c r="K174" i="1" s="1"/>
  <c r="B145" i="1"/>
  <c r="A4" i="27"/>
  <c r="B175" i="1"/>
  <c r="K175" i="1" s="1"/>
  <c r="B147" i="1"/>
  <c r="A6" i="27"/>
  <c r="B173" i="1"/>
  <c r="K173" i="1" s="1"/>
  <c r="B148" i="1"/>
  <c r="A7" i="27"/>
  <c r="B152" i="1"/>
  <c r="B149" i="1"/>
  <c r="A8" i="27"/>
  <c r="B146" i="1"/>
  <c r="A5" i="27"/>
  <c r="B150" i="1"/>
  <c r="A9" i="27"/>
  <c r="B172" i="1"/>
  <c r="K172" i="1" s="1"/>
  <c r="L66" i="1"/>
  <c r="L77" i="1" s="1"/>
  <c r="M66" i="1"/>
  <c r="M77" i="1" s="1"/>
  <c r="E145" i="1" l="1"/>
  <c r="D145" i="1"/>
  <c r="B166" i="1"/>
  <c r="E148" i="1"/>
  <c r="D148" i="1"/>
  <c r="B168" i="1"/>
  <c r="D150" i="1"/>
  <c r="E150" i="1"/>
  <c r="B169" i="1"/>
  <c r="D151" i="1"/>
  <c r="E151" i="1"/>
  <c r="B167" i="1"/>
  <c r="E149" i="1"/>
  <c r="D149" i="1"/>
  <c r="D152" i="1"/>
  <c r="E152" i="1"/>
  <c r="B165" i="1"/>
  <c r="E147" i="1"/>
  <c r="D147" i="1"/>
  <c r="E146" i="1"/>
  <c r="D146" i="1"/>
  <c r="F173" i="1"/>
  <c r="G173" i="1"/>
  <c r="E173" i="1"/>
  <c r="D173" i="1"/>
  <c r="F172" i="1"/>
  <c r="D172" i="1"/>
  <c r="E172" i="1"/>
  <c r="G172" i="1"/>
  <c r="F174" i="1"/>
  <c r="E174" i="1"/>
  <c r="D174" i="1"/>
  <c r="G174" i="1"/>
  <c r="F175" i="1"/>
  <c r="G175" i="1"/>
  <c r="E175" i="1"/>
  <c r="D175" i="1"/>
  <c r="B116" i="30"/>
  <c r="K112" i="30"/>
  <c r="K116" i="30"/>
  <c r="J112" i="30"/>
  <c r="J116" i="30"/>
  <c r="B163" i="1"/>
  <c r="B171" i="1"/>
  <c r="K171" i="1" s="1"/>
  <c r="B164" i="1"/>
  <c r="B170" i="1"/>
  <c r="D116" i="30"/>
  <c r="B38" i="34" l="1"/>
  <c r="F168" i="1"/>
  <c r="E168" i="1"/>
  <c r="D168" i="1"/>
  <c r="G168" i="1"/>
  <c r="F164" i="1"/>
  <c r="E164" i="1"/>
  <c r="D164" i="1"/>
  <c r="G164" i="1"/>
  <c r="D163" i="1"/>
  <c r="G163" i="1"/>
  <c r="F163" i="1"/>
  <c r="E163" i="1"/>
  <c r="D167" i="1"/>
  <c r="G167" i="1"/>
  <c r="F167" i="1"/>
  <c r="E167" i="1"/>
  <c r="F166" i="1"/>
  <c r="G166" i="1"/>
  <c r="E166" i="1"/>
  <c r="D166" i="1"/>
  <c r="F170" i="1"/>
  <c r="G170" i="1"/>
  <c r="E170" i="1"/>
  <c r="D170" i="1"/>
  <c r="K170" i="1"/>
  <c r="D165" i="1"/>
  <c r="G165" i="1"/>
  <c r="F165" i="1"/>
  <c r="E165" i="1"/>
  <c r="D169" i="1"/>
  <c r="G169" i="1"/>
  <c r="K169" i="1"/>
  <c r="F169" i="1"/>
  <c r="E169" i="1"/>
  <c r="F171" i="1"/>
  <c r="E171" i="1"/>
  <c r="D171" i="1"/>
  <c r="G171" i="1"/>
  <c r="C33" i="34"/>
  <c r="C36" i="34"/>
  <c r="C34" i="34"/>
  <c r="B37" i="34"/>
  <c r="B35" i="34"/>
  <c r="C38" i="34"/>
  <c r="B33" i="34"/>
  <c r="C37" i="34"/>
  <c r="C35" i="34"/>
  <c r="B34" i="34"/>
  <c r="B36" i="34"/>
  <c r="E112" i="30"/>
  <c r="E116" i="30"/>
  <c r="D112" i="30"/>
  <c r="D113" i="30"/>
  <c r="K163" i="1" l="1"/>
  <c r="C26" i="34"/>
  <c r="C27" i="34"/>
  <c r="B32" i="34"/>
  <c r="K164" i="1"/>
  <c r="B26" i="34"/>
  <c r="C32" i="34"/>
  <c r="B27" i="34"/>
  <c r="E3" i="27" l="1"/>
  <c r="D108" i="30"/>
  <c r="J108" i="30"/>
  <c r="E108" i="30"/>
  <c r="K108" i="30"/>
  <c r="E114" i="30"/>
  <c r="K114" i="30"/>
  <c r="J114" i="30"/>
  <c r="J113" i="30" l="1"/>
  <c r="K113" i="30"/>
  <c r="E113" i="30"/>
  <c r="B179" i="1"/>
  <c r="A42" i="34" l="1"/>
  <c r="G179" i="1"/>
  <c r="H179" i="1"/>
  <c r="F179" i="1"/>
  <c r="E179" i="1"/>
  <c r="B184" i="1"/>
  <c r="B182" i="1"/>
  <c r="B185" i="1"/>
  <c r="B183" i="1"/>
  <c r="B180" i="1"/>
  <c r="B181" i="1"/>
  <c r="A47" i="34" l="1"/>
  <c r="A45" i="34"/>
  <c r="A48" i="34"/>
  <c r="A46" i="34"/>
  <c r="A43" i="34"/>
  <c r="A44" i="34"/>
  <c r="G184" i="1"/>
  <c r="G180" i="1"/>
  <c r="G183" i="1"/>
  <c r="G181" i="1"/>
  <c r="G185" i="1"/>
  <c r="G182" i="1"/>
  <c r="F184" i="1"/>
  <c r="H184" i="1"/>
  <c r="E184" i="1"/>
  <c r="F180" i="1"/>
  <c r="H180" i="1"/>
  <c r="E180" i="1"/>
  <c r="E183" i="1"/>
  <c r="H183" i="1"/>
  <c r="F183" i="1"/>
  <c r="H181" i="1"/>
  <c r="E181" i="1"/>
  <c r="F181" i="1"/>
  <c r="H185" i="1"/>
  <c r="F185" i="1"/>
  <c r="E185" i="1"/>
  <c r="F182" i="1"/>
  <c r="E182" i="1"/>
  <c r="H182" i="1"/>
  <c r="B73" i="1" l="1"/>
  <c r="B84" i="1" s="1"/>
  <c r="B72" i="1"/>
  <c r="B83" i="1" s="1"/>
  <c r="B71" i="1"/>
  <c r="B82" i="1" s="1"/>
  <c r="B70" i="1"/>
  <c r="B81" i="1" s="1"/>
  <c r="B69" i="1"/>
  <c r="B80" i="1" s="1"/>
  <c r="B68" i="1"/>
  <c r="B79" i="1" s="1"/>
  <c r="B67" i="1"/>
  <c r="B78" i="1" s="1"/>
  <c r="K142" i="3" l="1"/>
  <c r="K141" i="3"/>
  <c r="K140" i="3"/>
  <c r="E70" i="3"/>
  <c r="E69" i="3"/>
  <c r="N45" i="3"/>
  <c r="K45" i="3" s="1"/>
  <c r="M45" i="3"/>
  <c r="J45" i="3" s="1"/>
  <c r="L45" i="3"/>
  <c r="I45" i="3" s="1"/>
  <c r="N44" i="3"/>
  <c r="K44" i="3" s="1"/>
  <c r="M44" i="3"/>
  <c r="J44" i="3" s="1"/>
  <c r="L44" i="3"/>
  <c r="I44" i="3" s="1"/>
  <c r="N43" i="3"/>
  <c r="K43" i="3" s="1"/>
  <c r="M43" i="3"/>
  <c r="J43" i="3" s="1"/>
  <c r="L43" i="3"/>
  <c r="I43" i="3" s="1"/>
  <c r="E22" i="3"/>
  <c r="E21" i="3"/>
  <c r="E20" i="3"/>
  <c r="B44" i="2"/>
  <c r="B43" i="2"/>
  <c r="B42" i="2"/>
  <c r="B165" i="3" l="1"/>
  <c r="C165" i="3" s="1"/>
  <c r="E165" i="3" s="1"/>
  <c r="B164" i="3"/>
  <c r="C164" i="3" s="1"/>
  <c r="E164" i="3" s="1"/>
  <c r="H113" i="30"/>
  <c r="H114" i="30"/>
  <c r="F69" i="3"/>
  <c r="F70" i="3"/>
  <c r="P74" i="1"/>
  <c r="O74" i="1"/>
  <c r="N74" i="1"/>
  <c r="K74" i="1"/>
  <c r="J74" i="1"/>
  <c r="I74" i="1"/>
  <c r="H74" i="1"/>
  <c r="G74" i="1"/>
  <c r="F74" i="1"/>
  <c r="E74" i="1"/>
  <c r="C74" i="1"/>
  <c r="P63" i="1"/>
  <c r="O63" i="1"/>
  <c r="P66" i="1"/>
  <c r="P77" i="1" s="1"/>
  <c r="O66" i="1"/>
  <c r="O77" i="1" s="1"/>
  <c r="F164" i="3" l="1"/>
  <c r="F165" i="3"/>
  <c r="G164" i="3"/>
  <c r="D164" i="3"/>
  <c r="G165" i="3"/>
  <c r="D165" i="3"/>
  <c r="H112" i="30"/>
  <c r="H110" i="30"/>
  <c r="H108" i="30"/>
  <c r="B112" i="30"/>
  <c r="B109" i="30"/>
  <c r="B108" i="30"/>
  <c r="H111" i="30" l="1"/>
  <c r="H115" i="30"/>
  <c r="B111" i="30"/>
  <c r="B115" i="30"/>
  <c r="B110" i="30"/>
  <c r="B113" i="30"/>
  <c r="B114" i="30"/>
  <c r="E140" i="24"/>
  <c r="H109" i="30"/>
  <c r="K137" i="3"/>
  <c r="K136" i="3"/>
  <c r="E66" i="3"/>
  <c r="N40" i="3"/>
  <c r="K40" i="3" s="1"/>
  <c r="M40" i="3"/>
  <c r="J40" i="3" s="1"/>
  <c r="L40" i="3"/>
  <c r="I40" i="3" s="1"/>
  <c r="C17" i="3"/>
  <c r="B161" i="3" l="1"/>
  <c r="C161" i="3" s="1"/>
  <c r="F161" i="3" s="1"/>
  <c r="F66" i="3"/>
  <c r="D161" i="3" l="1"/>
  <c r="E161" i="3"/>
  <c r="G161" i="3"/>
  <c r="N66" i="1"/>
  <c r="N77" i="1" s="1"/>
  <c r="N63" i="1"/>
  <c r="B11" i="35" l="1"/>
  <c r="B12" i="35"/>
  <c r="B13" i="35"/>
  <c r="B14" i="35"/>
  <c r="B15" i="35"/>
  <c r="B16" i="35"/>
  <c r="B17" i="35"/>
  <c r="B18" i="35"/>
  <c r="B19" i="35"/>
  <c r="P16" i="30" l="1"/>
  <c r="P23" i="30" s="1"/>
  <c r="P30" i="30" s="1"/>
  <c r="P37" i="30" s="1"/>
  <c r="P44" i="30" s="1"/>
  <c r="P51" i="30" s="1"/>
  <c r="P58" i="30" s="1"/>
  <c r="P65" i="30" s="1"/>
  <c r="Y16" i="30"/>
  <c r="Y23" i="30" s="1"/>
  <c r="Y30" i="30" s="1"/>
  <c r="Y37" i="30" s="1"/>
  <c r="Y44" i="30" s="1"/>
  <c r="Y51" i="30" s="1"/>
  <c r="Y58" i="30" s="1"/>
  <c r="Y65" i="30" s="1"/>
  <c r="R15" i="30"/>
  <c r="R22" i="30" s="1"/>
  <c r="R29" i="30" s="1"/>
  <c r="R36" i="30" s="1"/>
  <c r="R43" i="30" s="1"/>
  <c r="R50" i="30" s="1"/>
  <c r="R57" i="30" s="1"/>
  <c r="R64" i="30" s="1"/>
  <c r="AA15" i="30"/>
  <c r="AA22" i="30" s="1"/>
  <c r="AA29" i="30" s="1"/>
  <c r="AA36" i="30" s="1"/>
  <c r="AA43" i="30" s="1"/>
  <c r="AA50" i="30" s="1"/>
  <c r="AA57" i="30" s="1"/>
  <c r="AA64" i="30" s="1"/>
  <c r="R16" i="30"/>
  <c r="R23" i="30" s="1"/>
  <c r="R30" i="30" s="1"/>
  <c r="R37" i="30" s="1"/>
  <c r="R44" i="30" s="1"/>
  <c r="R51" i="30" s="1"/>
  <c r="R58" i="30" s="1"/>
  <c r="R65" i="30" s="1"/>
  <c r="AA16" i="30"/>
  <c r="AA23" i="30" s="1"/>
  <c r="AA30" i="30" s="1"/>
  <c r="AA37" i="30" s="1"/>
  <c r="AA44" i="30" s="1"/>
  <c r="AA51" i="30" s="1"/>
  <c r="AA58" i="30" s="1"/>
  <c r="AA65" i="30" s="1"/>
  <c r="O15" i="30"/>
  <c r="O22" i="30" s="1"/>
  <c r="O29" i="30" s="1"/>
  <c r="O36" i="30" s="1"/>
  <c r="O43" i="30" s="1"/>
  <c r="O50" i="30" s="1"/>
  <c r="O57" i="30" s="1"/>
  <c r="O64" i="30" s="1"/>
  <c r="X15" i="30"/>
  <c r="X22" i="30" s="1"/>
  <c r="X29" i="30" s="1"/>
  <c r="X36" i="30" s="1"/>
  <c r="X43" i="30" s="1"/>
  <c r="X50" i="30" s="1"/>
  <c r="X57" i="30" s="1"/>
  <c r="X64" i="30" s="1"/>
  <c r="T15" i="30"/>
  <c r="T22" i="30" s="1"/>
  <c r="T29" i="30" s="1"/>
  <c r="T36" i="30" s="1"/>
  <c r="T43" i="30" s="1"/>
  <c r="T50" i="30" s="1"/>
  <c r="T57" i="30" s="1"/>
  <c r="T64" i="30" s="1"/>
  <c r="S15" i="30"/>
  <c r="S22" i="30" s="1"/>
  <c r="S29" i="30" s="1"/>
  <c r="S36" i="30" s="1"/>
  <c r="S43" i="30" s="1"/>
  <c r="S50" i="30" s="1"/>
  <c r="S57" i="30" s="1"/>
  <c r="S64" i="30" s="1"/>
  <c r="AB15" i="30"/>
  <c r="AB22" i="30" s="1"/>
  <c r="AB29" i="30" s="1"/>
  <c r="AB36" i="30" s="1"/>
  <c r="AB43" i="30" s="1"/>
  <c r="AB50" i="30" s="1"/>
  <c r="AB57" i="30" s="1"/>
  <c r="AB64" i="30" s="1"/>
  <c r="AC15" i="30"/>
  <c r="AC22" i="30" s="1"/>
  <c r="AC29" i="30" s="1"/>
  <c r="AC36" i="30" s="1"/>
  <c r="AC43" i="30" s="1"/>
  <c r="AC50" i="30" s="1"/>
  <c r="AC57" i="30" s="1"/>
  <c r="AC64" i="30" s="1"/>
  <c r="Q15" i="30"/>
  <c r="Q22" i="30" s="1"/>
  <c r="Q29" i="30" s="1"/>
  <c r="Q36" i="30" s="1"/>
  <c r="Q43" i="30" s="1"/>
  <c r="Q50" i="30" s="1"/>
  <c r="Q57" i="30" s="1"/>
  <c r="Q64" i="30" s="1"/>
  <c r="Z15" i="30"/>
  <c r="Z22" i="30" s="1"/>
  <c r="Z29" i="30" s="1"/>
  <c r="Z36" i="30" s="1"/>
  <c r="Z43" i="30" s="1"/>
  <c r="Z50" i="30" s="1"/>
  <c r="Z57" i="30" s="1"/>
  <c r="Z64" i="30" s="1"/>
  <c r="Q16" i="30"/>
  <c r="Q23" i="30" s="1"/>
  <c r="Q30" i="30" s="1"/>
  <c r="Q37" i="30" s="1"/>
  <c r="Q44" i="30" s="1"/>
  <c r="Q51" i="30" s="1"/>
  <c r="Q58" i="30" s="1"/>
  <c r="Q65" i="30" s="1"/>
  <c r="Z16" i="30"/>
  <c r="Z23" i="30" s="1"/>
  <c r="Z30" i="30" s="1"/>
  <c r="Z37" i="30" s="1"/>
  <c r="Z44" i="30" s="1"/>
  <c r="Z51" i="30" s="1"/>
  <c r="Z58" i="30" s="1"/>
  <c r="Z65" i="30" s="1"/>
  <c r="O16" i="30"/>
  <c r="O23" i="30" s="1"/>
  <c r="O30" i="30" s="1"/>
  <c r="O37" i="30" s="1"/>
  <c r="O44" i="30" s="1"/>
  <c r="O51" i="30" s="1"/>
  <c r="O58" i="30" s="1"/>
  <c r="O65" i="30" s="1"/>
  <c r="X16" i="30"/>
  <c r="X23" i="30" s="1"/>
  <c r="X30" i="30" s="1"/>
  <c r="X37" i="30" s="1"/>
  <c r="X44" i="30" s="1"/>
  <c r="X51" i="30" s="1"/>
  <c r="X58" i="30" s="1"/>
  <c r="X65" i="30" s="1"/>
  <c r="T16" i="30"/>
  <c r="T23" i="30" s="1"/>
  <c r="T30" i="30" s="1"/>
  <c r="T37" i="30" s="1"/>
  <c r="T44" i="30" s="1"/>
  <c r="T51" i="30" s="1"/>
  <c r="T58" i="30" s="1"/>
  <c r="T65" i="30" s="1"/>
  <c r="S16" i="30"/>
  <c r="S23" i="30" s="1"/>
  <c r="S30" i="30" s="1"/>
  <c r="S37" i="30" s="1"/>
  <c r="S44" i="30" s="1"/>
  <c r="S51" i="30" s="1"/>
  <c r="S58" i="30" s="1"/>
  <c r="S65" i="30" s="1"/>
  <c r="AB16" i="30"/>
  <c r="AB23" i="30" s="1"/>
  <c r="AB30" i="30" s="1"/>
  <c r="AB37" i="30" s="1"/>
  <c r="AB44" i="30" s="1"/>
  <c r="AB51" i="30" s="1"/>
  <c r="AB58" i="30" s="1"/>
  <c r="AB65" i="30" s="1"/>
  <c r="AC16" i="30"/>
  <c r="AC23" i="30" s="1"/>
  <c r="AC30" i="30" s="1"/>
  <c r="AC37" i="30" s="1"/>
  <c r="AC44" i="30" s="1"/>
  <c r="AC51" i="30" s="1"/>
  <c r="AC58" i="30" s="1"/>
  <c r="AC65" i="30" s="1"/>
  <c r="P15" i="30"/>
  <c r="P22" i="30" s="1"/>
  <c r="P29" i="30" s="1"/>
  <c r="P36" i="30" s="1"/>
  <c r="P43" i="30" s="1"/>
  <c r="P50" i="30" s="1"/>
  <c r="P57" i="30" s="1"/>
  <c r="P64" i="30" s="1"/>
  <c r="Y15" i="30"/>
  <c r="Y22" i="30" s="1"/>
  <c r="Y29" i="30" s="1"/>
  <c r="Y36" i="30" s="1"/>
  <c r="Y43" i="30" s="1"/>
  <c r="Y50" i="30" s="1"/>
  <c r="Y57" i="30" s="1"/>
  <c r="Y64" i="30" s="1"/>
  <c r="G6" i="24"/>
  <c r="G5" i="24"/>
  <c r="G4" i="24"/>
  <c r="G2" i="24"/>
  <c r="AE154" i="30" l="1"/>
  <c r="I114" i="30"/>
  <c r="C114" i="30"/>
  <c r="L86" i="30"/>
  <c r="U154" i="30"/>
  <c r="L37" i="30"/>
  <c r="Y154" i="30"/>
  <c r="AA154" i="30"/>
  <c r="AA146" i="30"/>
  <c r="W147" i="30"/>
  <c r="L78" i="30"/>
  <c r="Y147" i="30"/>
  <c r="L44" i="30"/>
  <c r="L50" i="30"/>
  <c r="Z71" i="30"/>
  <c r="Z78" i="30" s="1"/>
  <c r="Z85" i="30"/>
  <c r="Z92" i="30" s="1"/>
  <c r="Z99" i="30" s="1"/>
  <c r="X71" i="30"/>
  <c r="X78" i="30" s="1"/>
  <c r="X85" i="30"/>
  <c r="X92" i="30" s="1"/>
  <c r="X99" i="30" s="1"/>
  <c r="Y72" i="30"/>
  <c r="Y79" i="30" s="1"/>
  <c r="Y86" i="30"/>
  <c r="Y93" i="30" s="1"/>
  <c r="Y100" i="30" s="1"/>
  <c r="P85" i="30"/>
  <c r="P92" i="30" s="1"/>
  <c r="P99" i="30" s="1"/>
  <c r="P71" i="30"/>
  <c r="P78" i="30" s="1"/>
  <c r="N16" i="30"/>
  <c r="S147" i="30" s="1"/>
  <c r="U9" i="30"/>
  <c r="L72" i="30"/>
  <c r="N15" i="30"/>
  <c r="S146" i="30" s="1"/>
  <c r="U8" i="30"/>
  <c r="AB86" i="30"/>
  <c r="AB93" i="30" s="1"/>
  <c r="AB100" i="30" s="1"/>
  <c r="AB72" i="30"/>
  <c r="AB79" i="30" s="1"/>
  <c r="O86" i="30"/>
  <c r="O93" i="30" s="1"/>
  <c r="O100" i="30" s="1"/>
  <c r="O72" i="30"/>
  <c r="O79" i="30" s="1"/>
  <c r="Q72" i="30"/>
  <c r="Q79" i="30" s="1"/>
  <c r="Q86" i="30"/>
  <c r="Q93" i="30" s="1"/>
  <c r="Q100" i="30" s="1"/>
  <c r="Q85" i="30"/>
  <c r="Q92" i="30" s="1"/>
  <c r="Q99" i="30" s="1"/>
  <c r="Q71" i="30"/>
  <c r="Q78" i="30" s="1"/>
  <c r="AB71" i="30"/>
  <c r="AB78" i="30" s="1"/>
  <c r="AB85" i="30"/>
  <c r="AB92" i="30" s="1"/>
  <c r="AB99" i="30" s="1"/>
  <c r="AE146" i="30"/>
  <c r="O85" i="30"/>
  <c r="O92" i="30" s="1"/>
  <c r="O99" i="30" s="1"/>
  <c r="O71" i="30"/>
  <c r="O78" i="30" s="1"/>
  <c r="R86" i="30"/>
  <c r="R93" i="30" s="1"/>
  <c r="R100" i="30" s="1"/>
  <c r="R72" i="30"/>
  <c r="R79" i="30" s="1"/>
  <c r="AA147" i="30"/>
  <c r="R71" i="30"/>
  <c r="R78" i="30" s="1"/>
  <c r="R85" i="30"/>
  <c r="R92" i="30" s="1"/>
  <c r="R99" i="30" s="1"/>
  <c r="L8" i="30"/>
  <c r="P86" i="30"/>
  <c r="P93" i="30" s="1"/>
  <c r="P100" i="30" s="1"/>
  <c r="P72" i="30"/>
  <c r="P79" i="30" s="1"/>
  <c r="W16" i="30"/>
  <c r="AD9" i="30"/>
  <c r="AC85" i="30"/>
  <c r="AC92" i="30" s="1"/>
  <c r="AC99" i="30" s="1"/>
  <c r="AC71" i="30"/>
  <c r="AC78" i="30" s="1"/>
  <c r="S71" i="30"/>
  <c r="S78" i="30" s="1"/>
  <c r="S85" i="30"/>
  <c r="S92" i="30" s="1"/>
  <c r="S99" i="30" s="1"/>
  <c r="L93" i="30"/>
  <c r="L29" i="30"/>
  <c r="T86" i="30"/>
  <c r="T93" i="30" s="1"/>
  <c r="T100" i="30" s="1"/>
  <c r="T72" i="30"/>
  <c r="T79" i="30" s="1"/>
  <c r="AC154" i="30"/>
  <c r="T71" i="30"/>
  <c r="T78" i="30" s="1"/>
  <c r="T85" i="30"/>
  <c r="T92" i="30" s="1"/>
  <c r="T99" i="30" s="1"/>
  <c r="L85" i="30"/>
  <c r="U153" i="30"/>
  <c r="C108" i="30"/>
  <c r="B126" i="30" s="1"/>
  <c r="I108" i="30"/>
  <c r="C126" i="30" s="1"/>
  <c r="W15" i="30"/>
  <c r="AD8" i="30"/>
  <c r="X72" i="30"/>
  <c r="X79" i="30" s="1"/>
  <c r="X86" i="30"/>
  <c r="X93" i="30" s="1"/>
  <c r="X100" i="30" s="1"/>
  <c r="L79" i="30"/>
  <c r="W153" i="30"/>
  <c r="L22" i="30"/>
  <c r="AC147" i="30"/>
  <c r="AC153" i="30"/>
  <c r="AE153" i="30"/>
  <c r="U146" i="30"/>
  <c r="Y71" i="30"/>
  <c r="Y78" i="30" s="1"/>
  <c r="Y85" i="30"/>
  <c r="Y92" i="30" s="1"/>
  <c r="Y99" i="30" s="1"/>
  <c r="L57" i="30"/>
  <c r="Z72" i="30"/>
  <c r="Z79" i="30" s="1"/>
  <c r="Z86" i="30"/>
  <c r="Z93" i="30" s="1"/>
  <c r="Z100" i="30" s="1"/>
  <c r="AA71" i="30"/>
  <c r="AA78" i="30" s="1"/>
  <c r="AA85" i="30"/>
  <c r="AA92" i="30" s="1"/>
  <c r="AA99" i="30" s="1"/>
  <c r="L71" i="30"/>
  <c r="L64" i="30"/>
  <c r="W146" i="30"/>
  <c r="L100" i="30"/>
  <c r="L99" i="30"/>
  <c r="L92" i="30"/>
  <c r="U147" i="30"/>
  <c r="Y153" i="30"/>
  <c r="L36" i="30"/>
  <c r="AA153" i="30"/>
  <c r="AC86" i="30"/>
  <c r="AC93" i="30" s="1"/>
  <c r="AC100" i="30" s="1"/>
  <c r="AC72" i="30"/>
  <c r="AC79" i="30" s="1"/>
  <c r="L30" i="30"/>
  <c r="L58" i="30"/>
  <c r="Y146" i="30"/>
  <c r="L43" i="30"/>
  <c r="L9" i="30"/>
  <c r="L16" i="30"/>
  <c r="AA72" i="30"/>
  <c r="AA79" i="30" s="1"/>
  <c r="AA86" i="30"/>
  <c r="AA93" i="30" s="1"/>
  <c r="AA100" i="30" s="1"/>
  <c r="S72" i="30"/>
  <c r="S79" i="30" s="1"/>
  <c r="S86" i="30"/>
  <c r="S93" i="30" s="1"/>
  <c r="S100" i="30" s="1"/>
  <c r="C116" i="30"/>
  <c r="B134" i="30" s="1"/>
  <c r="I116" i="30"/>
  <c r="C134" i="30" s="1"/>
  <c r="L51" i="30"/>
  <c r="L65" i="30"/>
  <c r="L23" i="30"/>
  <c r="L15" i="30"/>
  <c r="AE147" i="30"/>
  <c r="AC146" i="30"/>
  <c r="W154" i="30"/>
  <c r="AF8" i="30" l="1"/>
  <c r="D80" i="3" s="1"/>
  <c r="G136" i="30"/>
  <c r="J136" i="30" s="1"/>
  <c r="B153" i="30" s="1"/>
  <c r="P136" i="30"/>
  <c r="S136" i="30" s="1"/>
  <c r="E153" i="30" s="1"/>
  <c r="G137" i="30"/>
  <c r="J137" i="30" s="1"/>
  <c r="B154" i="30" s="1"/>
  <c r="P137" i="30"/>
  <c r="S137" i="30" s="1"/>
  <c r="E154" i="30" s="1"/>
  <c r="AE8" i="30"/>
  <c r="G135" i="30"/>
  <c r="J135" i="30" s="1"/>
  <c r="B152" i="30" s="1"/>
  <c r="P135" i="30"/>
  <c r="S135" i="30" s="1"/>
  <c r="E152" i="30" s="1"/>
  <c r="I109" i="30"/>
  <c r="C127" i="30" s="1"/>
  <c r="C109" i="30"/>
  <c r="B127" i="30" s="1"/>
  <c r="I115" i="30"/>
  <c r="C133" i="30" s="1"/>
  <c r="C115" i="30"/>
  <c r="B133" i="30" s="1"/>
  <c r="G138" i="30"/>
  <c r="J138" i="30" s="1"/>
  <c r="B155" i="30" s="1"/>
  <c r="P138" i="30"/>
  <c r="S138" i="30" s="1"/>
  <c r="E155" i="30" s="1"/>
  <c r="AD15" i="30"/>
  <c r="W22" i="30"/>
  <c r="AE9" i="30"/>
  <c r="D32" i="3" s="1"/>
  <c r="N22" i="30"/>
  <c r="I111" i="30"/>
  <c r="C111" i="30"/>
  <c r="P139" i="30"/>
  <c r="S139" i="30" s="1"/>
  <c r="E156" i="30" s="1"/>
  <c r="G139" i="30"/>
  <c r="J139" i="30" s="1"/>
  <c r="B156" i="30" s="1"/>
  <c r="O126" i="30"/>
  <c r="R126" i="30" s="1"/>
  <c r="U126" i="30" s="1"/>
  <c r="G143" i="30" s="1"/>
  <c r="N126" i="30"/>
  <c r="Q126" i="30" s="1"/>
  <c r="T126" i="30" s="1"/>
  <c r="F143" i="30" s="1"/>
  <c r="M126" i="30"/>
  <c r="P126" i="30" s="1"/>
  <c r="S126" i="30" s="1"/>
  <c r="E143" i="30" s="1"/>
  <c r="AD16" i="30"/>
  <c r="W23" i="30"/>
  <c r="I113" i="30"/>
  <c r="C113" i="30"/>
  <c r="M134" i="30"/>
  <c r="P134" i="30" s="1"/>
  <c r="S134" i="30" s="1"/>
  <c r="E151" i="30" s="1"/>
  <c r="N134" i="30"/>
  <c r="O134" i="30"/>
  <c r="D126" i="30"/>
  <c r="E126" i="30"/>
  <c r="F126" i="30"/>
  <c r="C110" i="30"/>
  <c r="B128" i="30" s="1"/>
  <c r="I110" i="30"/>
  <c r="C128" i="30" s="1"/>
  <c r="C112" i="30"/>
  <c r="I112" i="30"/>
  <c r="E134" i="30"/>
  <c r="D134" i="30"/>
  <c r="G134" i="30" s="1"/>
  <c r="J134" i="30" s="1"/>
  <c r="B151" i="30" s="1"/>
  <c r="F134" i="30"/>
  <c r="N23" i="30"/>
  <c r="K153" i="30" l="1"/>
  <c r="H154" i="30"/>
  <c r="B171" i="30"/>
  <c r="H153" i="30"/>
  <c r="H152" i="30"/>
  <c r="H155" i="30"/>
  <c r="H156" i="30"/>
  <c r="F133" i="30"/>
  <c r="E133" i="30"/>
  <c r="D133" i="30"/>
  <c r="G133" i="30" s="1"/>
  <c r="J133" i="30" s="1"/>
  <c r="B150" i="30" s="1"/>
  <c r="W30" i="30"/>
  <c r="AD23" i="30"/>
  <c r="N133" i="30"/>
  <c r="M133" i="30"/>
  <c r="P133" i="30" s="1"/>
  <c r="S133" i="30" s="1"/>
  <c r="E150" i="30" s="1"/>
  <c r="O133" i="30"/>
  <c r="W29" i="30"/>
  <c r="AD22" i="30"/>
  <c r="H151" i="30"/>
  <c r="B169" i="30"/>
  <c r="K151" i="30"/>
  <c r="B173" i="30"/>
  <c r="K155" i="30"/>
  <c r="K152" i="30"/>
  <c r="B170" i="30"/>
  <c r="B172" i="30"/>
  <c r="K154" i="30"/>
  <c r="N128" i="30"/>
  <c r="M128" i="30"/>
  <c r="P128" i="30" s="1"/>
  <c r="S128" i="30" s="1"/>
  <c r="E145" i="30" s="1"/>
  <c r="O128" i="30"/>
  <c r="B174" i="30"/>
  <c r="K156" i="30"/>
  <c r="D127" i="30"/>
  <c r="E127" i="30"/>
  <c r="F127" i="30"/>
  <c r="U23" i="30"/>
  <c r="N30" i="30"/>
  <c r="S154" i="30"/>
  <c r="D128" i="30"/>
  <c r="F128" i="30"/>
  <c r="E128" i="30"/>
  <c r="N29" i="30"/>
  <c r="U22" i="30"/>
  <c r="S153" i="30"/>
  <c r="O127" i="30"/>
  <c r="R127" i="30" s="1"/>
  <c r="U127" i="30" s="1"/>
  <c r="G144" i="30" s="1"/>
  <c r="N127" i="30"/>
  <c r="M127" i="30"/>
  <c r="P127" i="30" s="1"/>
  <c r="S127" i="30" s="1"/>
  <c r="E144" i="30" s="1"/>
  <c r="AF22" i="30" l="1"/>
  <c r="D82" i="3" s="1"/>
  <c r="CT19" i="32"/>
  <c r="CD18" i="32"/>
  <c r="AX15" i="32"/>
  <c r="AX16" i="32"/>
  <c r="CT17" i="32"/>
  <c r="BN18" i="32"/>
  <c r="R17" i="32"/>
  <c r="CD17" i="32"/>
  <c r="BN17" i="32"/>
  <c r="CT18" i="32"/>
  <c r="AX17" i="32"/>
  <c r="AH17" i="32"/>
  <c r="B17" i="32"/>
  <c r="CD15" i="32"/>
  <c r="AH15" i="32"/>
  <c r="R15" i="32"/>
  <c r="B15" i="32"/>
  <c r="CT15" i="32"/>
  <c r="BN15" i="32"/>
  <c r="CT16" i="32"/>
  <c r="AH16" i="32"/>
  <c r="R16" i="32"/>
  <c r="R18" i="32"/>
  <c r="B18" i="32"/>
  <c r="B16" i="32"/>
  <c r="CD16" i="32"/>
  <c r="AH18" i="32"/>
  <c r="BN16" i="32"/>
  <c r="AX18" i="32"/>
  <c r="BN19" i="32"/>
  <c r="CD19" i="32"/>
  <c r="AH19" i="32"/>
  <c r="R19" i="32"/>
  <c r="AX19" i="32"/>
  <c r="B19" i="32"/>
  <c r="H150" i="30"/>
  <c r="R128" i="30"/>
  <c r="U128" i="30" s="1"/>
  <c r="G145" i="30" s="1"/>
  <c r="AE23" i="30"/>
  <c r="D34" i="3" s="1"/>
  <c r="W37" i="30"/>
  <c r="AD30" i="30"/>
  <c r="Q128" i="30"/>
  <c r="T128" i="30" s="1"/>
  <c r="F145" i="30" s="1"/>
  <c r="AE22" i="30"/>
  <c r="K150" i="30"/>
  <c r="B168" i="30"/>
  <c r="U29" i="30"/>
  <c r="N36" i="30"/>
  <c r="AD29" i="30"/>
  <c r="W36" i="30"/>
  <c r="N37" i="30"/>
  <c r="U30" i="30"/>
  <c r="BN14" i="32"/>
  <c r="CD14" i="32"/>
  <c r="CT14" i="32"/>
  <c r="B14" i="32"/>
  <c r="R14" i="32"/>
  <c r="AX14" i="32"/>
  <c r="AH14" i="32"/>
  <c r="N33" i="3"/>
  <c r="K33" i="3" s="1"/>
  <c r="N34" i="3"/>
  <c r="K34" i="3" s="1"/>
  <c r="N35" i="3"/>
  <c r="K35" i="3" s="1"/>
  <c r="N36" i="3"/>
  <c r="K36" i="3" s="1"/>
  <c r="N37" i="3"/>
  <c r="K37" i="3" s="1"/>
  <c r="N38" i="3"/>
  <c r="K38" i="3" s="1"/>
  <c r="N39" i="3"/>
  <c r="K39" i="3" s="1"/>
  <c r="N32" i="3"/>
  <c r="K32" i="3" s="1"/>
  <c r="M33" i="3"/>
  <c r="J33" i="3" s="1"/>
  <c r="M34" i="3"/>
  <c r="J34" i="3" s="1"/>
  <c r="M35" i="3"/>
  <c r="J35" i="3" s="1"/>
  <c r="M36" i="3"/>
  <c r="J36" i="3" s="1"/>
  <c r="M37" i="3"/>
  <c r="J37" i="3" s="1"/>
  <c r="M38" i="3"/>
  <c r="J38" i="3" s="1"/>
  <c r="M39" i="3"/>
  <c r="J39" i="3" s="1"/>
  <c r="M32" i="3"/>
  <c r="J32" i="3" s="1"/>
  <c r="L33" i="3"/>
  <c r="I33" i="3" s="1"/>
  <c r="L34" i="3"/>
  <c r="I34" i="3" s="1"/>
  <c r="L35" i="3"/>
  <c r="I35" i="3" s="1"/>
  <c r="L36" i="3"/>
  <c r="I36" i="3" s="1"/>
  <c r="L37" i="3"/>
  <c r="I37" i="3" s="1"/>
  <c r="L38" i="3"/>
  <c r="I38" i="3" s="1"/>
  <c r="L39" i="3"/>
  <c r="I39" i="3" s="1"/>
  <c r="L32" i="3"/>
  <c r="I32" i="3" s="1"/>
  <c r="M31" i="3"/>
  <c r="AF29" i="30" l="1"/>
  <c r="D83" i="3" s="1"/>
  <c r="AH13" i="32"/>
  <c r="B13" i="32"/>
  <c r="CT13" i="32"/>
  <c r="R13" i="32"/>
  <c r="CD13" i="32"/>
  <c r="BN13" i="32"/>
  <c r="AX13" i="32"/>
  <c r="AE30" i="30"/>
  <c r="D35" i="3" s="1"/>
  <c r="AD36" i="30"/>
  <c r="W43" i="30"/>
  <c r="N44" i="30"/>
  <c r="U37" i="30"/>
  <c r="N43" i="30"/>
  <c r="U36" i="30"/>
  <c r="AD37" i="30"/>
  <c r="W44" i="30"/>
  <c r="AE29" i="30"/>
  <c r="AF36" i="30" l="1"/>
  <c r="D84" i="3" s="1"/>
  <c r="AE37" i="30"/>
  <c r="D36" i="3" s="1"/>
  <c r="N50" i="30"/>
  <c r="U43" i="30"/>
  <c r="W50" i="30"/>
  <c r="AD43" i="30"/>
  <c r="AD44" i="30"/>
  <c r="W51" i="30"/>
  <c r="N51" i="30"/>
  <c r="U44" i="30"/>
  <c r="AE36" i="30"/>
  <c r="A3" i="37"/>
  <c r="E17" i="20"/>
  <c r="K3" i="27"/>
  <c r="B3" i="27"/>
  <c r="D3" i="27" l="1"/>
  <c r="P3" i="27"/>
  <c r="AF43" i="30"/>
  <c r="D85" i="3" s="1"/>
  <c r="AD50" i="30"/>
  <c r="W57" i="30"/>
  <c r="AE43" i="30"/>
  <c r="N57" i="30"/>
  <c r="U50" i="30"/>
  <c r="U51" i="30"/>
  <c r="AE51" i="30" s="1"/>
  <c r="D38" i="3" s="1"/>
  <c r="N58" i="30"/>
  <c r="AD51" i="30"/>
  <c r="W58" i="30"/>
  <c r="AE44" i="30"/>
  <c r="D37" i="3" s="1"/>
  <c r="C3" i="27"/>
  <c r="G3" i="27" s="1"/>
  <c r="AF50" i="30" l="1"/>
  <c r="D86" i="3" s="1"/>
  <c r="AD58" i="30"/>
  <c r="W65" i="30"/>
  <c r="W64" i="30"/>
  <c r="AD57" i="30"/>
  <c r="H3" i="27"/>
  <c r="O3" i="27" s="1"/>
  <c r="AE50" i="30"/>
  <c r="U58" i="30"/>
  <c r="AE58" i="30" s="1"/>
  <c r="D39" i="3" s="1"/>
  <c r="N65" i="30"/>
  <c r="U57" i="30"/>
  <c r="N64" i="30"/>
  <c r="E21" i="18"/>
  <c r="E20" i="18"/>
  <c r="F20" i="18"/>
  <c r="F21" i="18"/>
  <c r="F22" i="18"/>
  <c r="F23" i="18"/>
  <c r="A11" i="18"/>
  <c r="A12" i="18"/>
  <c r="A13" i="18"/>
  <c r="A14" i="18"/>
  <c r="I3" i="27" l="1"/>
  <c r="AF57" i="30"/>
  <c r="D87" i="3" s="1"/>
  <c r="J3" i="27"/>
  <c r="N71" i="30"/>
  <c r="U64" i="30"/>
  <c r="AE57" i="30"/>
  <c r="Q133" i="30"/>
  <c r="T133" i="30" s="1"/>
  <c r="F150" i="30" s="1"/>
  <c r="H133" i="30"/>
  <c r="K133" i="30" s="1"/>
  <c r="C150" i="30" s="1"/>
  <c r="R133" i="30"/>
  <c r="U133" i="30" s="1"/>
  <c r="G150" i="30" s="1"/>
  <c r="I133" i="30"/>
  <c r="L133" i="30" s="1"/>
  <c r="D150" i="30" s="1"/>
  <c r="U65" i="30"/>
  <c r="AE65" i="30" s="1"/>
  <c r="D40" i="3" s="1"/>
  <c r="N72" i="30"/>
  <c r="W71" i="30"/>
  <c r="AD64" i="30"/>
  <c r="AD65" i="30"/>
  <c r="W72" i="30"/>
  <c r="C92" i="1"/>
  <c r="B190" i="1" s="1"/>
  <c r="C93" i="1"/>
  <c r="B191" i="1" s="1"/>
  <c r="C94" i="1"/>
  <c r="B192" i="1" s="1"/>
  <c r="C95" i="1"/>
  <c r="B193" i="1" s="1"/>
  <c r="C96" i="1"/>
  <c r="B194" i="1" s="1"/>
  <c r="C97" i="1"/>
  <c r="B195" i="1" s="1"/>
  <c r="D63" i="1"/>
  <c r="E63" i="1"/>
  <c r="F63" i="1"/>
  <c r="G63" i="1"/>
  <c r="H63" i="1"/>
  <c r="I63" i="1"/>
  <c r="J63" i="1"/>
  <c r="K63" i="1"/>
  <c r="C63" i="1"/>
  <c r="AF64" i="30" l="1"/>
  <c r="D88" i="3" s="1"/>
  <c r="A18" i="29"/>
  <c r="A5" i="29"/>
  <c r="N79" i="30"/>
  <c r="U72" i="30"/>
  <c r="AE72" i="30" s="1"/>
  <c r="D41" i="3" s="1"/>
  <c r="AE64" i="30"/>
  <c r="H134" i="30"/>
  <c r="K134" i="30" s="1"/>
  <c r="C151" i="30" s="1"/>
  <c r="Q134" i="30"/>
  <c r="T134" i="30" s="1"/>
  <c r="F151" i="30" s="1"/>
  <c r="A23" i="29"/>
  <c r="A10" i="29"/>
  <c r="R134" i="30"/>
  <c r="U134" i="30" s="1"/>
  <c r="G151" i="30" s="1"/>
  <c r="I134" i="30"/>
  <c r="L134" i="30" s="1"/>
  <c r="D151" i="30" s="1"/>
  <c r="A9" i="29"/>
  <c r="A22" i="29"/>
  <c r="W78" i="30"/>
  <c r="AD71" i="30"/>
  <c r="J150" i="30"/>
  <c r="C168" i="30"/>
  <c r="L150" i="30"/>
  <c r="D168" i="30"/>
  <c r="M150" i="30"/>
  <c r="I150" i="30"/>
  <c r="W79" i="30"/>
  <c r="AD72" i="30"/>
  <c r="N78" i="30"/>
  <c r="U71" i="30"/>
  <c r="A21" i="29"/>
  <c r="A8" i="29"/>
  <c r="A7" i="29"/>
  <c r="A20" i="29"/>
  <c r="A6" i="29"/>
  <c r="A19" i="29"/>
  <c r="AF71" i="30" l="1"/>
  <c r="P150" i="30"/>
  <c r="I151" i="30"/>
  <c r="E168" i="30"/>
  <c r="F168" i="30" s="1"/>
  <c r="N85" i="30"/>
  <c r="U78" i="30"/>
  <c r="BP13" i="32"/>
  <c r="CF13" i="32"/>
  <c r="CV13" i="32"/>
  <c r="D13" i="32"/>
  <c r="AJ13" i="32"/>
  <c r="AZ13" i="32"/>
  <c r="AD79" i="30"/>
  <c r="W86" i="30"/>
  <c r="W85" i="30"/>
  <c r="AD78" i="30"/>
  <c r="AY13" i="32"/>
  <c r="BO13" i="32"/>
  <c r="CE13" i="32"/>
  <c r="CU13" i="32"/>
  <c r="C13" i="32"/>
  <c r="S13" i="32"/>
  <c r="AI13" i="32"/>
  <c r="R150" i="30"/>
  <c r="R135" i="30"/>
  <c r="U135" i="30" s="1"/>
  <c r="G152" i="30" s="1"/>
  <c r="I135" i="30"/>
  <c r="L135" i="30" s="1"/>
  <c r="D152" i="30" s="1"/>
  <c r="C169" i="30"/>
  <c r="L151" i="30"/>
  <c r="M151" i="30"/>
  <c r="D169" i="30"/>
  <c r="Q135" i="30"/>
  <c r="T135" i="30" s="1"/>
  <c r="F152" i="30" s="1"/>
  <c r="H135" i="30"/>
  <c r="K135" i="30" s="1"/>
  <c r="C152" i="30" s="1"/>
  <c r="D89" i="3"/>
  <c r="AE71" i="30"/>
  <c r="J151" i="30"/>
  <c r="U79" i="30"/>
  <c r="AE79" i="30" s="1"/>
  <c r="D42" i="3" s="1"/>
  <c r="N86" i="30"/>
  <c r="AF78" i="30" l="1"/>
  <c r="BO14" i="32"/>
  <c r="P151" i="30"/>
  <c r="C39" i="2" s="1"/>
  <c r="E39" i="2" s="1"/>
  <c r="AI14" i="32"/>
  <c r="S14" i="32"/>
  <c r="C14" i="32"/>
  <c r="R151" i="30"/>
  <c r="X151" i="30" s="1"/>
  <c r="CE14" i="32"/>
  <c r="CU14" i="32"/>
  <c r="AY14" i="32"/>
  <c r="Q168" i="30"/>
  <c r="R168" i="30" s="1"/>
  <c r="O168" i="30"/>
  <c r="P168" i="30" s="1"/>
  <c r="E169" i="30"/>
  <c r="F169" i="30" s="1"/>
  <c r="Q169" i="30" s="1"/>
  <c r="N93" i="30"/>
  <c r="U86" i="30"/>
  <c r="AE86" i="30" s="1"/>
  <c r="D43" i="3" s="1"/>
  <c r="CV14" i="32"/>
  <c r="D14" i="32"/>
  <c r="AJ14" i="32"/>
  <c r="AZ14" i="32"/>
  <c r="BP14" i="32"/>
  <c r="CF14" i="32"/>
  <c r="I136" i="30"/>
  <c r="L136" i="30" s="1"/>
  <c r="D153" i="30" s="1"/>
  <c r="R136" i="30"/>
  <c r="U136" i="30" s="1"/>
  <c r="G153" i="30" s="1"/>
  <c r="Q136" i="30"/>
  <c r="T136" i="30" s="1"/>
  <c r="F153" i="30" s="1"/>
  <c r="H136" i="30"/>
  <c r="K136" i="30" s="1"/>
  <c r="C153" i="30" s="1"/>
  <c r="AE78" i="30"/>
  <c r="D90" i="3"/>
  <c r="C38" i="2"/>
  <c r="C39" i="3"/>
  <c r="C170" i="30"/>
  <c r="L152" i="30"/>
  <c r="N92" i="30"/>
  <c r="U85" i="30"/>
  <c r="AD85" i="30"/>
  <c r="W92" i="30"/>
  <c r="AD86" i="30"/>
  <c r="W93" i="30"/>
  <c r="M152" i="30"/>
  <c r="D170" i="30"/>
  <c r="J152" i="30"/>
  <c r="I152" i="30"/>
  <c r="AF85" i="30" l="1"/>
  <c r="D91" i="3" s="1"/>
  <c r="P152" i="30"/>
  <c r="T151" i="30"/>
  <c r="AF151" i="30"/>
  <c r="Z151" i="30"/>
  <c r="T14" i="32" s="1"/>
  <c r="V151" i="30"/>
  <c r="C40" i="3"/>
  <c r="AB151" i="30"/>
  <c r="AD151" i="30"/>
  <c r="O169" i="30"/>
  <c r="P169" i="30" s="1"/>
  <c r="S168" i="30"/>
  <c r="F9" i="34"/>
  <c r="J153" i="30"/>
  <c r="AJ16" i="32" s="1"/>
  <c r="F10" i="34"/>
  <c r="R169" i="30"/>
  <c r="Q137" i="30"/>
  <c r="T137" i="30" s="1"/>
  <c r="F154" i="30" s="1"/>
  <c r="H137" i="30"/>
  <c r="K137" i="30" s="1"/>
  <c r="C154" i="30" s="1"/>
  <c r="AE85" i="30"/>
  <c r="I153" i="30"/>
  <c r="N99" i="30"/>
  <c r="U99" i="30" s="1"/>
  <c r="U92" i="30"/>
  <c r="L153" i="30"/>
  <c r="C171" i="30"/>
  <c r="D15" i="32"/>
  <c r="AJ15" i="32"/>
  <c r="AZ15" i="32"/>
  <c r="BP15" i="32"/>
  <c r="CF15" i="32"/>
  <c r="CV15" i="32"/>
  <c r="AD92" i="30"/>
  <c r="W99" i="30"/>
  <c r="AD99" i="30" s="1"/>
  <c r="W100" i="30"/>
  <c r="AD100" i="30" s="1"/>
  <c r="AD93" i="30"/>
  <c r="D171" i="30"/>
  <c r="M153" i="30"/>
  <c r="C15" i="32"/>
  <c r="S15" i="32"/>
  <c r="AI15" i="32"/>
  <c r="AY15" i="32"/>
  <c r="BO15" i="32"/>
  <c r="CE15" i="32"/>
  <c r="CU15" i="32"/>
  <c r="R152" i="30"/>
  <c r="E170" i="30"/>
  <c r="F170" i="30" s="1"/>
  <c r="R137" i="30"/>
  <c r="U137" i="30" s="1"/>
  <c r="G154" i="30" s="1"/>
  <c r="I137" i="30"/>
  <c r="L137" i="30" s="1"/>
  <c r="D154" i="30" s="1"/>
  <c r="N100" i="30"/>
  <c r="U100" i="30" s="1"/>
  <c r="AE100" i="30" s="1"/>
  <c r="D45" i="3" s="1"/>
  <c r="U93" i="30"/>
  <c r="AE93" i="30" s="1"/>
  <c r="D44" i="3" s="1"/>
  <c r="AF99" i="30" l="1"/>
  <c r="AF92" i="30"/>
  <c r="D92" i="3" s="1"/>
  <c r="P153" i="30"/>
  <c r="S169" i="30"/>
  <c r="L52" i="30"/>
  <c r="L94" i="30"/>
  <c r="L10" i="30"/>
  <c r="G126" i="30" s="1"/>
  <c r="J126" i="30" s="1"/>
  <c r="B143" i="30" s="1"/>
  <c r="L101" i="30"/>
  <c r="L87" i="30"/>
  <c r="L66" i="30"/>
  <c r="L73" i="30"/>
  <c r="L31" i="30"/>
  <c r="L45" i="30"/>
  <c r="L80" i="30"/>
  <c r="L59" i="30"/>
  <c r="L38" i="30"/>
  <c r="BP16" i="32"/>
  <c r="AZ16" i="32"/>
  <c r="CF16" i="32"/>
  <c r="D16" i="32"/>
  <c r="CV16" i="32"/>
  <c r="I138" i="30"/>
  <c r="L138" i="30" s="1"/>
  <c r="D155" i="30" s="1"/>
  <c r="R138" i="30"/>
  <c r="U138" i="30" s="1"/>
  <c r="G155" i="30" s="1"/>
  <c r="I154" i="30"/>
  <c r="I139" i="30"/>
  <c r="L139" i="30" s="1"/>
  <c r="D156" i="30" s="1"/>
  <c r="R139" i="30"/>
  <c r="U139" i="30" s="1"/>
  <c r="G156" i="30" s="1"/>
  <c r="E171" i="30"/>
  <c r="F171" i="30" s="1"/>
  <c r="D172" i="30"/>
  <c r="M154" i="30"/>
  <c r="J154" i="30"/>
  <c r="Q138" i="30"/>
  <c r="T138" i="30" s="1"/>
  <c r="F155" i="30" s="1"/>
  <c r="H138" i="30"/>
  <c r="K138" i="30" s="1"/>
  <c r="C155" i="30" s="1"/>
  <c r="AE92" i="30"/>
  <c r="O170" i="30"/>
  <c r="P170" i="30" s="1"/>
  <c r="Q170" i="30"/>
  <c r="R170" i="30" s="1"/>
  <c r="Q139" i="30"/>
  <c r="T139" i="30" s="1"/>
  <c r="F156" i="30" s="1"/>
  <c r="H139" i="30"/>
  <c r="K139" i="30" s="1"/>
  <c r="C156" i="30" s="1"/>
  <c r="D93" i="3"/>
  <c r="AE99" i="30"/>
  <c r="Z152" i="30"/>
  <c r="T15" i="32" s="1"/>
  <c r="T152" i="30"/>
  <c r="X152" i="30"/>
  <c r="AB152" i="30"/>
  <c r="AD152" i="30"/>
  <c r="AF152" i="30"/>
  <c r="V152" i="30"/>
  <c r="L154" i="30"/>
  <c r="C172" i="30"/>
  <c r="C40" i="2"/>
  <c r="E40" i="2" s="1"/>
  <c r="C41" i="3"/>
  <c r="S16" i="32"/>
  <c r="AI16" i="32"/>
  <c r="AY16" i="32"/>
  <c r="BO16" i="32"/>
  <c r="CE16" i="32"/>
  <c r="CU16" i="32"/>
  <c r="C16" i="32"/>
  <c r="R153" i="30"/>
  <c r="E61" i="41"/>
  <c r="C58" i="41"/>
  <c r="C69" i="41" s="1"/>
  <c r="C79" i="41" s="1"/>
  <c r="D50" i="41"/>
  <c r="D61" i="41" s="1"/>
  <c r="C50" i="41"/>
  <c r="P154" i="30" l="1"/>
  <c r="J155" i="30"/>
  <c r="AJ18" i="32" s="1"/>
  <c r="P17" i="30"/>
  <c r="U10" i="30"/>
  <c r="H126" i="30" s="1"/>
  <c r="K126" i="30" s="1"/>
  <c r="C143" i="30" s="1"/>
  <c r="H143" i="30"/>
  <c r="K143" i="30"/>
  <c r="B161" i="30"/>
  <c r="Y17" i="30"/>
  <c r="AD10" i="30"/>
  <c r="I126" i="30" s="1"/>
  <c r="L126" i="30" s="1"/>
  <c r="D143" i="30" s="1"/>
  <c r="L17" i="30"/>
  <c r="G127" i="30" s="1"/>
  <c r="J127" i="30" s="1"/>
  <c r="B144" i="30" s="1"/>
  <c r="L24" i="30"/>
  <c r="G128" i="30" s="1"/>
  <c r="J128" i="30" s="1"/>
  <c r="B145" i="30" s="1"/>
  <c r="E172" i="30"/>
  <c r="F172" i="30" s="1"/>
  <c r="O172" i="30" s="1"/>
  <c r="P172" i="30" s="1"/>
  <c r="I155" i="30"/>
  <c r="C41" i="2"/>
  <c r="E41" i="2" s="1"/>
  <c r="C42" i="3"/>
  <c r="I156" i="30"/>
  <c r="T153" i="30"/>
  <c r="X153" i="30"/>
  <c r="AF153" i="30"/>
  <c r="V153" i="30"/>
  <c r="Z153" i="30"/>
  <c r="T16" i="32" s="1"/>
  <c r="AD153" i="30"/>
  <c r="AB153" i="30"/>
  <c r="L155" i="30"/>
  <c r="C173" i="30"/>
  <c r="AY17" i="32"/>
  <c r="BO17" i="32"/>
  <c r="CE17" i="32"/>
  <c r="CU17" i="32"/>
  <c r="C17" i="32"/>
  <c r="AI17" i="32"/>
  <c r="S17" i="32"/>
  <c r="R154" i="30"/>
  <c r="Q171" i="30"/>
  <c r="R171" i="30" s="1"/>
  <c r="O171" i="30"/>
  <c r="P171" i="30" s="1"/>
  <c r="S170" i="30"/>
  <c r="BP17" i="32"/>
  <c r="CF17" i="32"/>
  <c r="CV17" i="32"/>
  <c r="D17" i="32"/>
  <c r="AJ17" i="32"/>
  <c r="AZ17" i="32"/>
  <c r="J156" i="30"/>
  <c r="D173" i="30"/>
  <c r="M155" i="30"/>
  <c r="C174" i="30"/>
  <c r="L156" i="30"/>
  <c r="M156" i="30"/>
  <c r="D174" i="30"/>
  <c r="D49" i="1"/>
  <c r="E49" i="1"/>
  <c r="CE18" i="32" l="1"/>
  <c r="P155" i="30"/>
  <c r="C44" i="3" s="1"/>
  <c r="P156" i="30"/>
  <c r="D18" i="32"/>
  <c r="CV18" i="32"/>
  <c r="BP18" i="32"/>
  <c r="CF18" i="32"/>
  <c r="AZ18" i="32"/>
  <c r="BO18" i="32"/>
  <c r="K145" i="30"/>
  <c r="H145" i="30"/>
  <c r="B163" i="30"/>
  <c r="P24" i="30"/>
  <c r="BN6" i="32"/>
  <c r="B6" i="32"/>
  <c r="AH6" i="32"/>
  <c r="AX6" i="32"/>
  <c r="CD6" i="32"/>
  <c r="R6" i="32"/>
  <c r="CT6" i="32"/>
  <c r="C161" i="30"/>
  <c r="I143" i="30"/>
  <c r="L143" i="30"/>
  <c r="W148" i="30"/>
  <c r="Y24" i="30"/>
  <c r="AD17" i="30"/>
  <c r="I127" i="30" s="1"/>
  <c r="L127" i="30" s="1"/>
  <c r="D144" i="30" s="1"/>
  <c r="B162" i="30"/>
  <c r="H144" i="30"/>
  <c r="K144" i="30"/>
  <c r="J143" i="30"/>
  <c r="M143" i="30"/>
  <c r="D161" i="30"/>
  <c r="R155" i="30"/>
  <c r="AD155" i="30" s="1"/>
  <c r="CU18" i="32"/>
  <c r="E173" i="30"/>
  <c r="F173" i="30" s="1"/>
  <c r="O173" i="30" s="1"/>
  <c r="P173" i="30" s="1"/>
  <c r="AY18" i="32"/>
  <c r="AI18" i="32"/>
  <c r="S18" i="32"/>
  <c r="C18" i="32"/>
  <c r="Q172" i="30"/>
  <c r="R172" i="30" s="1"/>
  <c r="S172" i="30" s="1"/>
  <c r="E174" i="30"/>
  <c r="F174" i="30" s="1"/>
  <c r="Q174" i="30" s="1"/>
  <c r="S171" i="30"/>
  <c r="C42" i="2"/>
  <c r="E42" i="2" s="1"/>
  <c r="C43" i="3"/>
  <c r="T154" i="30"/>
  <c r="AD154" i="30"/>
  <c r="X154" i="30"/>
  <c r="V154" i="30"/>
  <c r="AB154" i="30"/>
  <c r="Z154" i="30"/>
  <c r="T17" i="32" s="1"/>
  <c r="AF154" i="30"/>
  <c r="C19" i="32"/>
  <c r="S19" i="32"/>
  <c r="AI19" i="32"/>
  <c r="AY19" i="32"/>
  <c r="BO19" i="32"/>
  <c r="CU19" i="32"/>
  <c r="CE19" i="32"/>
  <c r="R156" i="30"/>
  <c r="D19" i="32"/>
  <c r="AJ19" i="32"/>
  <c r="AZ19" i="32"/>
  <c r="BP19" i="32"/>
  <c r="CF19" i="32"/>
  <c r="CV19" i="32"/>
  <c r="B6" i="18"/>
  <c r="B5" i="18"/>
  <c r="P143" i="30" l="1"/>
  <c r="C31" i="2" s="1"/>
  <c r="N143" i="30"/>
  <c r="O143" i="30" s="1"/>
  <c r="AB155" i="30"/>
  <c r="E161" i="30"/>
  <c r="F161" i="30" s="1"/>
  <c r="Q161" i="30" s="1"/>
  <c r="AF155" i="30"/>
  <c r="T155" i="30"/>
  <c r="V155" i="30"/>
  <c r="Z155" i="30"/>
  <c r="T18" i="32" s="1"/>
  <c r="AH7" i="32"/>
  <c r="AX7" i="32"/>
  <c r="B7" i="32"/>
  <c r="BN7" i="32"/>
  <c r="CT7" i="32"/>
  <c r="R7" i="32"/>
  <c r="CD7" i="32"/>
  <c r="P31" i="30"/>
  <c r="U24" i="30"/>
  <c r="H128" i="30" s="1"/>
  <c r="K128" i="30" s="1"/>
  <c r="C145" i="30" s="1"/>
  <c r="W155" i="30"/>
  <c r="X155" i="30" s="1"/>
  <c r="M144" i="30"/>
  <c r="J144" i="30"/>
  <c r="D162" i="30"/>
  <c r="C6" i="32"/>
  <c r="CE6" i="32"/>
  <c r="CU6" i="32"/>
  <c r="AY6" i="32"/>
  <c r="S6" i="32"/>
  <c r="BO6" i="32"/>
  <c r="AI6" i="32"/>
  <c r="Y31" i="30"/>
  <c r="AD24" i="30"/>
  <c r="I128" i="30" s="1"/>
  <c r="L128" i="30" s="1"/>
  <c r="D145" i="30" s="1"/>
  <c r="AH8" i="32"/>
  <c r="R8" i="32"/>
  <c r="BN8" i="32"/>
  <c r="CD8" i="32"/>
  <c r="AX8" i="32"/>
  <c r="CT8" i="32"/>
  <c r="B8" i="32"/>
  <c r="CF6" i="32"/>
  <c r="D6" i="32"/>
  <c r="AZ6" i="32"/>
  <c r="T6" i="32"/>
  <c r="AJ6" i="32"/>
  <c r="BP6" i="32"/>
  <c r="CV6" i="32"/>
  <c r="R143" i="30"/>
  <c r="C43" i="2"/>
  <c r="E43" i="2" s="1"/>
  <c r="Q173" i="30"/>
  <c r="R173" i="30" s="1"/>
  <c r="S173" i="30" s="1"/>
  <c r="O174" i="30"/>
  <c r="P174" i="30" s="1"/>
  <c r="C45" i="3"/>
  <c r="C44" i="2"/>
  <c r="E44" i="2" s="1"/>
  <c r="AB156" i="30"/>
  <c r="X156" i="30"/>
  <c r="AD156" i="30"/>
  <c r="V156" i="30"/>
  <c r="AF156" i="30"/>
  <c r="Z156" i="30"/>
  <c r="T19" i="32" s="1"/>
  <c r="T156" i="30"/>
  <c r="R174" i="30"/>
  <c r="B234" i="1"/>
  <c r="C1" i="19"/>
  <c r="D1" i="19"/>
  <c r="C32" i="3" l="1"/>
  <c r="O161" i="30"/>
  <c r="P161" i="30" s="1"/>
  <c r="R161" i="30"/>
  <c r="Y38" i="30"/>
  <c r="AD31" i="30"/>
  <c r="Z143" i="30"/>
  <c r="AF143" i="30"/>
  <c r="AB143" i="30"/>
  <c r="T143" i="30"/>
  <c r="V143" i="30"/>
  <c r="AD143" i="30"/>
  <c r="X143" i="30"/>
  <c r="I145" i="30"/>
  <c r="L145" i="30"/>
  <c r="C163" i="30"/>
  <c r="D7" i="32"/>
  <c r="CF7" i="32"/>
  <c r="CV7" i="32"/>
  <c r="AJ7" i="32"/>
  <c r="AZ7" i="32"/>
  <c r="BP7" i="32"/>
  <c r="P38" i="30"/>
  <c r="U31" i="30"/>
  <c r="M145" i="30"/>
  <c r="D163" i="30"/>
  <c r="J145" i="30"/>
  <c r="S174" i="30"/>
  <c r="B235" i="1"/>
  <c r="B17" i="3"/>
  <c r="K55" i="1"/>
  <c r="K66" i="1" s="1"/>
  <c r="K77" i="1" s="1"/>
  <c r="J55" i="1"/>
  <c r="J66" i="1" s="1"/>
  <c r="J77" i="1" s="1"/>
  <c r="I55" i="1"/>
  <c r="I66" i="1" s="1"/>
  <c r="I77" i="1" s="1"/>
  <c r="A3" i="27"/>
  <c r="P145" i="30" l="1"/>
  <c r="N145" i="30"/>
  <c r="O145" i="30" s="1"/>
  <c r="S161" i="30"/>
  <c r="Y45" i="30"/>
  <c r="AD38" i="30"/>
  <c r="P45" i="30"/>
  <c r="U38" i="30"/>
  <c r="E163" i="30"/>
  <c r="F163" i="30" s="1"/>
  <c r="CF8" i="32"/>
  <c r="CV8" i="32"/>
  <c r="D8" i="32"/>
  <c r="AJ8" i="32"/>
  <c r="AZ8" i="32"/>
  <c r="BP8" i="32"/>
  <c r="C8" i="32"/>
  <c r="AI8" i="32"/>
  <c r="BO8" i="32"/>
  <c r="AY8" i="32"/>
  <c r="CE8" i="32"/>
  <c r="CU8" i="32"/>
  <c r="S8" i="32"/>
  <c r="R145" i="30"/>
  <c r="E17" i="3"/>
  <c r="O163" i="30" l="1"/>
  <c r="Q163" i="30"/>
  <c r="Y52" i="30"/>
  <c r="AD45" i="30"/>
  <c r="C34" i="3"/>
  <c r="C33" i="2"/>
  <c r="P52" i="30"/>
  <c r="U45" i="30"/>
  <c r="V145" i="30"/>
  <c r="AD145" i="30"/>
  <c r="AF145" i="30"/>
  <c r="X145" i="30"/>
  <c r="Z145" i="30"/>
  <c r="T8" i="32" s="1"/>
  <c r="AB145" i="30"/>
  <c r="P163" i="30" l="1"/>
  <c r="P59" i="30"/>
  <c r="U52" i="30"/>
  <c r="Y59" i="30"/>
  <c r="AD52" i="30"/>
  <c r="R163" i="30"/>
  <c r="Y66" i="30" l="1"/>
  <c r="AD59" i="30"/>
  <c r="S163" i="30"/>
  <c r="P66" i="30"/>
  <c r="U59" i="30"/>
  <c r="C91" i="1"/>
  <c r="B189" i="1" s="1"/>
  <c r="A7" i="37"/>
  <c r="A6" i="37"/>
  <c r="N150" i="30" l="1"/>
  <c r="O150" i="30" s="1"/>
  <c r="G189" i="1"/>
  <c r="F189" i="1"/>
  <c r="E189" i="1"/>
  <c r="Y73" i="30"/>
  <c r="Y87" i="30"/>
  <c r="AD66" i="30"/>
  <c r="P87" i="30"/>
  <c r="P73" i="30"/>
  <c r="U66" i="30"/>
  <c r="A17" i="29"/>
  <c r="A4" i="29"/>
  <c r="D91" i="1"/>
  <c r="A11" i="37"/>
  <c r="C52" i="41" s="1"/>
  <c r="C63" i="41" s="1"/>
  <c r="C73" i="41" s="1"/>
  <c r="D92" i="1"/>
  <c r="C106" i="1"/>
  <c r="A10" i="37"/>
  <c r="C51" i="41" s="1"/>
  <c r="C62" i="41" s="1"/>
  <c r="C72" i="41" s="1"/>
  <c r="B144" i="1"/>
  <c r="N151" i="30" l="1"/>
  <c r="O151" i="30" s="1"/>
  <c r="E144" i="1"/>
  <c r="D144" i="1"/>
  <c r="P80" i="30"/>
  <c r="U80" i="30" s="1"/>
  <c r="U73" i="30"/>
  <c r="P94" i="30"/>
  <c r="U87" i="30"/>
  <c r="Y80" i="30"/>
  <c r="AD80" i="30" s="1"/>
  <c r="AD73" i="30"/>
  <c r="Y94" i="30"/>
  <c r="AD87" i="30"/>
  <c r="A9" i="17"/>
  <c r="E18" i="32"/>
  <c r="G17" i="32"/>
  <c r="E14" i="32"/>
  <c r="G13" i="32"/>
  <c r="E10" i="32"/>
  <c r="G9" i="32"/>
  <c r="B6" i="39"/>
  <c r="E17" i="32"/>
  <c r="G16" i="32"/>
  <c r="E13" i="32"/>
  <c r="G12" i="32"/>
  <c r="E9" i="32"/>
  <c r="G8" i="32"/>
  <c r="O9" i="17"/>
  <c r="N9" i="17"/>
  <c r="R9" i="17" s="1"/>
  <c r="B17" i="29"/>
  <c r="B4" i="29"/>
  <c r="G19" i="32"/>
  <c r="E16" i="32"/>
  <c r="G15" i="32"/>
  <c r="E12" i="32"/>
  <c r="G11" i="32"/>
  <c r="E8" i="32"/>
  <c r="G18" i="32"/>
  <c r="E15" i="32"/>
  <c r="E19" i="32"/>
  <c r="E11" i="32"/>
  <c r="G10" i="32"/>
  <c r="G7" i="32"/>
  <c r="G14" i="32"/>
  <c r="E7" i="32"/>
  <c r="G6" i="32"/>
  <c r="E6" i="32"/>
  <c r="B18" i="29"/>
  <c r="U19" i="32"/>
  <c r="W18" i="32"/>
  <c r="U15" i="32"/>
  <c r="W14" i="32"/>
  <c r="U11" i="32"/>
  <c r="C6" i="39"/>
  <c r="A10" i="17"/>
  <c r="B5" i="29"/>
  <c r="U18" i="32"/>
  <c r="W17" i="32"/>
  <c r="U14" i="32"/>
  <c r="W13" i="32"/>
  <c r="U10" i="32"/>
  <c r="W9" i="32"/>
  <c r="O10" i="17"/>
  <c r="N10" i="17"/>
  <c r="U17" i="32"/>
  <c r="W16" i="32"/>
  <c r="U13" i="32"/>
  <c r="W12" i="32"/>
  <c r="U9" i="32"/>
  <c r="W8" i="32"/>
  <c r="U12" i="32"/>
  <c r="W10" i="32"/>
  <c r="U6" i="32"/>
  <c r="W6" i="32"/>
  <c r="W19" i="32"/>
  <c r="W15" i="32"/>
  <c r="W11" i="32"/>
  <c r="U16" i="32"/>
  <c r="W7" i="32"/>
  <c r="U8" i="32"/>
  <c r="U7" i="32"/>
  <c r="B162" i="1"/>
  <c r="N154" i="30" l="1"/>
  <c r="O154" i="30" s="1"/>
  <c r="N152" i="30"/>
  <c r="O152" i="30" s="1"/>
  <c r="N153" i="30"/>
  <c r="O153" i="30" s="1"/>
  <c r="F162" i="1"/>
  <c r="G162" i="1"/>
  <c r="D162" i="1"/>
  <c r="E162" i="1"/>
  <c r="Y101" i="30"/>
  <c r="AD101" i="30" s="1"/>
  <c r="AD94" i="30"/>
  <c r="P101" i="30"/>
  <c r="U101" i="30" s="1"/>
  <c r="U94" i="30"/>
  <c r="Z15" i="32"/>
  <c r="AF15" i="32" s="1"/>
  <c r="Y15" i="32"/>
  <c r="AE15" i="32" s="1"/>
  <c r="AA15" i="32"/>
  <c r="AG15" i="32" s="1"/>
  <c r="I7" i="32"/>
  <c r="O7" i="32" s="1"/>
  <c r="K7" i="32"/>
  <c r="Q7" i="32" s="1"/>
  <c r="T9" i="17"/>
  <c r="Y14" i="32"/>
  <c r="AE14" i="32" s="1"/>
  <c r="Z14" i="32"/>
  <c r="AF14" i="32" s="1"/>
  <c r="AA14" i="32"/>
  <c r="AG14" i="32" s="1"/>
  <c r="Y7" i="32"/>
  <c r="AE7" i="32" s="1"/>
  <c r="Y6" i="32"/>
  <c r="Z6" i="32"/>
  <c r="AA6" i="32"/>
  <c r="Y17" i="32"/>
  <c r="AE17" i="32" s="1"/>
  <c r="Z17" i="32"/>
  <c r="AF17" i="32" s="1"/>
  <c r="AA17" i="32"/>
  <c r="AG17" i="32" s="1"/>
  <c r="Z18" i="32"/>
  <c r="AF18" i="32" s="1"/>
  <c r="Y18" i="32"/>
  <c r="AE18" i="32" s="1"/>
  <c r="AA18" i="32"/>
  <c r="AG18" i="32" s="1"/>
  <c r="AA19" i="32"/>
  <c r="AG19" i="32" s="1"/>
  <c r="Y19" i="32"/>
  <c r="AE19" i="32" s="1"/>
  <c r="Z19" i="32"/>
  <c r="AF19" i="32" s="1"/>
  <c r="J16" i="32"/>
  <c r="P16" i="32" s="1"/>
  <c r="I16" i="32"/>
  <c r="O16" i="32" s="1"/>
  <c r="K16" i="32"/>
  <c r="Q16" i="32" s="1"/>
  <c r="K14" i="32"/>
  <c r="Q14" i="32" s="1"/>
  <c r="I14" i="32"/>
  <c r="O14" i="32" s="1"/>
  <c r="J14" i="32"/>
  <c r="P14" i="32" s="1"/>
  <c r="I5" i="29"/>
  <c r="C22" i="11" s="1"/>
  <c r="B22" i="11"/>
  <c r="K19" i="32"/>
  <c r="Q19" i="32" s="1"/>
  <c r="I19" i="32"/>
  <c r="O19" i="32" s="1"/>
  <c r="J19" i="32"/>
  <c r="P19" i="32" s="1"/>
  <c r="K13" i="32"/>
  <c r="Q13" i="32" s="1"/>
  <c r="I13" i="32"/>
  <c r="O13" i="32" s="1"/>
  <c r="J13" i="32"/>
  <c r="P13" i="32" s="1"/>
  <c r="AA8" i="32"/>
  <c r="AG8" i="32" s="1"/>
  <c r="Z8" i="32"/>
  <c r="AF8" i="32" s="1"/>
  <c r="Y8" i="32"/>
  <c r="AE8" i="32" s="1"/>
  <c r="T10" i="17"/>
  <c r="B10" i="17"/>
  <c r="AG10" i="17"/>
  <c r="K6" i="32"/>
  <c r="I6" i="32"/>
  <c r="J6" i="32"/>
  <c r="I15" i="32"/>
  <c r="O15" i="32" s="1"/>
  <c r="J15" i="32"/>
  <c r="P15" i="32" s="1"/>
  <c r="K15" i="32"/>
  <c r="Q15" i="32" s="1"/>
  <c r="I4" i="29"/>
  <c r="B21" i="11"/>
  <c r="I18" i="32"/>
  <c r="O18" i="32" s="1"/>
  <c r="K18" i="32"/>
  <c r="Q18" i="32" s="1"/>
  <c r="J18" i="32"/>
  <c r="P18" i="32" s="1"/>
  <c r="J8" i="32"/>
  <c r="P8" i="32" s="1"/>
  <c r="I8" i="32"/>
  <c r="O8" i="32" s="1"/>
  <c r="K8" i="32"/>
  <c r="Q8" i="32" s="1"/>
  <c r="Y13" i="32"/>
  <c r="AE13" i="32" s="1"/>
  <c r="Z13" i="32"/>
  <c r="AF13" i="32" s="1"/>
  <c r="AA16" i="32"/>
  <c r="AG16" i="32" s="1"/>
  <c r="Y16" i="32"/>
  <c r="AE16" i="32" s="1"/>
  <c r="Z16" i="32"/>
  <c r="AF16" i="32" s="1"/>
  <c r="I17" i="32"/>
  <c r="O17" i="32" s="1"/>
  <c r="J17" i="32"/>
  <c r="P17" i="32" s="1"/>
  <c r="K17" i="32"/>
  <c r="Q17" i="32" s="1"/>
  <c r="AF9" i="17"/>
  <c r="AG9" i="17"/>
  <c r="B9" i="17"/>
  <c r="N155" i="30" l="1"/>
  <c r="O155" i="30" s="1"/>
  <c r="N156" i="30"/>
  <c r="O156" i="30" s="1"/>
  <c r="K162" i="1"/>
  <c r="C25" i="34"/>
  <c r="B25" i="34"/>
  <c r="O21" i="11"/>
  <c r="P21" i="11" s="1"/>
  <c r="L21" i="11"/>
  <c r="E21" i="11"/>
  <c r="F21" i="11" s="1"/>
  <c r="D21" i="11"/>
  <c r="AE6" i="32"/>
  <c r="E22" i="11"/>
  <c r="F22" i="11" s="1"/>
  <c r="G22" i="11" s="1"/>
  <c r="I22" i="11" s="1"/>
  <c r="O22" i="11"/>
  <c r="P22" i="11" s="1"/>
  <c r="D22" i="11"/>
  <c r="L22" i="11"/>
  <c r="AF6" i="32"/>
  <c r="Q6" i="32"/>
  <c r="P6" i="32"/>
  <c r="AG6" i="32"/>
  <c r="C21" i="11"/>
  <c r="O6" i="32"/>
  <c r="M22" i="11" l="1"/>
  <c r="N22" i="11" s="1"/>
  <c r="Q22" i="11" s="1"/>
  <c r="R22" i="11" s="1"/>
  <c r="M21" i="11"/>
  <c r="N21" i="11" s="1"/>
  <c r="Q21" i="11" s="1"/>
  <c r="R21" i="11" s="1"/>
  <c r="G21" i="11"/>
  <c r="J22" i="11"/>
  <c r="K22" i="11" s="1"/>
  <c r="K134" i="3"/>
  <c r="B15" i="3"/>
  <c r="D15" i="3" s="1"/>
  <c r="B14" i="3"/>
  <c r="D14" i="3" s="1"/>
  <c r="B37" i="2"/>
  <c r="B36" i="2"/>
  <c r="I21" i="11" l="1"/>
  <c r="E64" i="3"/>
  <c r="E63" i="3"/>
  <c r="B158" i="3" l="1"/>
  <c r="B159" i="3"/>
  <c r="J21" i="11"/>
  <c r="K21" i="11" l="1"/>
  <c r="H55" i="1"/>
  <c r="H66" i="1" s="1"/>
  <c r="H77" i="1" s="1"/>
  <c r="G55" i="1"/>
  <c r="G66" i="1" s="1"/>
  <c r="G77" i="1" s="1"/>
  <c r="I12" i="13" l="1"/>
  <c r="G12" i="13"/>
  <c r="E12" i="13"/>
  <c r="D12" i="13"/>
  <c r="C12" i="13"/>
  <c r="B12" i="13"/>
  <c r="F12" i="13" s="1"/>
  <c r="I11" i="13"/>
  <c r="G11" i="13"/>
  <c r="E11" i="13"/>
  <c r="D11" i="13"/>
  <c r="C11" i="13"/>
  <c r="B11" i="13"/>
  <c r="F11" i="13" s="1"/>
  <c r="I10" i="13"/>
  <c r="G10" i="13"/>
  <c r="E10" i="13"/>
  <c r="D10" i="13"/>
  <c r="C10" i="13"/>
  <c r="B10" i="13"/>
  <c r="F10" i="13" s="1"/>
  <c r="I9" i="13"/>
  <c r="G9" i="13"/>
  <c r="E9" i="13"/>
  <c r="D9" i="13"/>
  <c r="C9" i="13"/>
  <c r="B9" i="13"/>
  <c r="F9" i="13" s="1"/>
  <c r="I8" i="13"/>
  <c r="G8" i="13"/>
  <c r="E8" i="13"/>
  <c r="D8" i="13"/>
  <c r="B8" i="13"/>
  <c r="F8" i="13" s="1"/>
  <c r="E16" i="28"/>
  <c r="C6" i="28" s="1"/>
  <c r="E15" i="28"/>
  <c r="C7" i="28" s="1"/>
  <c r="J78" i="14"/>
  <c r="I78" i="14"/>
  <c r="G78" i="14"/>
  <c r="J77" i="14"/>
  <c r="I77" i="14"/>
  <c r="G77" i="14"/>
  <c r="J75" i="14"/>
  <c r="I75" i="14"/>
  <c r="G75" i="14"/>
  <c r="J74" i="14"/>
  <c r="I74" i="14"/>
  <c r="G74" i="14"/>
  <c r="H58" i="14"/>
  <c r="G58" i="14"/>
  <c r="D57" i="14"/>
  <c r="H48" i="14"/>
  <c r="G48" i="14"/>
  <c r="D47" i="14"/>
  <c r="O21" i="14"/>
  <c r="G21" i="14"/>
  <c r="O20" i="14"/>
  <c r="G20" i="14"/>
  <c r="O19" i="14"/>
  <c r="P19" i="14" s="1"/>
  <c r="G19" i="14"/>
  <c r="H19" i="14" s="1"/>
  <c r="O18" i="14"/>
  <c r="P18" i="14" s="1"/>
  <c r="G18" i="14"/>
  <c r="H18" i="14" s="1"/>
  <c r="O17" i="14"/>
  <c r="G17" i="14"/>
  <c r="O16" i="14"/>
  <c r="G16" i="14"/>
  <c r="O15" i="14"/>
  <c r="G15" i="14"/>
  <c r="O14" i="14"/>
  <c r="G14" i="14"/>
  <c r="A177" i="3"/>
  <c r="I176" i="3"/>
  <c r="H176" i="3"/>
  <c r="E176" i="3"/>
  <c r="D176" i="3"/>
  <c r="A153" i="3"/>
  <c r="I152" i="3"/>
  <c r="H152" i="3"/>
  <c r="E152" i="3"/>
  <c r="D152" i="3"/>
  <c r="K135" i="3"/>
  <c r="K133" i="3"/>
  <c r="K132" i="3"/>
  <c r="K131" i="3"/>
  <c r="K130" i="3"/>
  <c r="B130" i="3"/>
  <c r="H129" i="3"/>
  <c r="G129" i="3"/>
  <c r="F129" i="3"/>
  <c r="E129" i="3"/>
  <c r="D129" i="3"/>
  <c r="D143" i="3" s="1"/>
  <c r="C129" i="3"/>
  <c r="C143" i="3" s="1"/>
  <c r="B107" i="3"/>
  <c r="H106" i="3"/>
  <c r="G106" i="3"/>
  <c r="F106" i="3"/>
  <c r="E106" i="3"/>
  <c r="D106" i="3"/>
  <c r="C106" i="3"/>
  <c r="B80" i="3"/>
  <c r="E71" i="3"/>
  <c r="E65" i="3"/>
  <c r="B58" i="3"/>
  <c r="D58" i="3" s="1"/>
  <c r="B32" i="3"/>
  <c r="N31" i="3"/>
  <c r="L31" i="3"/>
  <c r="I31" i="3"/>
  <c r="B16" i="3"/>
  <c r="B13" i="3"/>
  <c r="D13" i="3" s="1"/>
  <c r="B12" i="3"/>
  <c r="D12" i="3" s="1"/>
  <c r="B11" i="3"/>
  <c r="D11" i="3" s="1"/>
  <c r="B10" i="3"/>
  <c r="D10" i="3" s="1"/>
  <c r="B9" i="3"/>
  <c r="D9" i="3" s="1"/>
  <c r="B41" i="2"/>
  <c r="B38" i="2"/>
  <c r="B35" i="2"/>
  <c r="B34" i="2"/>
  <c r="B33" i="2"/>
  <c r="B32" i="2"/>
  <c r="B31" i="2"/>
  <c r="A32" i="18"/>
  <c r="A31" i="18"/>
  <c r="A30" i="18"/>
  <c r="A29" i="18"/>
  <c r="A28" i="18"/>
  <c r="A27" i="18"/>
  <c r="E16" i="18"/>
  <c r="A16" i="18"/>
  <c r="E15" i="18"/>
  <c r="A15" i="18"/>
  <c r="E14" i="18"/>
  <c r="E13" i="18"/>
  <c r="E12" i="18"/>
  <c r="S58" i="25"/>
  <c r="R58" i="25"/>
  <c r="Q58" i="25"/>
  <c r="P58" i="25"/>
  <c r="O58" i="25"/>
  <c r="N58" i="25"/>
  <c r="M58" i="25"/>
  <c r="L58" i="25"/>
  <c r="K58" i="25"/>
  <c r="J58" i="25"/>
  <c r="I58" i="25"/>
  <c r="H58" i="25"/>
  <c r="G58" i="25"/>
  <c r="F58" i="25"/>
  <c r="E58" i="25"/>
  <c r="D58" i="25"/>
  <c r="C58" i="25"/>
  <c r="G6" i="25"/>
  <c r="A5" i="37"/>
  <c r="A4" i="37"/>
  <c r="A2" i="37"/>
  <c r="B25" i="35"/>
  <c r="E129" i="1"/>
  <c r="B9" i="28"/>
  <c r="D9" i="28" s="1"/>
  <c r="B8" i="28"/>
  <c r="D8" i="28" s="1"/>
  <c r="B7" i="28"/>
  <c r="B6" i="28"/>
  <c r="B5" i="28"/>
  <c r="D5" i="28" s="1"/>
  <c r="D24" i="16"/>
  <c r="D23" i="16"/>
  <c r="D22" i="16"/>
  <c r="D21" i="16"/>
  <c r="D20" i="16"/>
  <c r="D19" i="16"/>
  <c r="D18" i="16"/>
  <c r="C105" i="1"/>
  <c r="C114" i="1" s="1"/>
  <c r="F10" i="18"/>
  <c r="F9" i="18"/>
  <c r="F8" i="18"/>
  <c r="F7" i="18"/>
  <c r="F6" i="18"/>
  <c r="F5" i="18"/>
  <c r="E4" i="18"/>
  <c r="F4" i="18"/>
  <c r="F55" i="1"/>
  <c r="F66" i="1" s="1"/>
  <c r="F77" i="1" s="1"/>
  <c r="E55" i="1"/>
  <c r="E66" i="1" s="1"/>
  <c r="E77" i="1" s="1"/>
  <c r="D55" i="1"/>
  <c r="D66" i="1" s="1"/>
  <c r="D77" i="1" s="1"/>
  <c r="C55" i="1"/>
  <c r="C66" i="1" s="1"/>
  <c r="C77" i="1" s="1"/>
  <c r="B11" i="18"/>
  <c r="B166" i="3" l="1"/>
  <c r="C166" i="3" s="1"/>
  <c r="F166" i="3" s="1"/>
  <c r="F143" i="3"/>
  <c r="B160" i="3"/>
  <c r="C160" i="3" s="1"/>
  <c r="G160" i="3" s="1"/>
  <c r="E58" i="3"/>
  <c r="E143" i="3"/>
  <c r="I143" i="3" s="1"/>
  <c r="L143" i="3" s="1"/>
  <c r="D137" i="3"/>
  <c r="F137" i="3" s="1"/>
  <c r="D136" i="3"/>
  <c r="F136" i="3" s="1"/>
  <c r="D135" i="3"/>
  <c r="F135" i="3" s="1"/>
  <c r="D142" i="3"/>
  <c r="F142" i="3" s="1"/>
  <c r="D134" i="3"/>
  <c r="D141" i="3"/>
  <c r="F141" i="3" s="1"/>
  <c r="D133" i="3"/>
  <c r="D140" i="3"/>
  <c r="F140" i="3" s="1"/>
  <c r="D132" i="3"/>
  <c r="D139" i="3"/>
  <c r="F139" i="3" s="1"/>
  <c r="D131" i="3"/>
  <c r="D138" i="3"/>
  <c r="F138" i="3" s="1"/>
  <c r="D130" i="3"/>
  <c r="C142" i="3"/>
  <c r="C134" i="3"/>
  <c r="C141" i="3"/>
  <c r="C133" i="3"/>
  <c r="C140" i="3"/>
  <c r="C132" i="3"/>
  <c r="C139" i="3"/>
  <c r="C131" i="3"/>
  <c r="C138" i="3"/>
  <c r="C130" i="3"/>
  <c r="C137" i="3"/>
  <c r="E137" i="3" s="1"/>
  <c r="C136" i="3"/>
  <c r="C135" i="3"/>
  <c r="F71" i="3"/>
  <c r="C113" i="3"/>
  <c r="E113" i="3" s="1"/>
  <c r="C120" i="3"/>
  <c r="E120" i="3" s="1"/>
  <c r="C112" i="3"/>
  <c r="E112" i="3" s="1"/>
  <c r="C119" i="3"/>
  <c r="E119" i="3" s="1"/>
  <c r="C111" i="3"/>
  <c r="C118" i="3"/>
  <c r="E118" i="3" s="1"/>
  <c r="C110" i="3"/>
  <c r="C117" i="3"/>
  <c r="E117" i="3" s="1"/>
  <c r="C109" i="3"/>
  <c r="C116" i="3"/>
  <c r="E116" i="3" s="1"/>
  <c r="C108" i="3"/>
  <c r="C115" i="3"/>
  <c r="E115" i="3" s="1"/>
  <c r="C107" i="3"/>
  <c r="C114" i="3"/>
  <c r="E114" i="3" s="1"/>
  <c r="D115" i="3"/>
  <c r="F115" i="3" s="1"/>
  <c r="D120" i="3"/>
  <c r="F120" i="3" s="1"/>
  <c r="D112" i="3"/>
  <c r="F112" i="3" s="1"/>
  <c r="D117" i="3"/>
  <c r="F117" i="3" s="1"/>
  <c r="D109" i="3"/>
  <c r="D114" i="3"/>
  <c r="F114" i="3" s="1"/>
  <c r="D116" i="3"/>
  <c r="F116" i="3" s="1"/>
  <c r="D108" i="3"/>
  <c r="D119" i="3"/>
  <c r="F119" i="3" s="1"/>
  <c r="D111" i="3"/>
  <c r="D113" i="3"/>
  <c r="F113" i="3" s="1"/>
  <c r="D118" i="3"/>
  <c r="F118" i="3" s="1"/>
  <c r="D110" i="3"/>
  <c r="D107" i="3"/>
  <c r="A12" i="37"/>
  <c r="C53" i="41" s="1"/>
  <c r="C64" i="41" s="1"/>
  <c r="C74" i="41" s="1"/>
  <c r="D93" i="1"/>
  <c r="F65" i="3"/>
  <c r="D7" i="28"/>
  <c r="C108" i="1"/>
  <c r="C117" i="1" s="1"/>
  <c r="B229" i="1"/>
  <c r="A11" i="19"/>
  <c r="D6" i="28"/>
  <c r="E59" i="3"/>
  <c r="E61" i="3"/>
  <c r="E62" i="3"/>
  <c r="E60" i="3"/>
  <c r="D95" i="1"/>
  <c r="C6" i="18"/>
  <c r="E5" i="18"/>
  <c r="E9" i="18"/>
  <c r="D15" i="18"/>
  <c r="B14" i="18"/>
  <c r="E10" i="18"/>
  <c r="C31" i="18"/>
  <c r="B10" i="18"/>
  <c r="B16" i="18"/>
  <c r="C23" i="18"/>
  <c r="C16" i="18"/>
  <c r="C12" i="18"/>
  <c r="C8" i="18"/>
  <c r="C29" i="18"/>
  <c r="C25" i="18"/>
  <c r="C21" i="18"/>
  <c r="C7" i="18"/>
  <c r="C5" i="18"/>
  <c r="C32" i="18"/>
  <c r="C28" i="18"/>
  <c r="C24" i="18"/>
  <c r="C20" i="18"/>
  <c r="C14" i="18"/>
  <c r="C11" i="18"/>
  <c r="C10" i="18"/>
  <c r="C30" i="18"/>
  <c r="C26" i="18"/>
  <c r="C22" i="18"/>
  <c r="C15" i="18"/>
  <c r="C13" i="18"/>
  <c r="C9" i="18"/>
  <c r="C4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B15" i="18"/>
  <c r="D13" i="18"/>
  <c r="D9" i="18"/>
  <c r="B7" i="18"/>
  <c r="D5" i="18"/>
  <c r="D4" i="18"/>
  <c r="B32" i="18"/>
  <c r="B31" i="18"/>
  <c r="B30" i="18"/>
  <c r="B29" i="18"/>
  <c r="B28" i="18"/>
  <c r="B27" i="18"/>
  <c r="B26" i="18"/>
  <c r="B25" i="18"/>
  <c r="B24" i="18"/>
  <c r="B23" i="18"/>
  <c r="B22" i="18"/>
  <c r="B21" i="18"/>
  <c r="B20" i="18"/>
  <c r="D14" i="18"/>
  <c r="B13" i="18"/>
  <c r="D12" i="18"/>
  <c r="D11" i="18"/>
  <c r="D10" i="18"/>
  <c r="B9" i="18"/>
  <c r="B4" i="18"/>
  <c r="D16" i="18"/>
  <c r="B12" i="18"/>
  <c r="D8" i="18"/>
  <c r="D6" i="18"/>
  <c r="D7" i="18"/>
  <c r="B8" i="18"/>
  <c r="C27" i="18"/>
  <c r="D112" i="1"/>
  <c r="C9" i="3"/>
  <c r="E9" i="3" s="1"/>
  <c r="D31" i="2"/>
  <c r="E31" i="2" s="1"/>
  <c r="C8" i="2"/>
  <c r="E8" i="2" s="1"/>
  <c r="D37" i="14"/>
  <c r="D33" i="14"/>
  <c r="D33" i="2"/>
  <c r="E33" i="2" s="1"/>
  <c r="C11" i="3"/>
  <c r="E11" i="3" s="1"/>
  <c r="D35" i="14"/>
  <c r="E6" i="18"/>
  <c r="E8" i="18"/>
  <c r="D111" i="1"/>
  <c r="D96" i="1"/>
  <c r="D106" i="1"/>
  <c r="D32" i="2"/>
  <c r="C10" i="3"/>
  <c r="E10" i="3" s="1"/>
  <c r="D38" i="2"/>
  <c r="C16" i="3"/>
  <c r="E16" i="3" s="1"/>
  <c r="E7" i="18"/>
  <c r="D97" i="1"/>
  <c r="D32" i="14"/>
  <c r="D34" i="14"/>
  <c r="D36" i="14"/>
  <c r="D38" i="14"/>
  <c r="F160" i="3" l="1"/>
  <c r="D160" i="3"/>
  <c r="H160" i="3" s="1"/>
  <c r="F38" i="2"/>
  <c r="E38" i="2"/>
  <c r="E160" i="3"/>
  <c r="I160" i="3" s="1"/>
  <c r="G166" i="3"/>
  <c r="E166" i="3"/>
  <c r="I166" i="3" s="1"/>
  <c r="D166" i="3"/>
  <c r="H166" i="3" s="1"/>
  <c r="B153" i="3"/>
  <c r="C153" i="3" s="1"/>
  <c r="F130" i="3"/>
  <c r="B155" i="3"/>
  <c r="C155" i="3" s="1"/>
  <c r="D155" i="3" s="1"/>
  <c r="F132" i="3"/>
  <c r="B157" i="3"/>
  <c r="F134" i="3"/>
  <c r="B156" i="3"/>
  <c r="F133" i="3"/>
  <c r="B154" i="3"/>
  <c r="C154" i="3" s="1"/>
  <c r="D154" i="3" s="1"/>
  <c r="H154" i="3" s="1"/>
  <c r="F131" i="3"/>
  <c r="B21" i="29"/>
  <c r="BS19" i="32"/>
  <c r="BQ16" i="32"/>
  <c r="BS15" i="32"/>
  <c r="BQ12" i="32"/>
  <c r="BS11" i="32"/>
  <c r="BQ8" i="32"/>
  <c r="A13" i="17"/>
  <c r="B8" i="29"/>
  <c r="BQ19" i="32"/>
  <c r="BS18" i="32"/>
  <c r="BQ15" i="32"/>
  <c r="BS14" i="32"/>
  <c r="BQ11" i="32"/>
  <c r="BS10" i="32"/>
  <c r="BQ7" i="32"/>
  <c r="O13" i="17"/>
  <c r="BQ18" i="32"/>
  <c r="BS17" i="32"/>
  <c r="BQ14" i="32"/>
  <c r="BS13" i="32"/>
  <c r="BQ10" i="32"/>
  <c r="BS9" i="32"/>
  <c r="BS7" i="32"/>
  <c r="BS8" i="32"/>
  <c r="BS6" i="32"/>
  <c r="BQ13" i="32"/>
  <c r="BS16" i="32"/>
  <c r="N13" i="17"/>
  <c r="R13" i="17" s="1"/>
  <c r="BS12" i="32"/>
  <c r="BQ9" i="32"/>
  <c r="BQ17" i="32"/>
  <c r="BQ6" i="32"/>
  <c r="F6" i="39"/>
  <c r="A15" i="17"/>
  <c r="CW17" i="32"/>
  <c r="CY16" i="32"/>
  <c r="CW13" i="32"/>
  <c r="CY12" i="32"/>
  <c r="CW9" i="32"/>
  <c r="CY8" i="32"/>
  <c r="O15" i="17"/>
  <c r="CY19" i="32"/>
  <c r="CW16" i="32"/>
  <c r="CY15" i="32"/>
  <c r="CW12" i="32"/>
  <c r="CY11" i="32"/>
  <c r="CW8" i="32"/>
  <c r="CY7" i="32"/>
  <c r="H6" i="39"/>
  <c r="N15" i="17"/>
  <c r="R15" i="17" s="1"/>
  <c r="CW19" i="32"/>
  <c r="CY18" i="32"/>
  <c r="CW15" i="32"/>
  <c r="CY14" i="32"/>
  <c r="CW11" i="32"/>
  <c r="CY10" i="32"/>
  <c r="CW7" i="32"/>
  <c r="CY13" i="32"/>
  <c r="CY9" i="32"/>
  <c r="B23" i="29"/>
  <c r="B10" i="29"/>
  <c r="CW14" i="32"/>
  <c r="CW18" i="32"/>
  <c r="CY6" i="32"/>
  <c r="CY17" i="32"/>
  <c r="CW6" i="32"/>
  <c r="CW10" i="32"/>
  <c r="D6" i="39"/>
  <c r="B6" i="29"/>
  <c r="AK19" i="32"/>
  <c r="AM18" i="32"/>
  <c r="AK15" i="32"/>
  <c r="AM14" i="32"/>
  <c r="AK11" i="32"/>
  <c r="AM10" i="32"/>
  <c r="O11" i="17"/>
  <c r="N11" i="17"/>
  <c r="R11" i="17" s="1"/>
  <c r="B19" i="29"/>
  <c r="AK18" i="32"/>
  <c r="AM17" i="32"/>
  <c r="AK14" i="32"/>
  <c r="AM13" i="32"/>
  <c r="AK10" i="32"/>
  <c r="AM9" i="32"/>
  <c r="AK17" i="32"/>
  <c r="AM16" i="32"/>
  <c r="AK13" i="32"/>
  <c r="AM12" i="32"/>
  <c r="AK9" i="32"/>
  <c r="AM8" i="32"/>
  <c r="AM15" i="32"/>
  <c r="AK16" i="32"/>
  <c r="AK8" i="32"/>
  <c r="AK6" i="32"/>
  <c r="AK7" i="32"/>
  <c r="AM6" i="32"/>
  <c r="AM19" i="32"/>
  <c r="AM11" i="32"/>
  <c r="A11" i="17"/>
  <c r="AK12" i="32"/>
  <c r="AM7" i="32"/>
  <c r="CG17" i="32"/>
  <c r="CI16" i="32"/>
  <c r="CG13" i="32"/>
  <c r="CI12" i="32"/>
  <c r="B9" i="29"/>
  <c r="A14" i="17"/>
  <c r="CI19" i="32"/>
  <c r="CG16" i="32"/>
  <c r="CI15" i="32"/>
  <c r="CG12" i="32"/>
  <c r="CI11" i="32"/>
  <c r="CG8" i="32"/>
  <c r="O14" i="17"/>
  <c r="B22" i="29"/>
  <c r="CG19" i="32"/>
  <c r="CI18" i="32"/>
  <c r="CG15" i="32"/>
  <c r="CI14" i="32"/>
  <c r="CG11" i="32"/>
  <c r="CI10" i="32"/>
  <c r="CG7" i="32"/>
  <c r="G6" i="39"/>
  <c r="N14" i="17"/>
  <c r="R14" i="17" s="1"/>
  <c r="CG18" i="32"/>
  <c r="CG10" i="32"/>
  <c r="CI9" i="32"/>
  <c r="CI8" i="32"/>
  <c r="CI6" i="32"/>
  <c r="CI13" i="32"/>
  <c r="CG9" i="32"/>
  <c r="CI7" i="32"/>
  <c r="CG6" i="32"/>
  <c r="CI17" i="32"/>
  <c r="CG14" i="32"/>
  <c r="E135" i="3"/>
  <c r="E138" i="3"/>
  <c r="H161" i="3"/>
  <c r="E140" i="3"/>
  <c r="H163" i="3"/>
  <c r="E142" i="3"/>
  <c r="H165" i="3"/>
  <c r="I162" i="3"/>
  <c r="I164" i="3"/>
  <c r="E136" i="3"/>
  <c r="E139" i="3"/>
  <c r="I139" i="3" s="1"/>
  <c r="L139" i="3" s="1"/>
  <c r="H162" i="3"/>
  <c r="E141" i="3"/>
  <c r="H164" i="3"/>
  <c r="I161" i="3"/>
  <c r="I163" i="3"/>
  <c r="I165" i="3"/>
  <c r="E130" i="3"/>
  <c r="I137" i="3"/>
  <c r="L137" i="3" s="1"/>
  <c r="E131" i="3"/>
  <c r="I115" i="3"/>
  <c r="I120" i="3"/>
  <c r="E132" i="3"/>
  <c r="I117" i="3"/>
  <c r="E134" i="3"/>
  <c r="E133" i="3"/>
  <c r="I116" i="3"/>
  <c r="I114" i="3"/>
  <c r="E109" i="3"/>
  <c r="F109" i="3"/>
  <c r="F111" i="3"/>
  <c r="E111" i="3"/>
  <c r="I118" i="3"/>
  <c r="E110" i="3"/>
  <c r="F110" i="3"/>
  <c r="E108" i="3"/>
  <c r="F108" i="3"/>
  <c r="I119" i="3"/>
  <c r="A10" i="18"/>
  <c r="A26" i="18" s="1"/>
  <c r="F107" i="3"/>
  <c r="E107" i="3"/>
  <c r="F60" i="3"/>
  <c r="F59" i="3"/>
  <c r="C109" i="1"/>
  <c r="C118" i="1" s="1"/>
  <c r="D94" i="1"/>
  <c r="C110" i="1"/>
  <c r="C119" i="1" s="1"/>
  <c r="A14" i="37"/>
  <c r="C55" i="41" s="1"/>
  <c r="C66" i="41" s="1"/>
  <c r="C76" i="41" s="1"/>
  <c r="A16" i="37"/>
  <c r="C57" i="41" s="1"/>
  <c r="C68" i="41" s="1"/>
  <c r="C78" i="41" s="1"/>
  <c r="A13" i="37"/>
  <c r="C54" i="41" s="1"/>
  <c r="C65" i="41" s="1"/>
  <c r="C75" i="41" s="1"/>
  <c r="A15" i="37"/>
  <c r="C56" i="41" s="1"/>
  <c r="C67" i="41" s="1"/>
  <c r="C77" i="41" s="1"/>
  <c r="D10" i="28"/>
  <c r="F58" i="3"/>
  <c r="H4" i="18"/>
  <c r="H5" i="18"/>
  <c r="B20" i="16"/>
  <c r="C20" i="16" s="1"/>
  <c r="D108" i="1"/>
  <c r="D117" i="1"/>
  <c r="H136" i="1" s="1"/>
  <c r="H11" i="13" s="1"/>
  <c r="J11" i="13" s="1"/>
  <c r="L11" i="13" s="1"/>
  <c r="M11" i="13" s="1"/>
  <c r="B34" i="14"/>
  <c r="E34" i="14" s="1"/>
  <c r="A6" i="18"/>
  <c r="A22" i="18" s="1"/>
  <c r="A13" i="19"/>
  <c r="D110" i="1"/>
  <c r="B231" i="1"/>
  <c r="H20" i="18"/>
  <c r="I20" i="18" s="1"/>
  <c r="H8" i="18"/>
  <c r="H28" i="18"/>
  <c r="I28" i="18" s="1"/>
  <c r="H7" i="18"/>
  <c r="H10" i="18"/>
  <c r="H6" i="18"/>
  <c r="H13" i="18"/>
  <c r="I13" i="18" s="1"/>
  <c r="H30" i="18"/>
  <c r="H12" i="18"/>
  <c r="I12" i="18" s="1"/>
  <c r="H9" i="18"/>
  <c r="H15" i="18"/>
  <c r="I15" i="18" s="1"/>
  <c r="H11" i="18"/>
  <c r="I11" i="18" s="1"/>
  <c r="H29" i="18"/>
  <c r="I29" i="18" s="1"/>
  <c r="H14" i="18"/>
  <c r="I14" i="18" s="1"/>
  <c r="H32" i="18"/>
  <c r="H31" i="18"/>
  <c r="H21" i="18"/>
  <c r="H27" i="18"/>
  <c r="I27" i="18" s="1"/>
  <c r="H16" i="18"/>
  <c r="I16" i="18" s="1"/>
  <c r="A9" i="19"/>
  <c r="B227" i="1"/>
  <c r="C115" i="1"/>
  <c r="C111" i="1"/>
  <c r="C120" i="1" s="1"/>
  <c r="A14" i="19"/>
  <c r="B232" i="1"/>
  <c r="C107" i="1"/>
  <c r="C116" i="1" s="1"/>
  <c r="A10" i="19"/>
  <c r="B228" i="1"/>
  <c r="B233" i="1"/>
  <c r="A15" i="19"/>
  <c r="C112" i="1"/>
  <c r="C121" i="1" s="1"/>
  <c r="B230" i="1"/>
  <c r="A12" i="19"/>
  <c r="G190" i="1"/>
  <c r="G191" i="1"/>
  <c r="G154" i="3" l="1"/>
  <c r="J166" i="3"/>
  <c r="E154" i="3"/>
  <c r="F154" i="3"/>
  <c r="G155" i="3"/>
  <c r="E155" i="3"/>
  <c r="I155" i="3" s="1"/>
  <c r="F155" i="3"/>
  <c r="B167" i="3"/>
  <c r="DC17" i="32"/>
  <c r="DI17" i="32" s="1"/>
  <c r="DA17" i="32"/>
  <c r="DG17" i="32" s="1"/>
  <c r="DB17" i="32"/>
  <c r="DH17" i="32" s="1"/>
  <c r="CM7" i="32"/>
  <c r="CS7" i="32" s="1"/>
  <c r="CK7" i="32"/>
  <c r="CQ7" i="32" s="1"/>
  <c r="T14" i="17"/>
  <c r="I9" i="29"/>
  <c r="B26" i="11"/>
  <c r="AP8" i="32"/>
  <c r="AO8" i="32"/>
  <c r="AQ8" i="32"/>
  <c r="AQ13" i="32"/>
  <c r="AO13" i="32"/>
  <c r="AP13" i="32"/>
  <c r="DB6" i="32"/>
  <c r="DA6" i="32"/>
  <c r="DC6" i="32"/>
  <c r="AG15" i="17"/>
  <c r="B15" i="17"/>
  <c r="AF15" i="17"/>
  <c r="BU7" i="32"/>
  <c r="BW7" i="32"/>
  <c r="AO15" i="32"/>
  <c r="AP15" i="32"/>
  <c r="AQ15" i="32"/>
  <c r="BV8" i="32"/>
  <c r="BW8" i="32"/>
  <c r="BU8" i="32"/>
  <c r="CM8" i="32"/>
  <c r="CS8" i="32" s="1"/>
  <c r="CL8" i="32"/>
  <c r="CR8" i="32" s="1"/>
  <c r="CK8" i="32"/>
  <c r="CQ8" i="32" s="1"/>
  <c r="AO19" i="32"/>
  <c r="AQ19" i="32"/>
  <c r="AP19" i="32"/>
  <c r="AO14" i="32"/>
  <c r="AP14" i="32"/>
  <c r="AQ14" i="32"/>
  <c r="DC7" i="32"/>
  <c r="DI7" i="32" s="1"/>
  <c r="DA7" i="32"/>
  <c r="DG7" i="32" s="1"/>
  <c r="T15" i="17"/>
  <c r="T11" i="17"/>
  <c r="BC19" i="32"/>
  <c r="BA16" i="32"/>
  <c r="BC15" i="32"/>
  <c r="BA12" i="32"/>
  <c r="BC11" i="32"/>
  <c r="A12" i="17"/>
  <c r="BA19" i="32"/>
  <c r="BC18" i="32"/>
  <c r="BA15" i="32"/>
  <c r="BC14" i="32"/>
  <c r="BA11" i="32"/>
  <c r="BC10" i="32"/>
  <c r="O12" i="17"/>
  <c r="BA18" i="32"/>
  <c r="BC17" i="32"/>
  <c r="BA14" i="32"/>
  <c r="BC13" i="32"/>
  <c r="BA10" i="32"/>
  <c r="BC9" i="32"/>
  <c r="N12" i="17"/>
  <c r="R12" i="17" s="1"/>
  <c r="B7" i="29"/>
  <c r="BA7" i="32"/>
  <c r="BC6" i="32"/>
  <c r="BC12" i="32"/>
  <c r="BA13" i="32"/>
  <c r="BA9" i="32"/>
  <c r="BA6" i="32"/>
  <c r="E6" i="39"/>
  <c r="BA17" i="32"/>
  <c r="BC7" i="32"/>
  <c r="B20" i="29"/>
  <c r="BC8" i="32"/>
  <c r="BC16" i="32"/>
  <c r="BA8" i="32"/>
  <c r="CL13" i="32"/>
  <c r="CR13" i="32" s="1"/>
  <c r="CK13" i="32"/>
  <c r="CQ13" i="32" s="1"/>
  <c r="CM13" i="32"/>
  <c r="CS13" i="32" s="1"/>
  <c r="AP6" i="32"/>
  <c r="AO6" i="32"/>
  <c r="AQ6" i="32"/>
  <c r="AO17" i="32"/>
  <c r="AP17" i="32"/>
  <c r="AQ17" i="32"/>
  <c r="BW14" i="32"/>
  <c r="BU14" i="32"/>
  <c r="BV14" i="32"/>
  <c r="BU15" i="32"/>
  <c r="BW15" i="32"/>
  <c r="BV15" i="32"/>
  <c r="CM19" i="32"/>
  <c r="CS19" i="32" s="1"/>
  <c r="CK19" i="32"/>
  <c r="CQ19" i="32" s="1"/>
  <c r="CL19" i="32"/>
  <c r="CR19" i="32" s="1"/>
  <c r="AF13" i="17"/>
  <c r="AG13" i="17"/>
  <c r="B13" i="17"/>
  <c r="B14" i="17"/>
  <c r="AG14" i="17"/>
  <c r="AF14" i="17"/>
  <c r="CK14" i="32"/>
  <c r="CQ14" i="32" s="1"/>
  <c r="CL14" i="32"/>
  <c r="CR14" i="32" s="1"/>
  <c r="CM14" i="32"/>
  <c r="CS14" i="32" s="1"/>
  <c r="AO18" i="32"/>
  <c r="AP18" i="32"/>
  <c r="AQ18" i="32"/>
  <c r="DC18" i="32"/>
  <c r="DI18" i="32" s="1"/>
  <c r="DA18" i="32"/>
  <c r="DG18" i="32" s="1"/>
  <c r="DB18" i="32"/>
  <c r="DH18" i="32" s="1"/>
  <c r="DB8" i="32"/>
  <c r="DH8" i="32" s="1"/>
  <c r="DA8" i="32"/>
  <c r="DG8" i="32" s="1"/>
  <c r="DC8" i="32"/>
  <c r="DI8" i="32" s="1"/>
  <c r="BV13" i="32"/>
  <c r="BU13" i="32"/>
  <c r="BW13" i="32"/>
  <c r="BV16" i="32"/>
  <c r="BU16" i="32"/>
  <c r="BW16" i="32"/>
  <c r="BU17" i="32"/>
  <c r="BV17" i="32"/>
  <c r="BW17" i="32"/>
  <c r="AG11" i="17"/>
  <c r="B11" i="17"/>
  <c r="AF11" i="17"/>
  <c r="DA19" i="32"/>
  <c r="DG19" i="32" s="1"/>
  <c r="DB19" i="32"/>
  <c r="DH19" i="32" s="1"/>
  <c r="DC19" i="32"/>
  <c r="DI19" i="32" s="1"/>
  <c r="CM15" i="32"/>
  <c r="CS15" i="32" s="1"/>
  <c r="CK15" i="32"/>
  <c r="CQ15" i="32" s="1"/>
  <c r="CL15" i="32"/>
  <c r="CR15" i="32" s="1"/>
  <c r="CK17" i="32"/>
  <c r="CQ17" i="32" s="1"/>
  <c r="CM17" i="32"/>
  <c r="CS17" i="32" s="1"/>
  <c r="CL17" i="32"/>
  <c r="CR17" i="32" s="1"/>
  <c r="AP16" i="32"/>
  <c r="AO16" i="32"/>
  <c r="AQ16" i="32"/>
  <c r="DB14" i="32"/>
  <c r="DH14" i="32" s="1"/>
  <c r="DA14" i="32"/>
  <c r="DG14" i="32" s="1"/>
  <c r="DC14" i="32"/>
  <c r="DI14" i="32" s="1"/>
  <c r="BV18" i="32"/>
  <c r="BU18" i="32"/>
  <c r="BW18" i="32"/>
  <c r="BW19" i="32"/>
  <c r="BU19" i="32"/>
  <c r="BV19" i="32"/>
  <c r="DB16" i="32"/>
  <c r="DH16" i="32" s="1"/>
  <c r="DA16" i="32"/>
  <c r="DG16" i="32" s="1"/>
  <c r="DC16" i="32"/>
  <c r="DI16" i="32" s="1"/>
  <c r="CK6" i="32"/>
  <c r="CL6" i="32"/>
  <c r="CM6" i="32"/>
  <c r="CL18" i="32"/>
  <c r="CR18" i="32" s="1"/>
  <c r="CK18" i="32"/>
  <c r="CQ18" i="32" s="1"/>
  <c r="CM18" i="32"/>
  <c r="CS18" i="32" s="1"/>
  <c r="CM16" i="32"/>
  <c r="CS16" i="32" s="1"/>
  <c r="CK16" i="32"/>
  <c r="CQ16" i="32" s="1"/>
  <c r="CL16" i="32"/>
  <c r="CR16" i="32" s="1"/>
  <c r="AQ7" i="32"/>
  <c r="AO7" i="32"/>
  <c r="I6" i="29"/>
  <c r="B23" i="11"/>
  <c r="B27" i="11"/>
  <c r="H10" i="29"/>
  <c r="DA15" i="32"/>
  <c r="DG15" i="32" s="1"/>
  <c r="DB15" i="32"/>
  <c r="DH15" i="32" s="1"/>
  <c r="DC15" i="32"/>
  <c r="DI15" i="32" s="1"/>
  <c r="DA13" i="32"/>
  <c r="DG13" i="32" s="1"/>
  <c r="DC13" i="32"/>
  <c r="DI13" i="32" s="1"/>
  <c r="DB13" i="32"/>
  <c r="DH13" i="32" s="1"/>
  <c r="BW6" i="32"/>
  <c r="BZ6" i="32" s="1"/>
  <c r="BU6" i="32"/>
  <c r="BX6" i="32" s="1"/>
  <c r="BV6" i="32"/>
  <c r="BY6" i="32" s="1"/>
  <c r="T13" i="17"/>
  <c r="B25" i="11"/>
  <c r="H155" i="3"/>
  <c r="I141" i="3"/>
  <c r="L141" i="3" s="1"/>
  <c r="I140" i="3"/>
  <c r="L140" i="3" s="1"/>
  <c r="I142" i="3"/>
  <c r="L142" i="3" s="1"/>
  <c r="I138" i="3"/>
  <c r="L138" i="3" s="1"/>
  <c r="J162" i="3"/>
  <c r="J160" i="3"/>
  <c r="J163" i="3"/>
  <c r="J161" i="3"/>
  <c r="J165" i="3"/>
  <c r="J164" i="3"/>
  <c r="I130" i="3"/>
  <c r="I132" i="3"/>
  <c r="I131" i="3"/>
  <c r="I108" i="3"/>
  <c r="I109" i="3"/>
  <c r="F191" i="1"/>
  <c r="E191" i="1"/>
  <c r="E190" i="1"/>
  <c r="F190" i="1"/>
  <c r="I31" i="18"/>
  <c r="I30" i="18"/>
  <c r="I32" i="18"/>
  <c r="D109" i="1"/>
  <c r="I21" i="18"/>
  <c r="D107" i="1"/>
  <c r="G192" i="1"/>
  <c r="G193" i="1"/>
  <c r="G194" i="1"/>
  <c r="D119" i="1"/>
  <c r="J136" i="1" s="1"/>
  <c r="E131" i="1"/>
  <c r="C8" i="13" s="1"/>
  <c r="B11" i="19"/>
  <c r="I107" i="3"/>
  <c r="G153" i="3"/>
  <c r="F153" i="3"/>
  <c r="A8" i="18"/>
  <c r="A24" i="18" s="1"/>
  <c r="B22" i="16"/>
  <c r="C22" i="16" s="1"/>
  <c r="E153" i="3"/>
  <c r="D153" i="3"/>
  <c r="B36" i="14"/>
  <c r="E36" i="14" s="1"/>
  <c r="O4" i="18"/>
  <c r="B19" i="16"/>
  <c r="C19" i="16" s="1"/>
  <c r="B33" i="14"/>
  <c r="E33" i="14" s="1"/>
  <c r="A5" i="18"/>
  <c r="A21" i="18" s="1"/>
  <c r="D116" i="1"/>
  <c r="G136" i="1" s="1"/>
  <c r="H10" i="13" s="1"/>
  <c r="J10" i="13" s="1"/>
  <c r="L10" i="13" s="1"/>
  <c r="M10" i="13" s="1"/>
  <c r="B23" i="16"/>
  <c r="C23" i="16" s="1"/>
  <c r="B37" i="14"/>
  <c r="E37" i="14" s="1"/>
  <c r="A9" i="18"/>
  <c r="A25" i="18" s="1"/>
  <c r="D120" i="1"/>
  <c r="K136" i="1" s="1"/>
  <c r="B18" i="16"/>
  <c r="C18" i="16" s="1"/>
  <c r="B32" i="14"/>
  <c r="E32" i="14" s="1"/>
  <c r="A4" i="18"/>
  <c r="A20" i="18" s="1"/>
  <c r="D115" i="1"/>
  <c r="B24" i="16"/>
  <c r="C24" i="16" s="1"/>
  <c r="B38" i="14"/>
  <c r="E38" i="14" s="1"/>
  <c r="D121" i="1"/>
  <c r="L136" i="1" s="1"/>
  <c r="B35" i="14"/>
  <c r="E35" i="14" s="1"/>
  <c r="B21" i="16"/>
  <c r="C21" i="16" s="1"/>
  <c r="A7" i="18"/>
  <c r="A23" i="18" s="1"/>
  <c r="D118" i="1"/>
  <c r="I136" i="1" s="1"/>
  <c r="H12" i="13" s="1"/>
  <c r="J12" i="13" s="1"/>
  <c r="L12" i="13" s="1"/>
  <c r="M12" i="13" s="1"/>
  <c r="CB19" i="32" l="1"/>
  <c r="BY19" i="32"/>
  <c r="CA18" i="32"/>
  <c r="BX18" i="32"/>
  <c r="CC17" i="32"/>
  <c r="BZ17" i="32"/>
  <c r="CA16" i="32"/>
  <c r="BX16" i="32"/>
  <c r="CB13" i="32"/>
  <c r="BY13" i="32"/>
  <c r="CA15" i="32"/>
  <c r="BX15" i="32"/>
  <c r="CA8" i="32"/>
  <c r="BX8" i="32"/>
  <c r="CA19" i="32"/>
  <c r="BX19" i="32"/>
  <c r="CB18" i="32"/>
  <c r="BY18" i="32"/>
  <c r="CB17" i="32"/>
  <c r="BY17" i="32"/>
  <c r="CB16" i="32"/>
  <c r="BY16" i="32"/>
  <c r="CB14" i="32"/>
  <c r="BY14" i="32"/>
  <c r="CC8" i="32"/>
  <c r="BZ8" i="32"/>
  <c r="CC19" i="32"/>
  <c r="BZ19" i="32"/>
  <c r="CA17" i="32"/>
  <c r="BX17" i="32"/>
  <c r="CC13" i="32"/>
  <c r="BZ13" i="32"/>
  <c r="CB15" i="32"/>
  <c r="BY15" i="32"/>
  <c r="CA14" i="32"/>
  <c r="BX14" i="32"/>
  <c r="CB8" i="32"/>
  <c r="BY8" i="32"/>
  <c r="CC7" i="32"/>
  <c r="BZ7" i="32"/>
  <c r="CC18" i="32"/>
  <c r="BZ18" i="32"/>
  <c r="CC16" i="32"/>
  <c r="BZ16" i="32"/>
  <c r="CA13" i="32"/>
  <c r="BX13" i="32"/>
  <c r="CC15" i="32"/>
  <c r="BZ15" i="32"/>
  <c r="CC14" i="32"/>
  <c r="BZ14" i="32"/>
  <c r="CA7" i="32"/>
  <c r="BX7" i="32"/>
  <c r="L130" i="3"/>
  <c r="H153" i="3"/>
  <c r="CC6" i="32"/>
  <c r="AS15" i="32"/>
  <c r="AV15" i="32"/>
  <c r="AR7" i="32"/>
  <c r="AU7" i="32"/>
  <c r="AR17" i="32"/>
  <c r="AU17" i="32"/>
  <c r="BF6" i="32"/>
  <c r="BE6" i="32"/>
  <c r="BG6" i="32"/>
  <c r="BG17" i="32"/>
  <c r="BM17" i="32" s="1"/>
  <c r="BE17" i="32"/>
  <c r="BK17" i="32" s="1"/>
  <c r="BF17" i="32"/>
  <c r="BL17" i="32" s="1"/>
  <c r="AV13" i="32"/>
  <c r="AS13" i="32"/>
  <c r="AV18" i="32"/>
  <c r="AS18" i="32"/>
  <c r="AS6" i="32"/>
  <c r="AV6" i="32"/>
  <c r="BE19" i="32"/>
  <c r="BK19" i="32" s="1"/>
  <c r="BG19" i="32"/>
  <c r="BM19" i="32" s="1"/>
  <c r="BF19" i="32"/>
  <c r="BL19" i="32" s="1"/>
  <c r="DG6" i="32"/>
  <c r="O25" i="11"/>
  <c r="P25" i="11" s="1"/>
  <c r="L25" i="11"/>
  <c r="D25" i="11"/>
  <c r="E25" i="11"/>
  <c r="F25" i="11" s="1"/>
  <c r="G25" i="11" s="1"/>
  <c r="I25" i="11" s="1"/>
  <c r="AU18" i="32"/>
  <c r="AR18" i="32"/>
  <c r="AV17" i="32"/>
  <c r="AS17" i="32"/>
  <c r="BF8" i="32"/>
  <c r="BL8" i="32" s="1"/>
  <c r="BG8" i="32"/>
  <c r="BM8" i="32" s="1"/>
  <c r="BE8" i="32"/>
  <c r="BK8" i="32" s="1"/>
  <c r="BE18" i="32"/>
  <c r="BK18" i="32" s="1"/>
  <c r="BF18" i="32"/>
  <c r="BL18" i="32" s="1"/>
  <c r="BG18" i="32"/>
  <c r="BM18" i="32" s="1"/>
  <c r="AU15" i="32"/>
  <c r="AR15" i="32"/>
  <c r="DH6" i="32"/>
  <c r="O27" i="11"/>
  <c r="P27" i="11" s="1"/>
  <c r="D27" i="11"/>
  <c r="L27" i="11"/>
  <c r="E27" i="11"/>
  <c r="F27" i="11" s="1"/>
  <c r="G27" i="11" s="1"/>
  <c r="I27" i="11" s="1"/>
  <c r="CS6" i="32"/>
  <c r="BG7" i="32"/>
  <c r="BM7" i="32" s="1"/>
  <c r="BE7" i="32"/>
  <c r="BK7" i="32" s="1"/>
  <c r="AG12" i="17"/>
  <c r="B12" i="17"/>
  <c r="AF12" i="17"/>
  <c r="AT14" i="32"/>
  <c r="AW14" i="32"/>
  <c r="AU13" i="32"/>
  <c r="AR13" i="32"/>
  <c r="BF16" i="32"/>
  <c r="BL16" i="32" s="1"/>
  <c r="BE16" i="32"/>
  <c r="BK16" i="32" s="1"/>
  <c r="BG16" i="32"/>
  <c r="BM16" i="32" s="1"/>
  <c r="AT7" i="32"/>
  <c r="AW7" i="32"/>
  <c r="CQ6" i="32"/>
  <c r="AU14" i="32"/>
  <c r="AR14" i="32"/>
  <c r="AW8" i="32"/>
  <c r="AT8" i="32"/>
  <c r="AW17" i="32"/>
  <c r="AT17" i="32"/>
  <c r="AR19" i="32"/>
  <c r="AU19" i="32"/>
  <c r="CR6" i="32"/>
  <c r="T12" i="17"/>
  <c r="AV14" i="32"/>
  <c r="AS14" i="32"/>
  <c r="O26" i="11"/>
  <c r="P26" i="11" s="1"/>
  <c r="E26" i="11"/>
  <c r="F26" i="11" s="1"/>
  <c r="G26" i="11" s="1"/>
  <c r="I26" i="11" s="1"/>
  <c r="D26" i="11"/>
  <c r="L26" i="11"/>
  <c r="CB6" i="32"/>
  <c r="AW16" i="32"/>
  <c r="AT16" i="32"/>
  <c r="AW6" i="32"/>
  <c r="AT6" i="32"/>
  <c r="BG15" i="32"/>
  <c r="BM15" i="32" s="1"/>
  <c r="BE15" i="32"/>
  <c r="BK15" i="32" s="1"/>
  <c r="BF15" i="32"/>
  <c r="BL15" i="32" s="1"/>
  <c r="AV19" i="32"/>
  <c r="AS19" i="32"/>
  <c r="AU8" i="32"/>
  <c r="AR8" i="32"/>
  <c r="C26" i="11"/>
  <c r="C23" i="11"/>
  <c r="AV16" i="32"/>
  <c r="AS16" i="32"/>
  <c r="BE13" i="32"/>
  <c r="BK13" i="32" s="1"/>
  <c r="BG13" i="32"/>
  <c r="BM13" i="32" s="1"/>
  <c r="BF13" i="32"/>
  <c r="BL13" i="32" s="1"/>
  <c r="B24" i="11"/>
  <c r="AT13" i="32"/>
  <c r="AW13" i="32"/>
  <c r="CA6" i="32"/>
  <c r="O23" i="11"/>
  <c r="P23" i="11" s="1"/>
  <c r="D23" i="11"/>
  <c r="L23" i="11"/>
  <c r="E23" i="11"/>
  <c r="F23" i="11" s="1"/>
  <c r="AU16" i="32"/>
  <c r="AR16" i="32"/>
  <c r="AT18" i="32"/>
  <c r="AW18" i="32"/>
  <c r="AU6" i="32"/>
  <c r="AR6" i="32"/>
  <c r="BF14" i="32"/>
  <c r="BL14" i="32" s="1"/>
  <c r="BE14" i="32"/>
  <c r="BK14" i="32" s="1"/>
  <c r="BG14" i="32"/>
  <c r="BM14" i="32" s="1"/>
  <c r="AW19" i="32"/>
  <c r="AT19" i="32"/>
  <c r="AW15" i="32"/>
  <c r="AT15" i="32"/>
  <c r="DI6" i="32"/>
  <c r="AV8" i="32"/>
  <c r="AS8" i="32"/>
  <c r="I153" i="3"/>
  <c r="L132" i="3"/>
  <c r="J155" i="3"/>
  <c r="L131" i="3"/>
  <c r="F193" i="1"/>
  <c r="E193" i="1"/>
  <c r="E194" i="1"/>
  <c r="F194" i="1"/>
  <c r="F192" i="1"/>
  <c r="E192" i="1"/>
  <c r="K184" i="3"/>
  <c r="B13" i="19"/>
  <c r="B10" i="19"/>
  <c r="B14" i="19"/>
  <c r="B12" i="19"/>
  <c r="B15" i="19"/>
  <c r="F136" i="1"/>
  <c r="B9" i="19"/>
  <c r="M27" i="11" l="1"/>
  <c r="J25" i="11"/>
  <c r="J27" i="11"/>
  <c r="DK8" i="32"/>
  <c r="M25" i="11"/>
  <c r="DK19" i="32"/>
  <c r="M26" i="11"/>
  <c r="N26" i="11" s="1"/>
  <c r="Q26" i="11" s="1"/>
  <c r="R26" i="11" s="1"/>
  <c r="M23" i="11"/>
  <c r="N23" i="11" s="1"/>
  <c r="Q23" i="11" s="1"/>
  <c r="R23" i="11" s="1"/>
  <c r="DL18" i="32"/>
  <c r="J153" i="3"/>
  <c r="DJ18" i="32"/>
  <c r="DL15" i="32"/>
  <c r="DL17" i="32"/>
  <c r="DJ8" i="32"/>
  <c r="DK17" i="32"/>
  <c r="DJ17" i="32"/>
  <c r="DJ16" i="32"/>
  <c r="DK16" i="32"/>
  <c r="DJ13" i="32"/>
  <c r="DK13" i="32"/>
  <c r="DL8" i="32"/>
  <c r="DL14" i="32"/>
  <c r="DK15" i="32"/>
  <c r="G23" i="11"/>
  <c r="DK14" i="32"/>
  <c r="BL6" i="32"/>
  <c r="DL19" i="32"/>
  <c r="DJ19" i="32"/>
  <c r="DJ15" i="32"/>
  <c r="O24" i="11"/>
  <c r="P24" i="11" s="1"/>
  <c r="D24" i="11"/>
  <c r="L24" i="11"/>
  <c r="E24" i="11"/>
  <c r="F24" i="11" s="1"/>
  <c r="G24" i="11" s="1"/>
  <c r="I24" i="11" s="1"/>
  <c r="J26" i="11"/>
  <c r="K26" i="11" s="1"/>
  <c r="DJ14" i="32"/>
  <c r="DJ7" i="32"/>
  <c r="DK18" i="32"/>
  <c r="BM6" i="32"/>
  <c r="DL16" i="32"/>
  <c r="BK6" i="32"/>
  <c r="H9" i="13"/>
  <c r="J9" i="13" s="1"/>
  <c r="L9" i="13" s="1"/>
  <c r="M9" i="13" s="1"/>
  <c r="E136" i="1"/>
  <c r="M24" i="11" l="1"/>
  <c r="J24" i="11"/>
  <c r="DJ6" i="32"/>
  <c r="I8" i="29"/>
  <c r="F28" i="11"/>
  <c r="I23" i="11"/>
  <c r="G28" i="11"/>
  <c r="DK6" i="32"/>
  <c r="DL6" i="32"/>
  <c r="H8" i="13"/>
  <c r="J8" i="13" s="1"/>
  <c r="L8" i="13" s="1"/>
  <c r="M8" i="13" s="1"/>
  <c r="M13" i="13" s="1"/>
  <c r="E17" i="14"/>
  <c r="M17" i="14"/>
  <c r="C25" i="11" l="1"/>
  <c r="J23" i="11"/>
  <c r="I28" i="11"/>
  <c r="P17" i="14"/>
  <c r="H17" i="14"/>
  <c r="AV12" i="17"/>
  <c r="K23" i="11" l="1"/>
  <c r="J28" i="11"/>
  <c r="N25" i="11"/>
  <c r="Q25" i="11" s="1"/>
  <c r="K25" i="11"/>
  <c r="R25" i="11" l="1"/>
  <c r="C91" i="3"/>
  <c r="E91" i="3" s="1"/>
  <c r="F91" i="3" l="1"/>
  <c r="G91" i="3" s="1"/>
  <c r="G43" i="3"/>
  <c r="O43" i="3" s="1"/>
  <c r="P43" i="3" s="1"/>
  <c r="G118" i="3" l="1"/>
  <c r="H141" i="3"/>
  <c r="G141" i="3"/>
  <c r="H118" i="3"/>
  <c r="B188" i="3" l="1"/>
  <c r="C188" i="3" s="1"/>
  <c r="C87" i="3"/>
  <c r="E87" i="3" s="1"/>
  <c r="G41" i="3"/>
  <c r="O41" i="3" s="1"/>
  <c r="P41" i="3" s="1"/>
  <c r="C88" i="3"/>
  <c r="E88" i="3" s="1"/>
  <c r="F88" i="3" s="1"/>
  <c r="G88" i="3" s="1"/>
  <c r="G42" i="3"/>
  <c r="O42" i="3" s="1"/>
  <c r="P42" i="3" s="1"/>
  <c r="G138" i="3" l="1"/>
  <c r="H115" i="3"/>
  <c r="G115" i="3"/>
  <c r="H138" i="3"/>
  <c r="F87" i="3"/>
  <c r="G87" i="3" s="1"/>
  <c r="E188" i="3"/>
  <c r="I188" i="3" s="1"/>
  <c r="D188" i="3"/>
  <c r="H188" i="3" s="1"/>
  <c r="G188" i="3"/>
  <c r="F188" i="3"/>
  <c r="J141" i="3"/>
  <c r="M141" i="3" s="1"/>
  <c r="J118" i="3"/>
  <c r="C92" i="3"/>
  <c r="E92" i="3" s="1"/>
  <c r="F92" i="3" s="1"/>
  <c r="G92" i="3" s="1"/>
  <c r="C93" i="3"/>
  <c r="E93" i="3" s="1"/>
  <c r="F93" i="3" s="1"/>
  <c r="G93" i="3" s="1"/>
  <c r="C89" i="3"/>
  <c r="E89" i="3" s="1"/>
  <c r="F89" i="3" s="1"/>
  <c r="G89" i="3" s="1"/>
  <c r="C90" i="3"/>
  <c r="E90" i="3" s="1"/>
  <c r="F90" i="3" s="1"/>
  <c r="G90" i="3" s="1"/>
  <c r="G44" i="3"/>
  <c r="O44" i="3" s="1"/>
  <c r="P44" i="3" s="1"/>
  <c r="H137" i="3" l="1"/>
  <c r="H114" i="3"/>
  <c r="G114" i="3"/>
  <c r="G137" i="3"/>
  <c r="H140" i="3"/>
  <c r="G140" i="3"/>
  <c r="H117" i="3"/>
  <c r="G117" i="3"/>
  <c r="H120" i="3"/>
  <c r="G143" i="3"/>
  <c r="G120" i="3"/>
  <c r="H143" i="3"/>
  <c r="H142" i="3"/>
  <c r="G119" i="3"/>
  <c r="G142" i="3"/>
  <c r="H119" i="3"/>
  <c r="G116" i="3"/>
  <c r="H139" i="3"/>
  <c r="G139" i="3"/>
  <c r="H116" i="3"/>
  <c r="J188" i="3"/>
  <c r="G45" i="3"/>
  <c r="O45" i="3" s="1"/>
  <c r="P45" i="3" s="1"/>
  <c r="B187" i="3" l="1"/>
  <c r="C187" i="3" s="1"/>
  <c r="B190" i="3"/>
  <c r="C190" i="3" s="1"/>
  <c r="B189" i="3"/>
  <c r="C189" i="3" s="1"/>
  <c r="B186" i="3"/>
  <c r="C186" i="3" s="1"/>
  <c r="E186" i="3" l="1"/>
  <c r="I186" i="3" s="1"/>
  <c r="D186" i="3"/>
  <c r="H186" i="3" s="1"/>
  <c r="G186" i="3"/>
  <c r="F186" i="3"/>
  <c r="E190" i="3"/>
  <c r="I190" i="3" s="1"/>
  <c r="D190" i="3"/>
  <c r="H190" i="3" s="1"/>
  <c r="G190" i="3"/>
  <c r="F190" i="3"/>
  <c r="E189" i="3"/>
  <c r="I189" i="3" s="1"/>
  <c r="D189" i="3"/>
  <c r="H189" i="3" s="1"/>
  <c r="G189" i="3"/>
  <c r="F189" i="3"/>
  <c r="E187" i="3"/>
  <c r="I187" i="3" s="1"/>
  <c r="D187" i="3"/>
  <c r="H187" i="3" s="1"/>
  <c r="G187" i="3"/>
  <c r="F187" i="3"/>
  <c r="J142" i="3"/>
  <c r="M142" i="3" s="1"/>
  <c r="J139" i="3"/>
  <c r="M139" i="3" s="1"/>
  <c r="J117" i="3"/>
  <c r="J143" i="3"/>
  <c r="M143" i="3" s="1"/>
  <c r="J119" i="3"/>
  <c r="J140" i="3"/>
  <c r="M140" i="3" s="1"/>
  <c r="J120" i="3"/>
  <c r="J116" i="3"/>
  <c r="J187" i="3" l="1"/>
  <c r="J190" i="3"/>
  <c r="J189" i="3"/>
  <c r="J186" i="3"/>
  <c r="G32" i="3"/>
  <c r="O32" i="3" s="1"/>
  <c r="P32" i="3" s="1"/>
  <c r="F31" i="2" l="1"/>
  <c r="C80" i="3" l="1"/>
  <c r="E80" i="3" s="1"/>
  <c r="F80" i="3" s="1"/>
  <c r="G80" i="3" s="1"/>
  <c r="G107" i="3" l="1"/>
  <c r="H107" i="3"/>
  <c r="H130" i="3"/>
  <c r="G130" i="3"/>
  <c r="G39" i="3"/>
  <c r="O39" i="3" s="1"/>
  <c r="P39" i="3" s="1"/>
  <c r="B177" i="3" l="1"/>
  <c r="C177" i="3" s="1"/>
  <c r="E177" i="3" l="1"/>
  <c r="I177" i="3" s="1"/>
  <c r="D177" i="3"/>
  <c r="G177" i="3"/>
  <c r="F177" i="3"/>
  <c r="J130" i="3"/>
  <c r="B184" i="3"/>
  <c r="C184" i="3" s="1"/>
  <c r="J107" i="3"/>
  <c r="E184" i="3" l="1"/>
  <c r="I184" i="3" s="1"/>
  <c r="D184" i="3"/>
  <c r="H184" i="3" s="1"/>
  <c r="G184" i="3"/>
  <c r="F184" i="3"/>
  <c r="H177" i="3"/>
  <c r="J137" i="3"/>
  <c r="M137" i="3" s="1"/>
  <c r="J114" i="3"/>
  <c r="J177" i="3" l="1"/>
  <c r="J184" i="3"/>
  <c r="G40" i="3"/>
  <c r="O40" i="3" s="1"/>
  <c r="P40" i="3" s="1"/>
  <c r="B185" i="3" l="1"/>
  <c r="C185" i="3" s="1"/>
  <c r="M130" i="3"/>
  <c r="F33" i="2"/>
  <c r="E185" i="3" l="1"/>
  <c r="I185" i="3" s="1"/>
  <c r="D185" i="3"/>
  <c r="H185" i="3" s="1"/>
  <c r="G185" i="3"/>
  <c r="F194" i="3" s="1"/>
  <c r="F185" i="3"/>
  <c r="J138" i="3"/>
  <c r="M138" i="3" s="1"/>
  <c r="J115" i="3"/>
  <c r="C82" i="3"/>
  <c r="E82" i="3" s="1"/>
  <c r="G34" i="3"/>
  <c r="O34" i="3" s="1"/>
  <c r="P34" i="3" s="1"/>
  <c r="F82" i="3" l="1"/>
  <c r="G82" i="3" s="1"/>
  <c r="J185" i="3"/>
  <c r="C185" i="1"/>
  <c r="C181" i="1"/>
  <c r="C182" i="1"/>
  <c r="C179" i="1"/>
  <c r="C183" i="1"/>
  <c r="C184" i="1"/>
  <c r="C180" i="1"/>
  <c r="H132" i="3" l="1"/>
  <c r="G132" i="3"/>
  <c r="H109" i="3"/>
  <c r="G109" i="3"/>
  <c r="B179" i="3"/>
  <c r="C179" i="3" s="1"/>
  <c r="F179" i="3" s="1"/>
  <c r="K184" i="1"/>
  <c r="K181" i="1"/>
  <c r="K183" i="1"/>
  <c r="K182" i="1"/>
  <c r="K185" i="1"/>
  <c r="K180" i="1"/>
  <c r="J109" i="3" l="1"/>
  <c r="G179" i="3"/>
  <c r="J132" i="3"/>
  <c r="M132" i="3" s="1"/>
  <c r="D179" i="3"/>
  <c r="H179" i="3" s="1"/>
  <c r="E179" i="3"/>
  <c r="I179" i="3" s="1"/>
  <c r="E23" i="18"/>
  <c r="H23" i="18" s="1"/>
  <c r="I23" i="18" s="1"/>
  <c r="E26" i="18"/>
  <c r="H26" i="18" s="1"/>
  <c r="I26" i="18" s="1"/>
  <c r="E24" i="18"/>
  <c r="H24" i="18" s="1"/>
  <c r="I24" i="18" s="1"/>
  <c r="E25" i="18"/>
  <c r="H25" i="18" s="1"/>
  <c r="I25" i="18" s="1"/>
  <c r="E22" i="18"/>
  <c r="H22" i="18" s="1"/>
  <c r="J179" i="3" l="1"/>
  <c r="P4" i="18"/>
  <c r="I22" i="18"/>
  <c r="P3" i="18" l="1"/>
  <c r="D184" i="1" l="1"/>
  <c r="D182" i="1" l="1"/>
  <c r="D180" i="1"/>
  <c r="D181" i="1"/>
  <c r="D183" i="1"/>
  <c r="D179" i="1" l="1"/>
  <c r="K179" i="1" l="1"/>
  <c r="G195" i="1"/>
  <c r="F195" i="1" l="1"/>
  <c r="E195" i="1"/>
  <c r="D185" i="1"/>
  <c r="F36" i="34" l="1"/>
  <c r="F37" i="34"/>
  <c r="F35" i="34"/>
  <c r="F34" i="34" l="1"/>
  <c r="F27" i="34"/>
  <c r="F32" i="34"/>
  <c r="F33" i="34"/>
  <c r="F38" i="34"/>
  <c r="F26" i="34"/>
  <c r="F25" i="34" l="1"/>
  <c r="D74" i="1"/>
  <c r="N14" i="30"/>
  <c r="U15" i="30" s="1"/>
  <c r="Q127" i="30" l="1"/>
  <c r="T127" i="30" s="1"/>
  <c r="F144" i="30" s="1"/>
  <c r="AE15" i="30"/>
  <c r="U18" i="30"/>
  <c r="AE18" i="30" s="1"/>
  <c r="P19" i="30"/>
  <c r="W150" i="30" s="1"/>
  <c r="X150" i="30" s="1"/>
  <c r="R19" i="30"/>
  <c r="AA150" i="30" s="1"/>
  <c r="AB150" i="30" s="1"/>
  <c r="O19" i="30"/>
  <c r="U150" i="30" s="1"/>
  <c r="V150" i="30" s="1"/>
  <c r="S145" i="30"/>
  <c r="T145" i="30" s="1"/>
  <c r="T19" i="30"/>
  <c r="AE150" i="30" s="1"/>
  <c r="AF150" i="30" s="1"/>
  <c r="U16" i="30"/>
  <c r="AE16" i="30" s="1"/>
  <c r="D33" i="3" s="1"/>
  <c r="N19" i="30"/>
  <c r="S150" i="30" s="1"/>
  <c r="T150" i="30" s="1"/>
  <c r="S19" i="30"/>
  <c r="AC150" i="30" s="1"/>
  <c r="AD150" i="30" s="1"/>
  <c r="Q19" i="30"/>
  <c r="Y150" i="30" s="1"/>
  <c r="Z150" i="30" s="1"/>
  <c r="T13" i="32" s="1"/>
  <c r="AA13" i="32" s="1"/>
  <c r="AG13" i="32" s="1"/>
  <c r="DL13" i="32" s="1"/>
  <c r="U17" i="30"/>
  <c r="H127" i="30" s="1"/>
  <c r="K127" i="30" s="1"/>
  <c r="C144" i="30" s="1"/>
  <c r="AF15" i="30" l="1"/>
  <c r="D81" i="3" s="1"/>
  <c r="L144" i="30"/>
  <c r="C162" i="30"/>
  <c r="E162" i="30" s="1"/>
  <c r="F162" i="30" s="1"/>
  <c r="I144" i="30"/>
  <c r="P144" i="30" l="1"/>
  <c r="N144" i="30"/>
  <c r="O144" i="30" s="1"/>
  <c r="O162" i="30"/>
  <c r="R144" i="30"/>
  <c r="AI7" i="32"/>
  <c r="S7" i="32"/>
  <c r="BO7" i="32"/>
  <c r="CE7" i="32"/>
  <c r="AY7" i="32"/>
  <c r="C7" i="32"/>
  <c r="CU7" i="32"/>
  <c r="AP7" i="32" l="1"/>
  <c r="DB7" i="32"/>
  <c r="Z7" i="32"/>
  <c r="P162" i="30"/>
  <c r="AD144" i="30"/>
  <c r="T144" i="30"/>
  <c r="V144" i="30"/>
  <c r="AF144" i="30"/>
  <c r="AB144" i="30"/>
  <c r="X144" i="30"/>
  <c r="Z144" i="30"/>
  <c r="T7" i="32" s="1"/>
  <c r="J7" i="32"/>
  <c r="BF7" i="32"/>
  <c r="C33" i="3"/>
  <c r="G33" i="3" s="1"/>
  <c r="O33" i="3" s="1"/>
  <c r="P33" i="3" s="1"/>
  <c r="C32" i="2"/>
  <c r="E32" i="2" s="1"/>
  <c r="CL7" i="32"/>
  <c r="BV7" i="32"/>
  <c r="BY7" i="32" s="1"/>
  <c r="AF7" i="32" l="1"/>
  <c r="CB7" i="32"/>
  <c r="BL7" i="32"/>
  <c r="DH7" i="32"/>
  <c r="CR7" i="32"/>
  <c r="P7" i="32"/>
  <c r="AS7" i="32"/>
  <c r="AV7" i="32"/>
  <c r="C81" i="3"/>
  <c r="E81" i="3" s="1"/>
  <c r="F81" i="3" s="1"/>
  <c r="G81" i="3" s="1"/>
  <c r="F32" i="2"/>
  <c r="AA7" i="32"/>
  <c r="G108" i="3" l="1"/>
  <c r="H131" i="3"/>
  <c r="G131" i="3"/>
  <c r="H108" i="3"/>
  <c r="DK7" i="32"/>
  <c r="AG7" i="32"/>
  <c r="B178" i="3" l="1"/>
  <c r="C178" i="3" s="1"/>
  <c r="DL7" i="32"/>
  <c r="E178" i="3" l="1"/>
  <c r="I178" i="3" s="1"/>
  <c r="D178" i="3"/>
  <c r="G178" i="3"/>
  <c r="F178" i="3"/>
  <c r="J131" i="3"/>
  <c r="M131" i="3" s="1"/>
  <c r="J108" i="3"/>
  <c r="H178" i="3" l="1"/>
  <c r="I154" i="3"/>
  <c r="J178" i="3" l="1"/>
  <c r="J154" i="3"/>
  <c r="L162" i="30" l="1"/>
  <c r="Q162" i="30" s="1"/>
  <c r="R162" i="30" l="1"/>
  <c r="S162" i="30" l="1"/>
  <c r="C148" i="1" l="1"/>
  <c r="C166" i="1"/>
  <c r="C12" i="2"/>
  <c r="E12" i="2" s="1"/>
  <c r="L7" i="27"/>
  <c r="B7" i="27"/>
  <c r="P7" i="27" s="1"/>
  <c r="B130" i="30"/>
  <c r="C130" i="30"/>
  <c r="C157" i="3"/>
  <c r="I134" i="3"/>
  <c r="L134" i="3" s="1"/>
  <c r="I111" i="3"/>
  <c r="F62" i="3"/>
  <c r="D35" i="2"/>
  <c r="C13" i="3"/>
  <c r="E13" i="3" s="1"/>
  <c r="C168" i="1"/>
  <c r="C14" i="2"/>
  <c r="E14" i="2" s="1"/>
  <c r="L9" i="27"/>
  <c r="B9" i="27"/>
  <c r="P9" i="27" s="1"/>
  <c r="C132" i="30"/>
  <c r="B132" i="30"/>
  <c r="C159" i="3"/>
  <c r="I113" i="3"/>
  <c r="I136" i="3"/>
  <c r="L136" i="3" s="1"/>
  <c r="D37" i="2"/>
  <c r="F64" i="3"/>
  <c r="C15" i="3"/>
  <c r="E15" i="3" s="1"/>
  <c r="C31" i="34" l="1"/>
  <c r="F157" i="3"/>
  <c r="E157" i="3"/>
  <c r="I157" i="3" s="1"/>
  <c r="G157" i="3"/>
  <c r="D157" i="3"/>
  <c r="H157" i="3" s="1"/>
  <c r="N130" i="30"/>
  <c r="Q130" i="30" s="1"/>
  <c r="T130" i="30" s="1"/>
  <c r="F147" i="30" s="1"/>
  <c r="M130" i="30"/>
  <c r="P130" i="30" s="1"/>
  <c r="S130" i="30" s="1"/>
  <c r="E147" i="30" s="1"/>
  <c r="O130" i="30"/>
  <c r="R130" i="30" s="1"/>
  <c r="U130" i="30" s="1"/>
  <c r="G147" i="30" s="1"/>
  <c r="C147" i="1"/>
  <c r="C165" i="1"/>
  <c r="C11" i="2"/>
  <c r="E11" i="2" s="1"/>
  <c r="L6" i="27"/>
  <c r="B6" i="27"/>
  <c r="C129" i="30"/>
  <c r="B129" i="30"/>
  <c r="C156" i="3"/>
  <c r="I133" i="3"/>
  <c r="I110" i="3"/>
  <c r="F61" i="3"/>
  <c r="D34" i="2"/>
  <c r="C12" i="3"/>
  <c r="E12" i="3" s="1"/>
  <c r="F130" i="30"/>
  <c r="I130" i="30" s="1"/>
  <c r="L130" i="30" s="1"/>
  <c r="D147" i="30" s="1"/>
  <c r="E130" i="30"/>
  <c r="H130" i="30" s="1"/>
  <c r="K130" i="30" s="1"/>
  <c r="C147" i="30" s="1"/>
  <c r="D130" i="30"/>
  <c r="G130" i="30" s="1"/>
  <c r="J130" i="30" s="1"/>
  <c r="B147" i="30" s="1"/>
  <c r="B31" i="34"/>
  <c r="F31" i="34" s="1"/>
  <c r="K168" i="1"/>
  <c r="D159" i="3"/>
  <c r="H159" i="3" s="1"/>
  <c r="F159" i="3"/>
  <c r="E159" i="3"/>
  <c r="I159" i="3" s="1"/>
  <c r="G159" i="3"/>
  <c r="D7" i="27"/>
  <c r="G7" i="27"/>
  <c r="H7" i="27" s="1"/>
  <c r="D132" i="30"/>
  <c r="G132" i="30" s="1"/>
  <c r="J132" i="30" s="1"/>
  <c r="B149" i="30" s="1"/>
  <c r="F132" i="30"/>
  <c r="I132" i="30" s="1"/>
  <c r="L132" i="30" s="1"/>
  <c r="D149" i="30" s="1"/>
  <c r="E132" i="30"/>
  <c r="H132" i="30" s="1"/>
  <c r="K132" i="30" s="1"/>
  <c r="C149" i="30" s="1"/>
  <c r="M7" i="27"/>
  <c r="N7" i="27"/>
  <c r="M132" i="30"/>
  <c r="P132" i="30" s="1"/>
  <c r="S132" i="30" s="1"/>
  <c r="E149" i="30" s="1"/>
  <c r="O132" i="30"/>
  <c r="R132" i="30" s="1"/>
  <c r="U132" i="30" s="1"/>
  <c r="G149" i="30" s="1"/>
  <c r="N132" i="30"/>
  <c r="Q132" i="30" s="1"/>
  <c r="T132" i="30" s="1"/>
  <c r="F149" i="30" s="1"/>
  <c r="C167" i="1"/>
  <c r="C13" i="2"/>
  <c r="E13" i="2" s="1"/>
  <c r="L8" i="27"/>
  <c r="B8" i="27"/>
  <c r="P8" i="27" s="1"/>
  <c r="B131" i="30"/>
  <c r="C131" i="30"/>
  <c r="C158" i="3"/>
  <c r="F63" i="3"/>
  <c r="I112" i="3"/>
  <c r="I135" i="3"/>
  <c r="L135" i="3" s="1"/>
  <c r="C14" i="3"/>
  <c r="E14" i="3" s="1"/>
  <c r="D36" i="2"/>
  <c r="D9" i="27"/>
  <c r="G9" i="27"/>
  <c r="H9" i="27" s="1"/>
  <c r="O9" i="27" s="1"/>
  <c r="B29" i="34"/>
  <c r="K166" i="1"/>
  <c r="M9" i="27"/>
  <c r="N9" i="27"/>
  <c r="C29" i="34"/>
  <c r="U9" i="27" l="1"/>
  <c r="C17" i="34" s="1"/>
  <c r="E17" i="34" s="1"/>
  <c r="P6" i="27"/>
  <c r="U6" i="27"/>
  <c r="C14" i="34" s="1"/>
  <c r="E14" i="34" s="1"/>
  <c r="O7" i="27"/>
  <c r="U7" i="27"/>
  <c r="C15" i="34" s="1"/>
  <c r="E15" i="34" s="1"/>
  <c r="C167" i="3"/>
  <c r="E23" i="3"/>
  <c r="I121" i="3"/>
  <c r="I144" i="3"/>
  <c r="J157" i="3"/>
  <c r="I149" i="30"/>
  <c r="C12" i="32" s="1"/>
  <c r="J12" i="32" s="1"/>
  <c r="P12" i="32" s="1"/>
  <c r="C30" i="34"/>
  <c r="J147" i="30"/>
  <c r="BP10" i="32" s="1"/>
  <c r="BW10" i="32" s="1"/>
  <c r="C28" i="34"/>
  <c r="J149" i="30"/>
  <c r="AJ12" i="32" s="1"/>
  <c r="H147" i="30"/>
  <c r="B167" i="30"/>
  <c r="K149" i="30"/>
  <c r="L133" i="3"/>
  <c r="L144" i="3" s="1"/>
  <c r="J9" i="27"/>
  <c r="I9" i="27"/>
  <c r="D158" i="3"/>
  <c r="H158" i="3" s="1"/>
  <c r="G158" i="3"/>
  <c r="F158" i="3"/>
  <c r="E158" i="3"/>
  <c r="I158" i="3" s="1"/>
  <c r="I7" i="27"/>
  <c r="J7" i="27"/>
  <c r="K147" i="30"/>
  <c r="B165" i="30"/>
  <c r="D156" i="3"/>
  <c r="D167" i="3" s="1"/>
  <c r="G156" i="3"/>
  <c r="F156" i="3"/>
  <c r="E156" i="3"/>
  <c r="E167" i="3" s="1"/>
  <c r="M131" i="30"/>
  <c r="P131" i="30" s="1"/>
  <c r="S131" i="30" s="1"/>
  <c r="E148" i="30" s="1"/>
  <c r="O131" i="30"/>
  <c r="R131" i="30" s="1"/>
  <c r="U131" i="30" s="1"/>
  <c r="G148" i="30" s="1"/>
  <c r="N131" i="30"/>
  <c r="Q131" i="30" s="1"/>
  <c r="T131" i="30" s="1"/>
  <c r="F148" i="30" s="1"/>
  <c r="L147" i="30"/>
  <c r="C165" i="30"/>
  <c r="H149" i="30"/>
  <c r="M147" i="30"/>
  <c r="D165" i="30"/>
  <c r="O129" i="30"/>
  <c r="R129" i="30" s="1"/>
  <c r="U129" i="30" s="1"/>
  <c r="G146" i="30" s="1"/>
  <c r="M129" i="30"/>
  <c r="P129" i="30" s="1"/>
  <c r="S129" i="30" s="1"/>
  <c r="E146" i="30" s="1"/>
  <c r="N129" i="30"/>
  <c r="Q129" i="30" s="1"/>
  <c r="T129" i="30" s="1"/>
  <c r="F146" i="30" s="1"/>
  <c r="I147" i="30"/>
  <c r="D131" i="30"/>
  <c r="G131" i="30" s="1"/>
  <c r="J131" i="30" s="1"/>
  <c r="B148" i="30" s="1"/>
  <c r="F131" i="30"/>
  <c r="I131" i="30" s="1"/>
  <c r="L131" i="30" s="1"/>
  <c r="D148" i="30" s="1"/>
  <c r="E131" i="30"/>
  <c r="H131" i="30" s="1"/>
  <c r="K131" i="30" s="1"/>
  <c r="C148" i="30" s="1"/>
  <c r="D6" i="27"/>
  <c r="G6" i="27"/>
  <c r="D8" i="27"/>
  <c r="G8" i="27"/>
  <c r="H8" i="27" s="1"/>
  <c r="O8" i="27" s="1"/>
  <c r="N8" i="27"/>
  <c r="M8" i="27"/>
  <c r="N6" i="27"/>
  <c r="M6" i="27"/>
  <c r="L17" i="27"/>
  <c r="B33" i="27" s="1"/>
  <c r="C167" i="30"/>
  <c r="L149" i="30"/>
  <c r="J159" i="3"/>
  <c r="K183" i="3" s="1"/>
  <c r="E22" i="2"/>
  <c r="E129" i="30"/>
  <c r="H129" i="30" s="1"/>
  <c r="K129" i="30" s="1"/>
  <c r="C146" i="30" s="1"/>
  <c r="D129" i="30"/>
  <c r="G129" i="30" s="1"/>
  <c r="J129" i="30" s="1"/>
  <c r="B146" i="30" s="1"/>
  <c r="F129" i="30"/>
  <c r="I129" i="30" s="1"/>
  <c r="L129" i="30" s="1"/>
  <c r="D146" i="30" s="1"/>
  <c r="F29" i="34"/>
  <c r="K167" i="1"/>
  <c r="B30" i="34"/>
  <c r="M149" i="30"/>
  <c r="D167" i="30"/>
  <c r="K165" i="1"/>
  <c r="B28" i="34"/>
  <c r="CC10" i="32" l="1"/>
  <c r="BZ10" i="32"/>
  <c r="F167" i="3"/>
  <c r="B202" i="3"/>
  <c r="E21" i="14" s="1"/>
  <c r="H21" i="14" s="1"/>
  <c r="G167" i="3"/>
  <c r="E202" i="3"/>
  <c r="E78" i="14" s="1"/>
  <c r="H78" i="14" s="1"/>
  <c r="K78" i="14" s="1"/>
  <c r="C202" i="3"/>
  <c r="E74" i="14" s="1"/>
  <c r="H75" i="14" s="1"/>
  <c r="K75" i="14" s="1"/>
  <c r="B201" i="3"/>
  <c r="E20" i="14" s="1"/>
  <c r="C201" i="3"/>
  <c r="E73" i="14" s="1"/>
  <c r="H74" i="14" s="1"/>
  <c r="CD10" i="32"/>
  <c r="CK10" i="32" s="1"/>
  <c r="CQ10" i="32" s="1"/>
  <c r="P147" i="30"/>
  <c r="C36" i="3" s="1"/>
  <c r="G36" i="3" s="1"/>
  <c r="O36" i="3" s="1"/>
  <c r="P36" i="3" s="1"/>
  <c r="N147" i="30"/>
  <c r="O147" i="30" s="1"/>
  <c r="N149" i="30"/>
  <c r="O149" i="30" s="1"/>
  <c r="P149" i="30"/>
  <c r="D17" i="27"/>
  <c r="H190" i="1" s="1"/>
  <c r="BP12" i="32"/>
  <c r="BW12" i="32" s="1"/>
  <c r="CV12" i="32"/>
  <c r="DC12" i="32" s="1"/>
  <c r="DI12" i="32" s="1"/>
  <c r="CF12" i="32"/>
  <c r="CM12" i="32" s="1"/>
  <c r="CS12" i="32" s="1"/>
  <c r="AJ10" i="32"/>
  <c r="AQ10" i="32" s="1"/>
  <c r="AW10" i="32" s="1"/>
  <c r="D10" i="32"/>
  <c r="K10" i="32" s="1"/>
  <c r="Q10" i="32" s="1"/>
  <c r="AZ10" i="32"/>
  <c r="BG10" i="32" s="1"/>
  <c r="BM10" i="32" s="1"/>
  <c r="B10" i="32"/>
  <c r="I10" i="32" s="1"/>
  <c r="O10" i="32" s="1"/>
  <c r="AH10" i="32"/>
  <c r="AO10" i="32" s="1"/>
  <c r="AR10" i="32" s="1"/>
  <c r="AY12" i="32"/>
  <c r="BF12" i="32" s="1"/>
  <c r="BL12" i="32" s="1"/>
  <c r="AZ12" i="32"/>
  <c r="BG12" i="32" s="1"/>
  <c r="BM12" i="32" s="1"/>
  <c r="CU12" i="32"/>
  <c r="DB12" i="32" s="1"/>
  <c r="DH12" i="32" s="1"/>
  <c r="AI12" i="32"/>
  <c r="AP12" i="32" s="1"/>
  <c r="AS12" i="32" s="1"/>
  <c r="CE12" i="32"/>
  <c r="CL12" i="32" s="1"/>
  <c r="CR12" i="32" s="1"/>
  <c r="BO12" i="32"/>
  <c r="BV12" i="32" s="1"/>
  <c r="S12" i="32"/>
  <c r="Z12" i="32" s="1"/>
  <c r="AF12" i="32" s="1"/>
  <c r="C39" i="34"/>
  <c r="CT10" i="32"/>
  <c r="DA10" i="32" s="1"/>
  <c r="DG10" i="32" s="1"/>
  <c r="F30" i="34"/>
  <c r="R147" i="30"/>
  <c r="Z147" i="30" s="1"/>
  <c r="T10" i="32" s="1"/>
  <c r="AA10" i="32" s="1"/>
  <c r="AG10" i="32" s="1"/>
  <c r="AX10" i="32"/>
  <c r="BE10" i="32" s="1"/>
  <c r="BK10" i="32" s="1"/>
  <c r="BN10" i="32"/>
  <c r="BU10" i="32" s="1"/>
  <c r="R10" i="32"/>
  <c r="Y10" i="32" s="1"/>
  <c r="AE10" i="32" s="1"/>
  <c r="B10" i="20"/>
  <c r="CV10" i="32"/>
  <c r="DC10" i="32" s="1"/>
  <c r="DI10" i="32" s="1"/>
  <c r="M17" i="27"/>
  <c r="B35" i="27" s="1"/>
  <c r="D12" i="32"/>
  <c r="K12" i="32" s="1"/>
  <c r="Q12" i="32" s="1"/>
  <c r="CF10" i="32"/>
  <c r="CM10" i="32" s="1"/>
  <c r="CS10" i="32" s="1"/>
  <c r="J148" i="30"/>
  <c r="AZ11" i="32" s="1"/>
  <c r="BG11" i="32" s="1"/>
  <c r="BM11" i="32" s="1"/>
  <c r="I146" i="30"/>
  <c r="BO9" i="32" s="1"/>
  <c r="H146" i="30"/>
  <c r="K146" i="30"/>
  <c r="B164" i="30"/>
  <c r="AQ12" i="32"/>
  <c r="J158" i="3"/>
  <c r="K182" i="3" s="1"/>
  <c r="C164" i="30"/>
  <c r="L146" i="30"/>
  <c r="I8" i="27"/>
  <c r="J8" i="27"/>
  <c r="BN12" i="32"/>
  <c r="BU12" i="32" s="1"/>
  <c r="AH12" i="32"/>
  <c r="AO12" i="32" s="1"/>
  <c r="CD12" i="32"/>
  <c r="CK12" i="32" s="1"/>
  <c r="CQ12" i="32" s="1"/>
  <c r="CT12" i="32"/>
  <c r="DA12" i="32" s="1"/>
  <c r="DG12" i="32" s="1"/>
  <c r="B12" i="32"/>
  <c r="I12" i="32" s="1"/>
  <c r="O12" i="32" s="1"/>
  <c r="R12" i="32"/>
  <c r="Y12" i="32" s="1"/>
  <c r="AE12" i="32" s="1"/>
  <c r="AX12" i="32"/>
  <c r="BE12" i="32" s="1"/>
  <c r="BK12" i="32" s="1"/>
  <c r="R149" i="30"/>
  <c r="H156" i="3"/>
  <c r="H167" i="3" s="1"/>
  <c r="E165" i="30"/>
  <c r="F165" i="30" s="1"/>
  <c r="K148" i="30"/>
  <c r="B166" i="30"/>
  <c r="H6" i="27"/>
  <c r="G17" i="27"/>
  <c r="CE10" i="32"/>
  <c r="CL10" i="32" s="1"/>
  <c r="CR10" i="32" s="1"/>
  <c r="CU10" i="32"/>
  <c r="DB10" i="32" s="1"/>
  <c r="DH10" i="32" s="1"/>
  <c r="S10" i="32"/>
  <c r="Z10" i="32" s="1"/>
  <c r="AF10" i="32" s="1"/>
  <c r="C10" i="32"/>
  <c r="J10" i="32" s="1"/>
  <c r="P10" i="32" s="1"/>
  <c r="AI10" i="32"/>
  <c r="AP10" i="32" s="1"/>
  <c r="AY10" i="32"/>
  <c r="BF10" i="32" s="1"/>
  <c r="BL10" i="32" s="1"/>
  <c r="BO10" i="32"/>
  <c r="BV10" i="32" s="1"/>
  <c r="B14" i="20"/>
  <c r="D9" i="41" s="1"/>
  <c r="I148" i="30"/>
  <c r="N17" i="27"/>
  <c r="B36" i="27" s="1"/>
  <c r="C166" i="30"/>
  <c r="L148" i="30"/>
  <c r="J146" i="30"/>
  <c r="H148" i="30"/>
  <c r="I156" i="3"/>
  <c r="I167" i="3" s="1"/>
  <c r="F28" i="34"/>
  <c r="B39" i="34"/>
  <c r="K176" i="1"/>
  <c r="K187" i="1" s="1"/>
  <c r="M146" i="30"/>
  <c r="D164" i="30"/>
  <c r="D166" i="30"/>
  <c r="M148" i="30"/>
  <c r="E167" i="30"/>
  <c r="F167" i="30" s="1"/>
  <c r="CB10" i="32" l="1"/>
  <c r="BY10" i="32"/>
  <c r="CA10" i="32"/>
  <c r="BX10" i="32"/>
  <c r="CC12" i="32"/>
  <c r="BZ12" i="32"/>
  <c r="CA12" i="32"/>
  <c r="BX12" i="32"/>
  <c r="CB12" i="32"/>
  <c r="BY12" i="32"/>
  <c r="U5" i="27"/>
  <c r="C13" i="34" s="1"/>
  <c r="E13" i="34" s="1"/>
  <c r="O6" i="27"/>
  <c r="U3" i="27"/>
  <c r="C11" i="34" s="1"/>
  <c r="E11" i="34" s="1"/>
  <c r="H195" i="1"/>
  <c r="F39" i="34"/>
  <c r="F58" i="34" s="1"/>
  <c r="B63" i="34" s="1"/>
  <c r="D14" i="20"/>
  <c r="C14" i="20"/>
  <c r="D34" i="41" s="1"/>
  <c r="H191" i="1"/>
  <c r="H192" i="1"/>
  <c r="H189" i="1"/>
  <c r="P148" i="30"/>
  <c r="N148" i="30"/>
  <c r="O148" i="30" s="1"/>
  <c r="CT9" i="32"/>
  <c r="DA9" i="32" s="1"/>
  <c r="N146" i="30"/>
  <c r="O146" i="30" s="1"/>
  <c r="P146" i="30"/>
  <c r="C34" i="2" s="1"/>
  <c r="E34" i="2" s="1"/>
  <c r="H193" i="1"/>
  <c r="H194" i="1"/>
  <c r="AU10" i="32"/>
  <c r="AT10" i="32"/>
  <c r="D11" i="32"/>
  <c r="K11" i="32" s="1"/>
  <c r="Q11" i="32" s="1"/>
  <c r="CF11" i="32"/>
  <c r="CM11" i="32" s="1"/>
  <c r="CS11" i="32" s="1"/>
  <c r="AY9" i="32"/>
  <c r="BF9" i="32" s="1"/>
  <c r="S9" i="32"/>
  <c r="Z9" i="32" s="1"/>
  <c r="C9" i="32"/>
  <c r="J9" i="32" s="1"/>
  <c r="BN9" i="32"/>
  <c r="BU9" i="32" s="1"/>
  <c r="BX9" i="32" s="1"/>
  <c r="AF147" i="30"/>
  <c r="C35" i="2"/>
  <c r="T147" i="30"/>
  <c r="AV12" i="32"/>
  <c r="V147" i="30"/>
  <c r="AB147" i="30"/>
  <c r="X147" i="30"/>
  <c r="AD147" i="30"/>
  <c r="AJ11" i="32"/>
  <c r="AQ11" i="32" s="1"/>
  <c r="AT11" i="32" s="1"/>
  <c r="CU9" i="32"/>
  <c r="DB9" i="32" s="1"/>
  <c r="CV11" i="32"/>
  <c r="DC11" i="32" s="1"/>
  <c r="DI11" i="32" s="1"/>
  <c r="CE9" i="32"/>
  <c r="CL9" i="32" s="1"/>
  <c r="BP11" i="32"/>
  <c r="BW11" i="32" s="1"/>
  <c r="AI9" i="32"/>
  <c r="AP9" i="32" s="1"/>
  <c r="CD9" i="32"/>
  <c r="CK9" i="32" s="1"/>
  <c r="R9" i="32"/>
  <c r="Y9" i="32" s="1"/>
  <c r="DL10" i="32"/>
  <c r="B9" i="32"/>
  <c r="I9" i="32" s="1"/>
  <c r="AH9" i="32"/>
  <c r="AO9" i="32" s="1"/>
  <c r="R146" i="30"/>
  <c r="T146" i="30" s="1"/>
  <c r="AX9" i="32"/>
  <c r="BE9" i="32" s="1"/>
  <c r="B68" i="14"/>
  <c r="K74" i="14"/>
  <c r="BN11" i="32"/>
  <c r="BU11" i="32" s="1"/>
  <c r="CT11" i="32"/>
  <c r="DA11" i="32" s="1"/>
  <c r="DG11" i="32" s="1"/>
  <c r="CD11" i="32"/>
  <c r="CK11" i="32" s="1"/>
  <c r="CQ11" i="32" s="1"/>
  <c r="R11" i="32"/>
  <c r="Y11" i="32" s="1"/>
  <c r="AE11" i="32" s="1"/>
  <c r="B11" i="32"/>
  <c r="I11" i="32" s="1"/>
  <c r="O11" i="32" s="1"/>
  <c r="AH11" i="32"/>
  <c r="AO11" i="32" s="1"/>
  <c r="AX11" i="32"/>
  <c r="BE11" i="32" s="1"/>
  <c r="BK11" i="32" s="1"/>
  <c r="R148" i="30"/>
  <c r="Q165" i="30"/>
  <c r="R165" i="30" s="1"/>
  <c r="O165" i="30"/>
  <c r="P165" i="30" s="1"/>
  <c r="J156" i="3"/>
  <c r="AT12" i="32"/>
  <c r="AW12" i="32"/>
  <c r="CF9" i="32"/>
  <c r="AZ9" i="32"/>
  <c r="BP9" i="32"/>
  <c r="CV9" i="32"/>
  <c r="D9" i="32"/>
  <c r="AJ9" i="32"/>
  <c r="I6" i="27"/>
  <c r="I17" i="27" s="1"/>
  <c r="B28" i="27" s="1"/>
  <c r="C15" i="20" s="1"/>
  <c r="J6" i="27"/>
  <c r="J17" i="27" s="1"/>
  <c r="H17" i="27"/>
  <c r="B29" i="27" s="1"/>
  <c r="S11" i="32"/>
  <c r="Z11" i="32" s="1"/>
  <c r="AF11" i="32" s="1"/>
  <c r="AI11" i="32"/>
  <c r="AP11" i="32" s="1"/>
  <c r="AY11" i="32"/>
  <c r="BF11" i="32" s="1"/>
  <c r="BL11" i="32" s="1"/>
  <c r="C11" i="32"/>
  <c r="J11" i="32" s="1"/>
  <c r="P11" i="32" s="1"/>
  <c r="BO11" i="32"/>
  <c r="BV11" i="32" s="1"/>
  <c r="CU11" i="32"/>
  <c r="DB11" i="32" s="1"/>
  <c r="DH11" i="32" s="1"/>
  <c r="CE11" i="32"/>
  <c r="CL11" i="32" s="1"/>
  <c r="CR11" i="32" s="1"/>
  <c r="E164" i="30"/>
  <c r="F164" i="30" s="1"/>
  <c r="C210" i="1"/>
  <c r="D10" i="41"/>
  <c r="AS10" i="32"/>
  <c r="AV10" i="32"/>
  <c r="Z149" i="30"/>
  <c r="T12" i="32" s="1"/>
  <c r="AA12" i="32" s="1"/>
  <c r="AG12" i="32" s="1"/>
  <c r="X149" i="30"/>
  <c r="V149" i="30"/>
  <c r="AF149" i="30"/>
  <c r="AD149" i="30"/>
  <c r="AB149" i="30"/>
  <c r="T149" i="30"/>
  <c r="AU12" i="32"/>
  <c r="AR12" i="32"/>
  <c r="Q167" i="30"/>
  <c r="R167" i="30" s="1"/>
  <c r="O167" i="30"/>
  <c r="P167" i="30" s="1"/>
  <c r="E166" i="30"/>
  <c r="F166" i="30" s="1"/>
  <c r="C38" i="3"/>
  <c r="G38" i="3" s="1"/>
  <c r="O38" i="3" s="1"/>
  <c r="P38" i="3" s="1"/>
  <c r="C37" i="2"/>
  <c r="E37" i="2" s="1"/>
  <c r="F47" i="14"/>
  <c r="H20" i="14"/>
  <c r="BV9" i="32"/>
  <c r="BY9" i="32" s="1"/>
  <c r="DJ12" i="32" l="1"/>
  <c r="DK10" i="32"/>
  <c r="DK12" i="32"/>
  <c r="DJ10" i="32"/>
  <c r="CC11" i="32"/>
  <c r="BZ11" i="32"/>
  <c r="CA11" i="32"/>
  <c r="BX11" i="32"/>
  <c r="BX21" i="32" s="1"/>
  <c r="CB11" i="32"/>
  <c r="BY11" i="32"/>
  <c r="BY21" i="32" s="1"/>
  <c r="C84" i="3"/>
  <c r="E84" i="3" s="1"/>
  <c r="F84" i="3" s="1"/>
  <c r="G84" i="3" s="1"/>
  <c r="H111" i="3" s="1"/>
  <c r="E35" i="2"/>
  <c r="F35" i="2" s="1"/>
  <c r="F14" i="20"/>
  <c r="D38" i="41" s="1"/>
  <c r="J167" i="3"/>
  <c r="E15" i="14" s="1"/>
  <c r="H15" i="14" s="1"/>
  <c r="AW11" i="32"/>
  <c r="R20" i="32"/>
  <c r="C18" i="29" s="1"/>
  <c r="C20" i="32"/>
  <c r="D17" i="29" s="1"/>
  <c r="AF146" i="30"/>
  <c r="X146" i="30"/>
  <c r="C35" i="3"/>
  <c r="G35" i="3" s="1"/>
  <c r="O35" i="3" s="1"/>
  <c r="P35" i="3" s="1"/>
  <c r="AB146" i="30"/>
  <c r="O157" i="30"/>
  <c r="B20" i="32"/>
  <c r="C17" i="29" s="1"/>
  <c r="DL12" i="32"/>
  <c r="AH20" i="32"/>
  <c r="C19" i="29" s="1"/>
  <c r="Z146" i="30"/>
  <c r="T9" i="32" s="1"/>
  <c r="AA9" i="32" s="1"/>
  <c r="V146" i="30"/>
  <c r="AD146" i="30"/>
  <c r="R157" i="30"/>
  <c r="BN20" i="32"/>
  <c r="C21" i="29" s="1"/>
  <c r="BO20" i="32"/>
  <c r="D21" i="29" s="1"/>
  <c r="CT20" i="32"/>
  <c r="C23" i="29" s="1"/>
  <c r="S165" i="30"/>
  <c r="S20" i="32"/>
  <c r="D18" i="29" s="1"/>
  <c r="B30" i="27"/>
  <c r="B38" i="27"/>
  <c r="BG9" i="32"/>
  <c r="AZ20" i="32"/>
  <c r="E20" i="29" s="1"/>
  <c r="CE20" i="32"/>
  <c r="D22" i="29" s="1"/>
  <c r="AF9" i="32"/>
  <c r="AF21" i="32" s="1"/>
  <c r="D5" i="29" s="1"/>
  <c r="Z21" i="32"/>
  <c r="CB9" i="32"/>
  <c r="BV21" i="32"/>
  <c r="Q166" i="30"/>
  <c r="R166" i="30" s="1"/>
  <c r="O166" i="30"/>
  <c r="P166" i="30" s="1"/>
  <c r="O9" i="32"/>
  <c r="I21" i="32"/>
  <c r="AY20" i="32"/>
  <c r="D20" i="29" s="1"/>
  <c r="O164" i="30"/>
  <c r="Q164" i="30"/>
  <c r="F175" i="30"/>
  <c r="CR9" i="32"/>
  <c r="CR21" i="32" s="1"/>
  <c r="D9" i="29" s="1"/>
  <c r="CL21" i="32"/>
  <c r="X148" i="30"/>
  <c r="V148" i="30"/>
  <c r="Z148" i="30"/>
  <c r="T11" i="32" s="1"/>
  <c r="AA11" i="32" s="1"/>
  <c r="AG11" i="32" s="1"/>
  <c r="T148" i="30"/>
  <c r="AD148" i="30"/>
  <c r="AB148" i="30"/>
  <c r="AF148" i="30"/>
  <c r="F34" i="2"/>
  <c r="C83" i="3"/>
  <c r="E83" i="3" s="1"/>
  <c r="AE9" i="32"/>
  <c r="AE21" i="32" s="1"/>
  <c r="C5" i="29" s="1"/>
  <c r="Y21" i="32"/>
  <c r="AQ9" i="32"/>
  <c r="AJ20" i="32"/>
  <c r="E19" i="29" s="1"/>
  <c r="DG9" i="32"/>
  <c r="DG21" i="32" s="1"/>
  <c r="DA21" i="32"/>
  <c r="C37" i="3"/>
  <c r="G37" i="3" s="1"/>
  <c r="O37" i="3" s="1"/>
  <c r="P37" i="3" s="1"/>
  <c r="C36" i="2"/>
  <c r="E36" i="2" s="1"/>
  <c r="BK9" i="32"/>
  <c r="BK21" i="32" s="1"/>
  <c r="C7" i="29" s="1"/>
  <c r="BE21" i="32"/>
  <c r="CM9" i="32"/>
  <c r="CF20" i="32"/>
  <c r="E22" i="29" s="1"/>
  <c r="BL9" i="32"/>
  <c r="BL21" i="32" s="1"/>
  <c r="D7" i="29" s="1"/>
  <c r="BF21" i="32"/>
  <c r="AI20" i="32"/>
  <c r="D19" i="29" s="1"/>
  <c r="CQ9" i="32"/>
  <c r="CQ21" i="32" s="1"/>
  <c r="CK21" i="32"/>
  <c r="K9" i="32"/>
  <c r="D20" i="32"/>
  <c r="E17" i="29" s="1"/>
  <c r="CU20" i="32"/>
  <c r="D23" i="29" s="1"/>
  <c r="AX20" i="32"/>
  <c r="C20" i="29" s="1"/>
  <c r="F37" i="2"/>
  <c r="C86" i="3"/>
  <c r="E86" i="3" s="1"/>
  <c r="F86" i="3" s="1"/>
  <c r="G86" i="3" s="1"/>
  <c r="AS11" i="32"/>
  <c r="AV11" i="32"/>
  <c r="CA9" i="32"/>
  <c r="BU21" i="32"/>
  <c r="AR9" i="32"/>
  <c r="AO21" i="32"/>
  <c r="AU9" i="32"/>
  <c r="AV9" i="32"/>
  <c r="AS9" i="32"/>
  <c r="AP21" i="32"/>
  <c r="CD20" i="32"/>
  <c r="C22" i="29" s="1"/>
  <c r="DC9" i="32"/>
  <c r="CV20" i="32"/>
  <c r="E23" i="29" s="1"/>
  <c r="DH9" i="32"/>
  <c r="DH21" i="32" s="1"/>
  <c r="D10" i="29" s="1"/>
  <c r="DB21" i="32"/>
  <c r="AR11" i="32"/>
  <c r="AU11" i="32"/>
  <c r="D35" i="41"/>
  <c r="F15" i="20"/>
  <c r="C17" i="20"/>
  <c r="B3" i="20" s="1"/>
  <c r="C3" i="20" s="1"/>
  <c r="S167" i="30"/>
  <c r="P9" i="32"/>
  <c r="J21" i="32"/>
  <c r="B15" i="20"/>
  <c r="D11" i="41" s="1"/>
  <c r="BW9" i="32"/>
  <c r="BZ9" i="32" s="1"/>
  <c r="BZ21" i="32" s="1"/>
  <c r="BP20" i="32"/>
  <c r="E21" i="29" s="1"/>
  <c r="CA21" i="32" l="1"/>
  <c r="DJ11" i="32"/>
  <c r="DK11" i="32"/>
  <c r="CB21" i="32"/>
  <c r="D8" i="29" s="1"/>
  <c r="H134" i="3"/>
  <c r="G111" i="3"/>
  <c r="G134" i="3"/>
  <c r="P46" i="3"/>
  <c r="C8" i="34"/>
  <c r="E8" i="34" s="1"/>
  <c r="E19" i="34" s="1"/>
  <c r="B20" i="20"/>
  <c r="D15" i="20"/>
  <c r="D17" i="20" s="1"/>
  <c r="D13" i="41" s="1"/>
  <c r="C212" i="1" s="1"/>
  <c r="DL11" i="32"/>
  <c r="G113" i="3"/>
  <c r="H113" i="3"/>
  <c r="H136" i="3"/>
  <c r="G136" i="3"/>
  <c r="F83" i="3"/>
  <c r="G83" i="3" s="1"/>
  <c r="F17" i="29"/>
  <c r="D189" i="1" s="1"/>
  <c r="F21" i="29"/>
  <c r="D193" i="1" s="1"/>
  <c r="T20" i="32"/>
  <c r="E18" i="29" s="1"/>
  <c r="F18" i="29" s="1"/>
  <c r="D190" i="1" s="1"/>
  <c r="F19" i="29"/>
  <c r="D191" i="1" s="1"/>
  <c r="AV21" i="32"/>
  <c r="D6" i="29" s="1"/>
  <c r="C24" i="29"/>
  <c r="AS21" i="32"/>
  <c r="B181" i="3"/>
  <c r="C181" i="3" s="1"/>
  <c r="DK9" i="32"/>
  <c r="P21" i="32"/>
  <c r="D4" i="29" s="1"/>
  <c r="CS9" i="32"/>
  <c r="CS21" i="32" s="1"/>
  <c r="E9" i="29" s="1"/>
  <c r="E23" i="16" s="1"/>
  <c r="CM21" i="32"/>
  <c r="AQ21" i="32"/>
  <c r="AW9" i="32"/>
  <c r="AW21" i="32" s="1"/>
  <c r="E6" i="29" s="1"/>
  <c r="E20" i="16" s="1"/>
  <c r="AT9" i="32"/>
  <c r="AT21" i="32" s="1"/>
  <c r="Q9" i="32"/>
  <c r="K21" i="32"/>
  <c r="C211" i="1"/>
  <c r="D12" i="41"/>
  <c r="AG9" i="32"/>
  <c r="AG21" i="32" s="1"/>
  <c r="E5" i="29" s="1"/>
  <c r="E19" i="16" s="1"/>
  <c r="AA21" i="32"/>
  <c r="R164" i="30"/>
  <c r="R175" i="30" s="1"/>
  <c r="Q175" i="30"/>
  <c r="D8" i="34" s="1"/>
  <c r="F8" i="34" s="1"/>
  <c r="F19" i="34" s="1"/>
  <c r="CC9" i="32"/>
  <c r="CC21" i="32" s="1"/>
  <c r="E8" i="29" s="1"/>
  <c r="E22" i="16" s="1"/>
  <c r="BW21" i="32"/>
  <c r="AU21" i="32"/>
  <c r="C6" i="29" s="1"/>
  <c r="E77" i="41"/>
  <c r="C9" i="29"/>
  <c r="F36" i="2"/>
  <c r="F45" i="2" s="1"/>
  <c r="C85" i="3"/>
  <c r="E85" i="3" s="1"/>
  <c r="F85" i="3" s="1"/>
  <c r="G85" i="3" s="1"/>
  <c r="P164" i="30"/>
  <c r="O175" i="30"/>
  <c r="F20" i="29"/>
  <c r="D192" i="1" s="1"/>
  <c r="F17" i="20"/>
  <c r="D39" i="41"/>
  <c r="DI9" i="32"/>
  <c r="DI21" i="32" s="1"/>
  <c r="E10" i="29" s="1"/>
  <c r="E24" i="16" s="1"/>
  <c r="DC21" i="32"/>
  <c r="AR21" i="32"/>
  <c r="BM9" i="32"/>
  <c r="BM21" i="32" s="1"/>
  <c r="E7" i="29" s="1"/>
  <c r="E21" i="16" s="1"/>
  <c r="BG21" i="32"/>
  <c r="D36" i="41"/>
  <c r="E78" i="41"/>
  <c r="C10" i="29"/>
  <c r="O21" i="32"/>
  <c r="C4" i="29" s="1"/>
  <c r="DJ9" i="32"/>
  <c r="DJ21" i="32" s="1"/>
  <c r="B183" i="3"/>
  <c r="C183" i="3" s="1"/>
  <c r="D24" i="29"/>
  <c r="C8" i="29"/>
  <c r="E76" i="41"/>
  <c r="F23" i="29"/>
  <c r="D195" i="1" s="1"/>
  <c r="S166" i="30"/>
  <c r="F22" i="29"/>
  <c r="D194" i="1" s="1"/>
  <c r="E20" i="34"/>
  <c r="DK21" i="32" l="1"/>
  <c r="G135" i="3"/>
  <c r="G112" i="3"/>
  <c r="H112" i="3"/>
  <c r="H135" i="3"/>
  <c r="H110" i="3"/>
  <c r="G110" i="3"/>
  <c r="H133" i="3"/>
  <c r="G133" i="3"/>
  <c r="E183" i="3"/>
  <c r="I183" i="3" s="1"/>
  <c r="D183" i="3"/>
  <c r="H183" i="3" s="1"/>
  <c r="G183" i="3"/>
  <c r="F183" i="3"/>
  <c r="E181" i="3"/>
  <c r="I181" i="3" s="1"/>
  <c r="D181" i="3"/>
  <c r="H181" i="3" s="1"/>
  <c r="G181" i="3"/>
  <c r="F181" i="3"/>
  <c r="E74" i="41"/>
  <c r="E79" i="41" s="1"/>
  <c r="E24" i="29"/>
  <c r="F10" i="29"/>
  <c r="C38" i="14" s="1"/>
  <c r="F38" i="14" s="1"/>
  <c r="D11" i="29"/>
  <c r="F8" i="29"/>
  <c r="F9" i="29"/>
  <c r="F7" i="29"/>
  <c r="F6" i="29"/>
  <c r="J111" i="3"/>
  <c r="J134" i="3"/>
  <c r="M134" i="3" s="1"/>
  <c r="F5" i="29"/>
  <c r="D10" i="17" s="1"/>
  <c r="S10" i="17" s="1"/>
  <c r="J113" i="3"/>
  <c r="B62" i="34"/>
  <c r="B180" i="3"/>
  <c r="C180" i="3" s="1"/>
  <c r="C3" i="35"/>
  <c r="D44" i="41" s="1"/>
  <c r="B182" i="3"/>
  <c r="C182" i="3" s="1"/>
  <c r="I14" i="17"/>
  <c r="I12" i="17"/>
  <c r="I13" i="17"/>
  <c r="I10" i="17"/>
  <c r="I9" i="17"/>
  <c r="I15" i="17"/>
  <c r="I11" i="17"/>
  <c r="D40" i="41"/>
  <c r="C11" i="29"/>
  <c r="S164" i="30"/>
  <c r="S175" i="30" s="1"/>
  <c r="P175" i="30"/>
  <c r="Q21" i="32"/>
  <c r="E4" i="29" s="1"/>
  <c r="F4" i="29" s="1"/>
  <c r="DL9" i="32"/>
  <c r="DL21" i="32" s="1"/>
  <c r="F24" i="29"/>
  <c r="F25" i="29" s="1"/>
  <c r="J136" i="3"/>
  <c r="M136" i="3" s="1"/>
  <c r="AM10" i="17"/>
  <c r="AI10" i="17"/>
  <c r="AP10" i="17"/>
  <c r="I16" i="17" l="1"/>
  <c r="C37" i="14"/>
  <c r="F37" i="14" s="1"/>
  <c r="H9" i="29"/>
  <c r="C36" i="14"/>
  <c r="F36" i="14" s="1"/>
  <c r="H8" i="29"/>
  <c r="C35" i="14"/>
  <c r="F35" i="14" s="1"/>
  <c r="I7" i="29"/>
  <c r="C24" i="11" s="1"/>
  <c r="C229" i="1"/>
  <c r="H6" i="29"/>
  <c r="J181" i="3"/>
  <c r="J183" i="3"/>
  <c r="E180" i="3"/>
  <c r="I180" i="3" s="1"/>
  <c r="D180" i="3"/>
  <c r="G180" i="3"/>
  <c r="F180" i="3"/>
  <c r="D202" i="3" s="1"/>
  <c r="M21" i="14" s="1"/>
  <c r="P21" i="14" s="1"/>
  <c r="C191" i="3"/>
  <c r="E182" i="3"/>
  <c r="I182" i="3" s="1"/>
  <c r="D182" i="3"/>
  <c r="H182" i="3" s="1"/>
  <c r="G182" i="3"/>
  <c r="E201" i="3" s="1"/>
  <c r="F182" i="3"/>
  <c r="I9" i="18"/>
  <c r="BI14" i="17" s="1"/>
  <c r="D14" i="17"/>
  <c r="D77" i="41"/>
  <c r="C232" i="1"/>
  <c r="C230" i="1"/>
  <c r="H7" i="29"/>
  <c r="I10" i="29"/>
  <c r="D12" i="17"/>
  <c r="BX12" i="17" s="1"/>
  <c r="D76" i="41"/>
  <c r="I8" i="18"/>
  <c r="BI13" i="17" s="1"/>
  <c r="D75" i="41"/>
  <c r="C191" i="1"/>
  <c r="D44" i="34" s="1"/>
  <c r="C231" i="1"/>
  <c r="I10" i="18"/>
  <c r="BI15" i="17" s="1"/>
  <c r="D13" i="17"/>
  <c r="I7" i="18"/>
  <c r="BI12" i="17" s="1"/>
  <c r="D78" i="41"/>
  <c r="C233" i="1"/>
  <c r="D15" i="17"/>
  <c r="BS15" i="17" s="1"/>
  <c r="I6" i="18"/>
  <c r="BI11" i="17" s="1"/>
  <c r="H5" i="29"/>
  <c r="D73" i="41"/>
  <c r="I5" i="18"/>
  <c r="BI10" i="17" s="1"/>
  <c r="C228" i="1"/>
  <c r="C33" i="14"/>
  <c r="F33" i="14" s="1"/>
  <c r="D11" i="17"/>
  <c r="BX11" i="17" s="1"/>
  <c r="C34" i="14"/>
  <c r="F34" i="14" s="1"/>
  <c r="D74" i="41"/>
  <c r="F11" i="29"/>
  <c r="J135" i="3"/>
  <c r="M135" i="3" s="1"/>
  <c r="J112" i="3"/>
  <c r="B191" i="3"/>
  <c r="U10" i="17"/>
  <c r="AS10" i="17"/>
  <c r="BS10" i="17"/>
  <c r="BX10" i="17"/>
  <c r="BY10" i="17"/>
  <c r="E18" i="16"/>
  <c r="E26" i="16" s="1"/>
  <c r="C11" i="16" s="1"/>
  <c r="E11" i="29"/>
  <c r="J110" i="3"/>
  <c r="C32" i="14"/>
  <c r="F32" i="14" s="1"/>
  <c r="I4" i="18"/>
  <c r="D9" i="17"/>
  <c r="D72" i="41"/>
  <c r="H4" i="29"/>
  <c r="C227" i="1"/>
  <c r="J133" i="3"/>
  <c r="E62" i="34"/>
  <c r="I62" i="34"/>
  <c r="G62" i="34"/>
  <c r="J62" i="34"/>
  <c r="B64" i="34"/>
  <c r="K62" i="34"/>
  <c r="D62" i="34"/>
  <c r="C62" i="34"/>
  <c r="H62" i="34"/>
  <c r="B89" i="34"/>
  <c r="D10" i="35" s="1"/>
  <c r="F62" i="34"/>
  <c r="AV14" i="17"/>
  <c r="AV13" i="17"/>
  <c r="AO10" i="17"/>
  <c r="AV11" i="17"/>
  <c r="AM13" i="17"/>
  <c r="AI15" i="17"/>
  <c r="AM11" i="17"/>
  <c r="AP14" i="17"/>
  <c r="AI12" i="17"/>
  <c r="AP12" i="17"/>
  <c r="AI14" i="17"/>
  <c r="AV9" i="17"/>
  <c r="AM15" i="17"/>
  <c r="AI9" i="17"/>
  <c r="AP13" i="17"/>
  <c r="AM12" i="17"/>
  <c r="AM14" i="17"/>
  <c r="AP9" i="17"/>
  <c r="AP15" i="17"/>
  <c r="AI11" i="17"/>
  <c r="AI13" i="17"/>
  <c r="AM9" i="17"/>
  <c r="AP11" i="17"/>
  <c r="AO14" i="17"/>
  <c r="K9" i="29" l="1"/>
  <c r="BY13" i="17"/>
  <c r="K24" i="11"/>
  <c r="N24" i="11"/>
  <c r="Q24" i="11" s="1"/>
  <c r="R24" i="11" s="1"/>
  <c r="D201" i="3"/>
  <c r="M20" i="14" s="1"/>
  <c r="F191" i="3"/>
  <c r="J182" i="3"/>
  <c r="E77" i="14"/>
  <c r="H77" i="14" s="1"/>
  <c r="G191" i="3"/>
  <c r="H180" i="3"/>
  <c r="D191" i="3"/>
  <c r="I191" i="3"/>
  <c r="F12" i="29"/>
  <c r="E10" i="28"/>
  <c r="C192" i="1"/>
  <c r="K192" i="1" s="1"/>
  <c r="BX14" i="17"/>
  <c r="BS14" i="17"/>
  <c r="AS14" i="17"/>
  <c r="C194" i="1"/>
  <c r="C47" i="34" s="1"/>
  <c r="S14" i="17"/>
  <c r="U14" i="17"/>
  <c r="BY14" i="17"/>
  <c r="L10" i="29"/>
  <c r="K4" i="29"/>
  <c r="L4" i="29"/>
  <c r="K5" i="29"/>
  <c r="AS12" i="17"/>
  <c r="K8" i="29"/>
  <c r="L8" i="29"/>
  <c r="L9" i="29"/>
  <c r="L7" i="29"/>
  <c r="K6" i="29"/>
  <c r="K10" i="29"/>
  <c r="C27" i="11"/>
  <c r="N27" i="11" s="1"/>
  <c r="Q27" i="11" s="1"/>
  <c r="S12" i="17"/>
  <c r="BY12" i="17"/>
  <c r="BZ12" i="17" s="1"/>
  <c r="BS12" i="17"/>
  <c r="U12" i="17"/>
  <c r="L6" i="29"/>
  <c r="L5" i="29"/>
  <c r="K7" i="29"/>
  <c r="B44" i="34"/>
  <c r="C44" i="34"/>
  <c r="K191" i="1"/>
  <c r="U13" i="17"/>
  <c r="C189" i="1"/>
  <c r="C42" i="34" s="1"/>
  <c r="C49" i="34" s="1"/>
  <c r="C58" i="34" s="1"/>
  <c r="AS13" i="17"/>
  <c r="S13" i="17"/>
  <c r="C193" i="1"/>
  <c r="C46" i="34" s="1"/>
  <c r="BX13" i="17"/>
  <c r="BZ13" i="17" s="1"/>
  <c r="BS13" i="17"/>
  <c r="C195" i="1"/>
  <c r="K195" i="1" s="1"/>
  <c r="C190" i="1"/>
  <c r="C43" i="34" s="1"/>
  <c r="BX15" i="17"/>
  <c r="S15" i="17"/>
  <c r="U15" i="17"/>
  <c r="BY15" i="17"/>
  <c r="AS15" i="17"/>
  <c r="H11" i="29"/>
  <c r="E14" i="10" s="1"/>
  <c r="K14" i="10" s="1"/>
  <c r="BY11" i="17"/>
  <c r="BZ11" i="17" s="1"/>
  <c r="D79" i="41"/>
  <c r="S11" i="17"/>
  <c r="AS11" i="17"/>
  <c r="U11" i="17"/>
  <c r="BS11" i="17"/>
  <c r="D14" i="7"/>
  <c r="E14" i="7" s="1"/>
  <c r="F14" i="7" s="1"/>
  <c r="B5" i="39"/>
  <c r="B7" i="39" s="1"/>
  <c r="B8" i="39" s="1"/>
  <c r="B9" i="39" s="1"/>
  <c r="J121" i="3"/>
  <c r="K7" i="7" s="1"/>
  <c r="L7" i="7" s="1"/>
  <c r="M7" i="7" s="1"/>
  <c r="F5" i="39"/>
  <c r="F7" i="39" s="1"/>
  <c r="F8" i="39" s="1"/>
  <c r="F9" i="39" s="1"/>
  <c r="F10" i="39" s="1"/>
  <c r="B14" i="37" s="1"/>
  <c r="D55" i="41" s="1"/>
  <c r="K5" i="7"/>
  <c r="L5" i="7" s="1"/>
  <c r="D33" i="7" s="1"/>
  <c r="G5" i="39"/>
  <c r="G7" i="39" s="1"/>
  <c r="G8" i="39" s="1"/>
  <c r="G9" i="39" s="1"/>
  <c r="G10" i="39" s="1"/>
  <c r="B15" i="37" s="1"/>
  <c r="D56" i="41" s="1"/>
  <c r="K6" i="7"/>
  <c r="L6" i="7" s="1"/>
  <c r="M6" i="7" s="1"/>
  <c r="D12" i="7"/>
  <c r="E12" i="7" s="1"/>
  <c r="F12" i="7" s="1"/>
  <c r="D5" i="7"/>
  <c r="E5" i="7" s="1"/>
  <c r="C33" i="7" s="1"/>
  <c r="D7" i="7"/>
  <c r="E7" i="7" s="1"/>
  <c r="F7" i="7" s="1"/>
  <c r="C4" i="35"/>
  <c r="G44" i="41" s="1"/>
  <c r="D6" i="7"/>
  <c r="E6" i="7" s="1"/>
  <c r="F6" i="7" s="1"/>
  <c r="H5" i="39"/>
  <c r="H7" i="39" s="1"/>
  <c r="H8" i="39" s="1"/>
  <c r="H9" i="39" s="1"/>
  <c r="H10" i="39" s="1"/>
  <c r="B16" i="37" s="1"/>
  <c r="D57" i="41" s="1"/>
  <c r="D6" i="41"/>
  <c r="K6" i="41" s="1"/>
  <c r="D5" i="39"/>
  <c r="D7" i="39" s="1"/>
  <c r="D8" i="39" s="1"/>
  <c r="D9" i="39" s="1"/>
  <c r="D10" i="39" s="1"/>
  <c r="B12" i="37" s="1"/>
  <c r="D53" i="41" s="1"/>
  <c r="B3" i="44"/>
  <c r="D3" i="44" s="1"/>
  <c r="K3" i="44" s="1"/>
  <c r="K9" i="44" s="1"/>
  <c r="AV16" i="17"/>
  <c r="F39" i="14"/>
  <c r="M16" i="14" s="1"/>
  <c r="P16" i="14" s="1"/>
  <c r="E5" i="39"/>
  <c r="E7" i="39" s="1"/>
  <c r="E8" i="39" s="1"/>
  <c r="E9" i="39" s="1"/>
  <c r="E10" i="39" s="1"/>
  <c r="B13" i="37" s="1"/>
  <c r="D54" i="41" s="1"/>
  <c r="D11" i="7"/>
  <c r="E11" i="7" s="1"/>
  <c r="F11" i="7" s="1"/>
  <c r="K14" i="7"/>
  <c r="L14" i="7" s="1"/>
  <c r="M14" i="7" s="1"/>
  <c r="C5" i="39"/>
  <c r="C7" i="39" s="1"/>
  <c r="C8" i="39" s="1"/>
  <c r="C9" i="39" s="1"/>
  <c r="C10" i="39" s="1"/>
  <c r="B11" i="37" s="1"/>
  <c r="D52" i="41" s="1"/>
  <c r="D8" i="7"/>
  <c r="E8" i="7" s="1"/>
  <c r="BZ10" i="17"/>
  <c r="AP16" i="17"/>
  <c r="AI16" i="17"/>
  <c r="AM16" i="17"/>
  <c r="D71" i="34"/>
  <c r="B71" i="34"/>
  <c r="C10" i="35"/>
  <c r="E10" i="35" s="1"/>
  <c r="C71" i="34"/>
  <c r="B86" i="34" s="1"/>
  <c r="C25" i="35" s="1"/>
  <c r="BI9" i="17"/>
  <c r="BI16" i="17" s="1"/>
  <c r="O3" i="18"/>
  <c r="Q3" i="18" s="1"/>
  <c r="B3" i="19" s="1"/>
  <c r="D21" i="41" s="1"/>
  <c r="E191" i="3"/>
  <c r="F193" i="3"/>
  <c r="J11" i="16"/>
  <c r="M11" i="16"/>
  <c r="K11" i="16"/>
  <c r="L11" i="16"/>
  <c r="N11" i="16"/>
  <c r="M133" i="3"/>
  <c r="M144" i="3" s="1"/>
  <c r="K8" i="7" s="1"/>
  <c r="L8" i="7" s="1"/>
  <c r="J144" i="3"/>
  <c r="BS9" i="17"/>
  <c r="AS9" i="17"/>
  <c r="BX9" i="17"/>
  <c r="BY9" i="17"/>
  <c r="U9" i="17"/>
  <c r="S9" i="17"/>
  <c r="D16" i="17"/>
  <c r="D8" i="1"/>
  <c r="AO9" i="17"/>
  <c r="AO15" i="17"/>
  <c r="AO12" i="17"/>
  <c r="AO11" i="17"/>
  <c r="AO13" i="17"/>
  <c r="J180" i="3" l="1"/>
  <c r="J191" i="3" s="1"/>
  <c r="H191" i="3"/>
  <c r="B47" i="34"/>
  <c r="BZ14" i="17"/>
  <c r="K194" i="1"/>
  <c r="D47" i="34"/>
  <c r="D45" i="34"/>
  <c r="B45" i="34"/>
  <c r="C45" i="34"/>
  <c r="K27" i="11"/>
  <c r="K28" i="11" s="1"/>
  <c r="D42" i="34"/>
  <c r="D49" i="34" s="1"/>
  <c r="D58" i="34" s="1"/>
  <c r="C63" i="34" s="1"/>
  <c r="D63" i="34" s="1"/>
  <c r="E63" i="34" s="1"/>
  <c r="F63" i="34" s="1"/>
  <c r="G63" i="34" s="1"/>
  <c r="H63" i="34" s="1"/>
  <c r="I63" i="34" s="1"/>
  <c r="J63" i="34" s="1"/>
  <c r="K63" i="34" s="1"/>
  <c r="B98" i="34" s="1"/>
  <c r="D19" i="35" s="1"/>
  <c r="F44" i="34"/>
  <c r="B46" i="34"/>
  <c r="B43" i="34"/>
  <c r="B42" i="34"/>
  <c r="K193" i="1"/>
  <c r="K189" i="1"/>
  <c r="D43" i="34"/>
  <c r="D46" i="34"/>
  <c r="C48" i="34"/>
  <c r="D48" i="34"/>
  <c r="B48" i="34"/>
  <c r="BZ15" i="17"/>
  <c r="BX16" i="17"/>
  <c r="K190" i="1"/>
  <c r="G12" i="41"/>
  <c r="E13" i="10"/>
  <c r="K13" i="10" s="1"/>
  <c r="K16" i="10" s="1"/>
  <c r="K19" i="10" s="1"/>
  <c r="G38" i="41"/>
  <c r="U16" i="17"/>
  <c r="D35" i="7"/>
  <c r="M5" i="7"/>
  <c r="S16" i="17"/>
  <c r="G33" i="41"/>
  <c r="G10" i="41"/>
  <c r="AS16" i="17"/>
  <c r="C35" i="7"/>
  <c r="BS16" i="17"/>
  <c r="F5" i="7"/>
  <c r="D32" i="7"/>
  <c r="J6" i="39"/>
  <c r="B13" i="39" s="1"/>
  <c r="B2" i="37" s="1"/>
  <c r="F11" i="39"/>
  <c r="C14" i="37" s="1"/>
  <c r="E55" i="41" s="1"/>
  <c r="G9" i="41"/>
  <c r="C32" i="7"/>
  <c r="L3" i="44"/>
  <c r="L9" i="44" s="1"/>
  <c r="F8" i="7"/>
  <c r="C31" i="7"/>
  <c r="G39" i="41"/>
  <c r="C223" i="1"/>
  <c r="G11" i="41"/>
  <c r="J6" i="41"/>
  <c r="G34" i="41"/>
  <c r="C209" i="1"/>
  <c r="G13" i="41"/>
  <c r="E16" i="14"/>
  <c r="H16" i="14" s="1"/>
  <c r="AO16" i="17"/>
  <c r="H11" i="39"/>
  <c r="C16" i="37" s="1"/>
  <c r="E57" i="41" s="1"/>
  <c r="E11" i="39"/>
  <c r="C13" i="37" s="1"/>
  <c r="E54" i="41" s="1"/>
  <c r="P20" i="14"/>
  <c r="F57" i="14"/>
  <c r="C68" i="14"/>
  <c r="K11" i="7" s="1"/>
  <c r="L11" i="7" s="1"/>
  <c r="K77" i="14"/>
  <c r="K12" i="7" s="1"/>
  <c r="L12" i="7" s="1"/>
  <c r="M8" i="7"/>
  <c r="C11" i="39"/>
  <c r="C11" i="37" s="1"/>
  <c r="E52" i="41" s="1"/>
  <c r="BZ9" i="17"/>
  <c r="BY16" i="17"/>
  <c r="Q28" i="11"/>
  <c r="R27" i="11"/>
  <c r="R28" i="11" s="1"/>
  <c r="R30" i="11" s="1"/>
  <c r="L15" i="7"/>
  <c r="E15" i="7"/>
  <c r="D11" i="39"/>
  <c r="C12" i="37" s="1"/>
  <c r="E53" i="41" s="1"/>
  <c r="O11" i="16"/>
  <c r="B10" i="39"/>
  <c r="B10" i="37" s="1"/>
  <c r="G11" i="39"/>
  <c r="C15" i="37" s="1"/>
  <c r="E56" i="41" s="1"/>
  <c r="M14" i="14"/>
  <c r="E14" i="14"/>
  <c r="K21" i="41"/>
  <c r="C208" i="1"/>
  <c r="J21" i="41"/>
  <c r="G21" i="41"/>
  <c r="F47" i="34" l="1"/>
  <c r="F45" i="34"/>
  <c r="F42" i="34"/>
  <c r="F49" i="34" s="1"/>
  <c r="F43" i="34"/>
  <c r="B49" i="34"/>
  <c r="B58" i="34" s="1"/>
  <c r="F46" i="34"/>
  <c r="K196" i="1"/>
  <c r="D45" i="41" s="1"/>
  <c r="G45" i="41" s="1"/>
  <c r="F48" i="34"/>
  <c r="G40" i="41"/>
  <c r="G41" i="41" s="1"/>
  <c r="C224" i="1"/>
  <c r="BZ16" i="17"/>
  <c r="H9" i="17"/>
  <c r="G35" i="41"/>
  <c r="H13" i="17"/>
  <c r="K13" i="17" s="1"/>
  <c r="L13" i="17" s="1"/>
  <c r="H10" i="17"/>
  <c r="K10" i="17" s="1"/>
  <c r="L10" i="17" s="1"/>
  <c r="H14" i="17"/>
  <c r="K14" i="17" s="1"/>
  <c r="AK14" i="17" s="1"/>
  <c r="BL14" i="17" s="1"/>
  <c r="H15" i="17"/>
  <c r="K15" i="17" s="1"/>
  <c r="L15" i="17" s="1"/>
  <c r="H11" i="17"/>
  <c r="H12" i="17"/>
  <c r="K12" i="17" s="1"/>
  <c r="L12" i="17" s="1"/>
  <c r="N3" i="44"/>
  <c r="O3" i="44" s="1"/>
  <c r="B14" i="39"/>
  <c r="B3" i="37" s="1"/>
  <c r="B15" i="39"/>
  <c r="B18" i="39" s="1"/>
  <c r="B7" i="37" s="1"/>
  <c r="E47" i="14"/>
  <c r="H64" i="34"/>
  <c r="C16" i="35" s="1"/>
  <c r="E16" i="35" s="1"/>
  <c r="C64" i="34"/>
  <c r="C11" i="35" s="1"/>
  <c r="E11" i="35" s="1"/>
  <c r="F64" i="34"/>
  <c r="C14" i="35" s="1"/>
  <c r="E14" i="35" s="1"/>
  <c r="B91" i="34"/>
  <c r="D12" i="35" s="1"/>
  <c r="B92" i="34"/>
  <c r="D13" i="35" s="1"/>
  <c r="B93" i="34"/>
  <c r="D14" i="35" s="1"/>
  <c r="B90" i="34"/>
  <c r="D11" i="35" s="1"/>
  <c r="D64" i="34"/>
  <c r="B73" i="34" s="1"/>
  <c r="C73" i="34" s="1"/>
  <c r="I64" i="34"/>
  <c r="B78" i="34" s="1"/>
  <c r="C78" i="34" s="1"/>
  <c r="K64" i="34"/>
  <c r="B80" i="34" s="1"/>
  <c r="C80" i="34" s="1"/>
  <c r="D44" i="10"/>
  <c r="G44" i="10" s="1"/>
  <c r="B94" i="34"/>
  <c r="D15" i="35" s="1"/>
  <c r="B96" i="34"/>
  <c r="D17" i="35" s="1"/>
  <c r="J64" i="34"/>
  <c r="C18" i="35" s="1"/>
  <c r="E18" i="35" s="1"/>
  <c r="G64" i="34"/>
  <c r="B76" i="34" s="1"/>
  <c r="C76" i="34" s="1"/>
  <c r="E64" i="34"/>
  <c r="B95" i="34"/>
  <c r="D16" i="35" s="1"/>
  <c r="B97" i="34"/>
  <c r="D18" i="35" s="1"/>
  <c r="M12" i="7"/>
  <c r="Q30" i="11"/>
  <c r="D47" i="10" s="1"/>
  <c r="E47" i="10" s="1"/>
  <c r="G47" i="10" s="1"/>
  <c r="M11" i="7"/>
  <c r="D31" i="7"/>
  <c r="C57" i="14"/>
  <c r="P14" i="14"/>
  <c r="F15" i="7"/>
  <c r="C36" i="7"/>
  <c r="K190" i="3"/>
  <c r="M15" i="14"/>
  <c r="K13" i="7"/>
  <c r="D13" i="7"/>
  <c r="M15" i="7"/>
  <c r="D36" i="7"/>
  <c r="D51" i="41"/>
  <c r="B17" i="37"/>
  <c r="D58" i="41" s="1"/>
  <c r="H14" i="14"/>
  <c r="H22" i="14" s="1"/>
  <c r="B6" i="14" s="1"/>
  <c r="D9" i="7" s="1"/>
  <c r="E9" i="7" s="1"/>
  <c r="C47" i="14"/>
  <c r="B11" i="39"/>
  <c r="C10" i="37" s="1"/>
  <c r="AX14" i="17"/>
  <c r="AZ14" i="17"/>
  <c r="BG13" i="17"/>
  <c r="BC14" i="17"/>
  <c r="BG15" i="17"/>
  <c r="BG10" i="17"/>
  <c r="BG12" i="17"/>
  <c r="K9" i="17" l="1"/>
  <c r="L9" i="17" s="1"/>
  <c r="H16" i="17"/>
  <c r="K11" i="17"/>
  <c r="L11" i="17" s="1"/>
  <c r="C14" i="19"/>
  <c r="C225" i="1"/>
  <c r="B4" i="37"/>
  <c r="D28" i="41" s="1"/>
  <c r="G27" i="41" s="1"/>
  <c r="C222" i="1" s="1"/>
  <c r="L14" i="17"/>
  <c r="AK13" i="17"/>
  <c r="BL13" i="17" s="1"/>
  <c r="I48" i="14"/>
  <c r="J49" i="14" s="1"/>
  <c r="D10" i="7" s="1"/>
  <c r="E10" i="7" s="1"/>
  <c r="F10" i="7" s="1"/>
  <c r="AK10" i="17"/>
  <c r="BL10" i="17" s="1"/>
  <c r="B77" i="34"/>
  <c r="C77" i="34" s="1"/>
  <c r="AK12" i="17"/>
  <c r="BL12" i="17" s="1"/>
  <c r="AK15" i="17"/>
  <c r="D27" i="41"/>
  <c r="P3" i="44"/>
  <c r="P9" i="44" s="1"/>
  <c r="B16" i="39"/>
  <c r="B5" i="37" s="1"/>
  <c r="K29" i="41" s="1"/>
  <c r="B17" i="39"/>
  <c r="B6" i="37" s="1"/>
  <c r="K30" i="41" s="1"/>
  <c r="N9" i="44"/>
  <c r="Q31" i="11" s="1"/>
  <c r="B72" i="34"/>
  <c r="C72" i="34" s="1"/>
  <c r="D72" i="34" s="1"/>
  <c r="D73" i="34" s="1"/>
  <c r="B75" i="34"/>
  <c r="C75" i="34" s="1"/>
  <c r="C12" i="35"/>
  <c r="E12" i="35" s="1"/>
  <c r="C17" i="35"/>
  <c r="E17" i="35" s="1"/>
  <c r="C19" i="35"/>
  <c r="E19" i="35" s="1"/>
  <c r="B79" i="34"/>
  <c r="C79" i="34" s="1"/>
  <c r="C15" i="35"/>
  <c r="E15" i="35" s="1"/>
  <c r="B74" i="34"/>
  <c r="C74" i="34" s="1"/>
  <c r="C13" i="35"/>
  <c r="E13" i="35" s="1"/>
  <c r="BF14" i="17"/>
  <c r="F9" i="7"/>
  <c r="E51" i="41"/>
  <c r="C17" i="37"/>
  <c r="E58" i="41" s="1"/>
  <c r="E57" i="14"/>
  <c r="I58" i="14" s="1"/>
  <c r="J59" i="14" s="1"/>
  <c r="K10" i="7" s="1"/>
  <c r="L10" i="7" s="1"/>
  <c r="P15" i="14"/>
  <c r="P22" i="14" s="1"/>
  <c r="C6" i="14" s="1"/>
  <c r="K9" i="7" s="1"/>
  <c r="L9" i="7" s="1"/>
  <c r="K31" i="41"/>
  <c r="C221" i="1"/>
  <c r="J31" i="41"/>
  <c r="Q3" i="44"/>
  <c r="Q9" i="44" s="1"/>
  <c r="O9" i="44"/>
  <c r="R31" i="11" s="1"/>
  <c r="R33" i="11" s="1"/>
  <c r="E13" i="7"/>
  <c r="C34" i="7"/>
  <c r="L13" i="7"/>
  <c r="D34" i="7"/>
  <c r="BC15" i="17"/>
  <c r="BG11" i="17"/>
  <c r="AZ12" i="17"/>
  <c r="BG9" i="17"/>
  <c r="AX15" i="17"/>
  <c r="AZ10" i="17"/>
  <c r="BG14" i="17"/>
  <c r="BC12" i="17"/>
  <c r="AZ13" i="17"/>
  <c r="AX12" i="17"/>
  <c r="AX13" i="17"/>
  <c r="AX10" i="17"/>
  <c r="BC13" i="17"/>
  <c r="BC10" i="17"/>
  <c r="AZ15" i="17"/>
  <c r="L16" i="17" l="1"/>
  <c r="AK11" i="17"/>
  <c r="AK9" i="17"/>
  <c r="K16" i="17"/>
  <c r="BM14" i="17"/>
  <c r="Q33" i="11"/>
  <c r="D48" i="10"/>
  <c r="E48" i="10" s="1"/>
  <c r="G48" i="10" s="1"/>
  <c r="G51" i="10" s="1"/>
  <c r="G54" i="10" s="1"/>
  <c r="D31" i="41" s="1"/>
  <c r="K34" i="41" s="1"/>
  <c r="C226" i="1"/>
  <c r="C30" i="7"/>
  <c r="C37" i="7" s="1"/>
  <c r="BM9" i="17"/>
  <c r="BF13" i="17"/>
  <c r="BM13" i="17" s="1"/>
  <c r="E16" i="7"/>
  <c r="G9" i="7" s="1"/>
  <c r="BF10" i="17"/>
  <c r="BM10" i="17" s="1"/>
  <c r="BU10" i="17" s="1"/>
  <c r="J29" i="41"/>
  <c r="C219" i="1" s="1"/>
  <c r="J30" i="41"/>
  <c r="AK16" i="17"/>
  <c r="R3" i="44"/>
  <c r="R9" i="44" s="1"/>
  <c r="BG16" i="17"/>
  <c r="BF12" i="17"/>
  <c r="BM12" i="17" s="1"/>
  <c r="D12" i="19" s="1"/>
  <c r="C220" i="1"/>
  <c r="BF15" i="17"/>
  <c r="BM15" i="17" s="1"/>
  <c r="BL15" i="17"/>
  <c r="C15" i="19" s="1"/>
  <c r="E72" i="34"/>
  <c r="S3" i="44"/>
  <c r="S9" i="44" s="1"/>
  <c r="M13" i="7"/>
  <c r="N13" i="7"/>
  <c r="C10" i="19"/>
  <c r="C12" i="19"/>
  <c r="E73" i="34"/>
  <c r="D74" i="34"/>
  <c r="C13" i="19"/>
  <c r="M10" i="7"/>
  <c r="N10" i="7"/>
  <c r="F13" i="7"/>
  <c r="D30" i="7"/>
  <c r="D37" i="7" s="1"/>
  <c r="N9" i="7"/>
  <c r="M9" i="7"/>
  <c r="N7" i="7"/>
  <c r="N6" i="7"/>
  <c r="L16" i="7"/>
  <c r="N5" i="7"/>
  <c r="N14" i="7"/>
  <c r="N8" i="7"/>
  <c r="N11" i="7"/>
  <c r="N12" i="7"/>
  <c r="AZ11" i="17"/>
  <c r="BC11" i="17"/>
  <c r="AX11" i="17"/>
  <c r="AX9" i="17"/>
  <c r="AZ9" i="17"/>
  <c r="BC9" i="17"/>
  <c r="BF9" i="17" l="1"/>
  <c r="BF11" i="17"/>
  <c r="BM11" i="17" s="1"/>
  <c r="D11" i="19" s="1"/>
  <c r="BL9" i="17"/>
  <c r="C9" i="19" s="1"/>
  <c r="BL11" i="17"/>
  <c r="C11" i="19" s="1"/>
  <c r="D13" i="19"/>
  <c r="BU13" i="17"/>
  <c r="D14" i="19"/>
  <c r="BU14" i="17"/>
  <c r="BN14" i="17"/>
  <c r="D9" i="19"/>
  <c r="BN13" i="17"/>
  <c r="BP13" i="17" s="1"/>
  <c r="G16" i="7"/>
  <c r="G10" i="7"/>
  <c r="F16" i="7"/>
  <c r="D10" i="19"/>
  <c r="G15" i="7"/>
  <c r="G12" i="7"/>
  <c r="G5" i="7"/>
  <c r="G13" i="7"/>
  <c r="G6" i="7"/>
  <c r="G8" i="7"/>
  <c r="G7" i="7"/>
  <c r="BN10" i="17"/>
  <c r="G11" i="7"/>
  <c r="G14" i="7"/>
  <c r="BN12" i="17"/>
  <c r="BP12" i="17" s="1"/>
  <c r="BU12" i="17"/>
  <c r="BF16" i="17"/>
  <c r="BN15" i="17"/>
  <c r="D15" i="19"/>
  <c r="J34" i="41"/>
  <c r="G30" i="41"/>
  <c r="C218" i="1" s="1"/>
  <c r="M16" i="7"/>
  <c r="N16" i="7"/>
  <c r="N15" i="7"/>
  <c r="E74" i="34"/>
  <c r="D75" i="34"/>
  <c r="D42" i="7"/>
  <c r="D43" i="7"/>
  <c r="BU9" i="17" l="1"/>
  <c r="C16" i="19"/>
  <c r="BM16" i="17"/>
  <c r="BU11" i="17"/>
  <c r="BV9" i="17" s="1"/>
  <c r="C2" i="19" s="1"/>
  <c r="D17" i="41" s="1"/>
  <c r="BL16" i="17"/>
  <c r="BN11" i="17"/>
  <c r="BP11" i="17" s="1"/>
  <c r="G11" i="19" s="1"/>
  <c r="D64" i="41" s="1"/>
  <c r="BN9" i="17"/>
  <c r="BO9" i="17" s="1"/>
  <c r="F9" i="19" s="1"/>
  <c r="BW9" i="17"/>
  <c r="D2" i="19" s="1"/>
  <c r="D18" i="41" s="1"/>
  <c r="BO10" i="17"/>
  <c r="F10" i="19" s="1"/>
  <c r="E14" i="19"/>
  <c r="BP14" i="17"/>
  <c r="BO14" i="17"/>
  <c r="F14" i="19" s="1"/>
  <c r="D16" i="19"/>
  <c r="E13" i="19"/>
  <c r="BO13" i="17"/>
  <c r="F13" i="19" s="1"/>
  <c r="E12" i="19"/>
  <c r="E10" i="19"/>
  <c r="BP10" i="17"/>
  <c r="G10" i="19" s="1"/>
  <c r="BO12" i="17"/>
  <c r="F12" i="19" s="1"/>
  <c r="BO15" i="17"/>
  <c r="F15" i="19" s="1"/>
  <c r="BP15" i="17"/>
  <c r="E15" i="19"/>
  <c r="G13" i="19"/>
  <c r="D66" i="41" s="1"/>
  <c r="BQ13" i="17"/>
  <c r="H13" i="19" s="1"/>
  <c r="E75" i="34"/>
  <c r="D76" i="34"/>
  <c r="G12" i="19"/>
  <c r="D65" i="41" s="1"/>
  <c r="BQ12" i="17"/>
  <c r="H12" i="19" s="1"/>
  <c r="D24" i="41"/>
  <c r="D44" i="7"/>
  <c r="BQ11" i="17" l="1"/>
  <c r="H11" i="19" s="1"/>
  <c r="E11" i="19"/>
  <c r="BO11" i="17"/>
  <c r="F11" i="19" s="1"/>
  <c r="BN16" i="17"/>
  <c r="BO16" i="17" s="1"/>
  <c r="BT7" i="17" s="1"/>
  <c r="BP9" i="17"/>
  <c r="E9" i="19"/>
  <c r="E16" i="19" s="1"/>
  <c r="G14" i="19"/>
  <c r="D67" i="41" s="1"/>
  <c r="BQ14" i="17"/>
  <c r="H14" i="19" s="1"/>
  <c r="J14" i="19" s="1"/>
  <c r="J13" i="19"/>
  <c r="I10" i="19"/>
  <c r="E63" i="41" s="1"/>
  <c r="BQ10" i="17"/>
  <c r="H10" i="19" s="1"/>
  <c r="J10" i="19" s="1"/>
  <c r="BP16" i="17"/>
  <c r="BU6" i="17" s="1"/>
  <c r="B2" i="19" s="1"/>
  <c r="D16" i="41" s="1"/>
  <c r="C206" i="1"/>
  <c r="BQ15" i="17"/>
  <c r="H15" i="19" s="1"/>
  <c r="J15" i="19" s="1"/>
  <c r="G15" i="19"/>
  <c r="D68" i="41" s="1"/>
  <c r="J12" i="19"/>
  <c r="C207" i="1"/>
  <c r="I11" i="19"/>
  <c r="E64" i="41" s="1"/>
  <c r="I12" i="19"/>
  <c r="E65" i="41" s="1"/>
  <c r="E76" i="34"/>
  <c r="D77" i="34"/>
  <c r="I13" i="19"/>
  <c r="E66" i="41" s="1"/>
  <c r="C213" i="1"/>
  <c r="J25" i="41"/>
  <c r="C215" i="1" s="1"/>
  <c r="G24" i="41"/>
  <c r="C217" i="1" s="1"/>
  <c r="J26" i="41"/>
  <c r="C216" i="1" s="1"/>
  <c r="J24" i="41"/>
  <c r="K25" i="41"/>
  <c r="K24" i="41"/>
  <c r="K37" i="41" s="1"/>
  <c r="D63" i="41"/>
  <c r="J11" i="19" l="1"/>
  <c r="BT6" i="17"/>
  <c r="G9" i="19"/>
  <c r="G16" i="19" s="1"/>
  <c r="D69" i="41" s="1"/>
  <c r="BQ9" i="17"/>
  <c r="H9" i="19" s="1"/>
  <c r="J9" i="19" s="1"/>
  <c r="I14" i="19"/>
  <c r="E67" i="41" s="1"/>
  <c r="I15" i="19"/>
  <c r="E68" i="41" s="1"/>
  <c r="BQ16" i="17"/>
  <c r="BU7" i="17" s="1"/>
  <c r="G16" i="41"/>
  <c r="C205" i="1" s="1"/>
  <c r="J16" i="41"/>
  <c r="K16" i="41"/>
  <c r="C204" i="1"/>
  <c r="C214" i="1"/>
  <c r="J37" i="41"/>
  <c r="E77" i="34"/>
  <c r="D78" i="34"/>
  <c r="D62" i="41" l="1"/>
  <c r="I9" i="19"/>
  <c r="E62" i="41" s="1"/>
  <c r="E78" i="34"/>
  <c r="D79" i="34"/>
  <c r="I16" i="19" l="1"/>
  <c r="E69" i="41" s="1"/>
  <c r="E79" i="34"/>
  <c r="D80" i="34"/>
  <c r="B84" i="34" s="1"/>
  <c r="E80" i="34" l="1"/>
  <c r="C84" i="34"/>
  <c r="D84" i="34" s="1"/>
  <c r="C22" i="35" s="1"/>
</calcChain>
</file>

<file path=xl/comments1.xml><?xml version="1.0" encoding="utf-8"?>
<comments xmlns="http://schemas.openxmlformats.org/spreadsheetml/2006/main">
  <authors>
    <author>Van der Hoek, Rein (CIAT-Nicaragua)</author>
  </authors>
  <commentList>
    <comment ref="H188" authorId="0" shapeId="0">
      <text>
        <r>
          <rPr>
            <b/>
            <sz val="9"/>
            <color indexed="81"/>
            <rFont val="Tahoma"/>
            <family val="2"/>
          </rPr>
          <t>Van der Hoek, Rein (CIAT-Nicaragua):</t>
        </r>
        <r>
          <rPr>
            <sz val="9"/>
            <color indexed="81"/>
            <rFont val="Tahoma"/>
            <family val="2"/>
          </rPr>
          <t xml:space="preserve">
added labour requirement for feeding , also extra parameter feed parameter sheet (column N, expressed as labour days/day//animal)</t>
        </r>
      </text>
    </comment>
  </commentList>
</comments>
</file>

<file path=xl/comments2.xml><?xml version="1.0" encoding="utf-8"?>
<comments xmlns="http://schemas.openxmlformats.org/spreadsheetml/2006/main">
  <authors>
    <author/>
  </authors>
  <commentList>
    <comment ref="K7" authorId="0" shapeId="0">
      <text>
        <r>
          <rPr>
            <sz val="10"/>
            <rFont val="Arial"/>
            <family val="2"/>
          </rPr>
          <t xml:space="preserve">intensive animal: urea
extensive: (both manures): barnyard manure only
semi-intensive animal manure: only urea was recorded
</t>
        </r>
      </text>
    </comment>
    <comment ref="L7" authorId="0" shapeId="0">
      <text>
        <r>
          <rPr>
            <sz val="10"/>
            <rFont val="Arial"/>
            <family val="2"/>
          </rPr>
          <t xml:space="preserve">intensive animal: urea
extensive: (both manures): barnyard manure only
semi-intensive animal manure: only urea was recorded
</t>
        </r>
      </text>
    </comment>
  </commentList>
</comments>
</file>

<file path=xl/sharedStrings.xml><?xml version="1.0" encoding="utf-8"?>
<sst xmlns="http://schemas.openxmlformats.org/spreadsheetml/2006/main" count="3536" uniqueCount="1885">
  <si>
    <t>EF</t>
  </si>
  <si>
    <t>METHANE EMMISSIONS FROM ENTERIC FERMENTATION (TIER 1)</t>
  </si>
  <si>
    <t>Total kg CH4</t>
  </si>
  <si>
    <t>if not</t>
  </si>
  <si>
    <t>if sum of rain - sum of PE &gt; soil water holding capacity during rainy season</t>
  </si>
  <si>
    <t xml:space="preserve"> fraction of all N added to/mineralised in managed soils in regions where leaching/runoff occurs that is lost through leaching and runoff</t>
  </si>
  <si>
    <t>kg N (kg of N additions)-1</t>
  </si>
  <si>
    <t xml:space="preserve">FracLEACH-(H) </t>
  </si>
  <si>
    <t>0.05-0.5</t>
  </si>
  <si>
    <t xml:space="preserve"> fraction of applied organic N fertiliser materials (FON) and of urine and dung N deposited by grazing animals (FPRP) that volatilises as NH3 and NOx</t>
  </si>
  <si>
    <t>kg N volatilised (kg of N applied or deposited)-1</t>
  </si>
  <si>
    <t xml:space="preserve">FracGASM </t>
  </si>
  <si>
    <t>0.03-0.3</t>
  </si>
  <si>
    <t xml:space="preserve"> fraction of synthetic fertilzer N that volatilises as NH3 and NOx</t>
  </si>
  <si>
    <t>kg N volatilised (kg of N applied)-1</t>
  </si>
  <si>
    <t xml:space="preserve">FracGASF </t>
  </si>
  <si>
    <t>0.000 - 0.006</t>
  </si>
  <si>
    <t>emission factor for N2O emission from N inputs for flooded rice</t>
  </si>
  <si>
    <t>kg N2O–N (kg N input)-1</t>
  </si>
  <si>
    <t>EF1R</t>
  </si>
  <si>
    <t>0.005-0.025</t>
  </si>
  <si>
    <t xml:space="preserve"> emission factor for N2O emissions from N leaching and runoff</t>
  </si>
  <si>
    <t>kg N2O–N (kg N leached and runoff)-1</t>
  </si>
  <si>
    <t xml:space="preserve">EF5 </t>
  </si>
  <si>
    <t>0.002-0.05</t>
  </si>
  <si>
    <t xml:space="preserve"> emission factor for N2O emissions from atmospheric deposition of N on soils and water surfaces</t>
  </si>
  <si>
    <t>[kg N–N2O (kg NH3–N + NOx–N volatilised)-1]</t>
  </si>
  <si>
    <t xml:space="preserve">EF4 </t>
  </si>
  <si>
    <t>0.003-0.03</t>
  </si>
  <si>
    <t xml:space="preserve"> emission factor for N2O emissions from urine and dung N deposited on pasture, range and paddock by grazing animals</t>
  </si>
  <si>
    <t>EF3PRP-SO</t>
  </si>
  <si>
    <t>0.007-0.06</t>
  </si>
  <si>
    <t xml:space="preserve">EF3PRP-CPP </t>
  </si>
  <si>
    <t>5 TO 48</t>
  </si>
  <si>
    <t xml:space="preserve"> emission factor for N2O emissions from drained/managed organic soils</t>
  </si>
  <si>
    <t>kg N2O–N ha-1 yr-1</t>
  </si>
  <si>
    <t xml:space="preserve">EF2 </t>
  </si>
  <si>
    <t xml:space="preserve"> emission factor for N2O emissions from N inputs</t>
  </si>
  <si>
    <t xml:space="preserve">EF1 </t>
  </si>
  <si>
    <t>UNCERTAINTY RANGE</t>
  </si>
  <si>
    <t>DEFAULT VALUES</t>
  </si>
  <si>
    <t>DESCRIPTION</t>
  </si>
  <si>
    <t>UNIT</t>
  </si>
  <si>
    <t>EMISSION FACTORS</t>
  </si>
  <si>
    <t xml:space="preserve"> </t>
  </si>
  <si>
    <t>TABLE 11.1 AND TABLE 11.3</t>
  </si>
  <si>
    <t>N2O EMISSIONS FROM MANAGED SOILS</t>
  </si>
  <si>
    <t>uncertainty of these emissions is +/- 30%</t>
  </si>
  <si>
    <t>Goats</t>
  </si>
  <si>
    <t>Sheep</t>
  </si>
  <si>
    <t>Warm (&gt;25°C)</t>
  </si>
  <si>
    <t>Temperate (15 to 25°C)</t>
  </si>
  <si>
    <t xml:space="preserve">Cool (&lt;15°C)  </t>
  </si>
  <si>
    <t>ANIMAL CATEGORY</t>
  </si>
  <si>
    <t>CH4 emission factor by average annual temperature (°C)</t>
  </si>
  <si>
    <t>kg CH4 head-1. yr-1</t>
  </si>
  <si>
    <t>AND ASSES, AND POULTRY FOR DEVELOPING COUNTRIES</t>
  </si>
  <si>
    <t>MANURE MANAGEMENT METHANE EMISSION FACTORS BY TEMPERATURE FOR SHEEP, GOATS, CAMELS, HORSES, MULES</t>
  </si>
  <si>
    <t>Table 10.15</t>
  </si>
  <si>
    <t>Other cattle</t>
  </si>
  <si>
    <t>Dairy cows</t>
  </si>
  <si>
    <t xml:space="preserve">Most livestock manure is managed as a solid on pastures and ranges. A smaller but significant fraction is burned as fuel. </t>
  </si>
  <si>
    <t>≥28</t>
  </si>
  <si>
    <t>≤10</t>
  </si>
  <si>
    <t>Warm</t>
  </si>
  <si>
    <t>Temperate</t>
  </si>
  <si>
    <t>Cool</t>
  </si>
  <si>
    <t>Livestock species</t>
  </si>
  <si>
    <t>Regional characteristics</t>
  </si>
  <si>
    <t>Region</t>
  </si>
  <si>
    <t>CH4 emission factors by average annual temperature (°C)b</t>
  </si>
  <si>
    <t>MANURE MANAGEMENT METHANE EMISSION FACTORS BY  TEMPERATURE FOR CATTLE, SWINE AND BUFFALO</t>
  </si>
  <si>
    <t>Table 10.14</t>
  </si>
  <si>
    <t>METHANE EMISSIONS FROM MANURE MANAGEMENT</t>
  </si>
  <si>
    <t>Table 10.10</t>
  </si>
  <si>
    <t>Dairy cattle</t>
  </si>
  <si>
    <t>source</t>
  </si>
  <si>
    <t>Unit</t>
  </si>
  <si>
    <t>METHANE EMISSIONS FROM LIVESTOCK; Kg CH4 per head per year</t>
  </si>
  <si>
    <t>EMISSION FACTORS TIER 1 IPCC (2006)</t>
  </si>
  <si>
    <t xml:space="preserve">Category </t>
  </si>
  <si>
    <t>unit</t>
  </si>
  <si>
    <t>value</t>
  </si>
  <si>
    <t>%</t>
  </si>
  <si>
    <t>Methane</t>
  </si>
  <si>
    <t>* Excluding those from energy use, nitrogen fertilizer production and purchased feed</t>
  </si>
  <si>
    <t>Including indirect emission from managed soils</t>
  </si>
  <si>
    <t>N2O</t>
  </si>
  <si>
    <t>GE</t>
  </si>
  <si>
    <t>METHANE EMMISSIONS FROM ENTERIC FERMENTATION (TIER 2)</t>
  </si>
  <si>
    <t>Other mature female</t>
  </si>
  <si>
    <t>table 10A.2</t>
  </si>
  <si>
    <t>Other draft bull</t>
  </si>
  <si>
    <t xml:space="preserve">other Mature female-grazing </t>
  </si>
  <si>
    <t>Other young</t>
  </si>
  <si>
    <t>AFRICA</t>
  </si>
  <si>
    <t>Tier 1</t>
  </si>
  <si>
    <t>a</t>
  </si>
  <si>
    <t>b</t>
  </si>
  <si>
    <t>c</t>
  </si>
  <si>
    <t>Tab to calculate : methane emissions from enteric fermentation (T1 +T2), Gross energy intaker, and N excretion rate in manure ( Tier 1 and Tier 2).</t>
  </si>
  <si>
    <t>ANNUAL AVERAGE NITROGEN EXCRETION RATES (TIER 1)</t>
  </si>
  <si>
    <t>(Used for calculation N2O emissions manure management)</t>
  </si>
  <si>
    <t>other cattle</t>
  </si>
  <si>
    <t>ANNUAL AVERAGE NITROGEN EXCRETION RATES (TIER 2)</t>
  </si>
  <si>
    <t>18.45 = conversion factor for dietary GE per kg of dry matter, MJ kg-1. This value is relatively constant</t>
  </si>
  <si>
    <t>6.25 = conversion from kg of dietary protein to kg of dietary N, kg feed protein (kg N)-1</t>
  </si>
  <si>
    <t>Tier 2; Equation 10.33:</t>
  </si>
  <si>
    <t>Nretention(T)=A+B</t>
  </si>
  <si>
    <t>A=milk*((milkprot%/100)/6,38)</t>
  </si>
  <si>
    <t>B=a/b</t>
  </si>
  <si>
    <t>a=WG*(268-((7,03*NEg)/WG))</t>
  </si>
  <si>
    <t>b=1000/6,25</t>
  </si>
  <si>
    <t>CALCULATION OF METHANE EMMISSIONS FROM MANURE MANGEMENT (Tier 1)</t>
  </si>
  <si>
    <t>tab to calculate CH4 emissions from manure management (T1+T2), N2O emissions direct and indirect from Manure management (T1+T2)</t>
  </si>
  <si>
    <t>UE</t>
  </si>
  <si>
    <t>ASH</t>
  </si>
  <si>
    <t>VS</t>
  </si>
  <si>
    <t>kg N</t>
  </si>
  <si>
    <t>fraction</t>
  </si>
  <si>
    <t xml:space="preserve">dry lot </t>
  </si>
  <si>
    <t>Total kg N2O</t>
  </si>
  <si>
    <t>FracGasMS</t>
  </si>
  <si>
    <t>Total kg N</t>
  </si>
  <si>
    <t>EF4</t>
  </si>
  <si>
    <t>ha</t>
  </si>
  <si>
    <t>Total</t>
  </si>
  <si>
    <t>Annual purchase of animal manure</t>
  </si>
  <si>
    <t xml:space="preserve">Annual purchase of other organic N additions </t>
  </si>
  <si>
    <t>Annual purchase of bedding materials</t>
  </si>
  <si>
    <t>Annual 'sales' of home produced manure</t>
  </si>
  <si>
    <t>total</t>
  </si>
  <si>
    <t>Upland</t>
  </si>
  <si>
    <t xml:space="preserve">CH4rice </t>
  </si>
  <si>
    <t xml:space="preserve">EFi </t>
  </si>
  <si>
    <t xml:space="preserve">SFs,r </t>
  </si>
  <si>
    <t xml:space="preserve">SFo </t>
  </si>
  <si>
    <t>CFOAi</t>
  </si>
  <si>
    <t>ROAi</t>
  </si>
  <si>
    <t>SFp</t>
  </si>
  <si>
    <t>SFw</t>
  </si>
  <si>
    <t xml:space="preserve">EFc </t>
  </si>
  <si>
    <t>t</t>
  </si>
  <si>
    <t>A</t>
  </si>
  <si>
    <t xml:space="preserve">CH4rice=A*t*EFi </t>
  </si>
  <si>
    <t>SFo=(1+ROAi*CFOAi)^0.59</t>
  </si>
  <si>
    <t>Table 5.14</t>
  </si>
  <si>
    <t>Table 5.13</t>
  </si>
  <si>
    <t>Table 5.12</t>
  </si>
  <si>
    <t>Table 5.11</t>
  </si>
  <si>
    <t>kg CH4.yr-1</t>
  </si>
  <si>
    <t>(kg CH4.ha-1.day-1)</t>
  </si>
  <si>
    <t>(-)</t>
  </si>
  <si>
    <t>(tonnes.ha-1)</t>
  </si>
  <si>
    <t>kg CH4.ha-1.day-1)</t>
  </si>
  <si>
    <t>(day)</t>
  </si>
  <si>
    <t>(ha.yr-1)</t>
  </si>
  <si>
    <t>Annual CH4 emission from rice cultivation</t>
  </si>
  <si>
    <t>Adjusted daily emission factor for a particular harvested area</t>
  </si>
  <si>
    <t>Scaling factor for soil type, rice cultivar etc if available</t>
  </si>
  <si>
    <t xml:space="preserve">Scaling factor for both types and amount of organic amendment </t>
  </si>
  <si>
    <t>Conversion factor for organic amendment</t>
  </si>
  <si>
    <t>Application rate of organic amendment in fresh weight</t>
  </si>
  <si>
    <t xml:space="preserve">Scaling factor to account for the differences in water regime durng the cultivation period </t>
  </si>
  <si>
    <t>cultivation period of rice</t>
  </si>
  <si>
    <t>Annual harvested area</t>
  </si>
  <si>
    <t>Subcategories for reporting year</t>
  </si>
  <si>
    <t>equation 5.1</t>
  </si>
  <si>
    <t>equation 5.2</t>
  </si>
  <si>
    <t>equation 5.3</t>
  </si>
  <si>
    <t>eq. 2.2</t>
  </si>
  <si>
    <t>equation</t>
  </si>
  <si>
    <t>Rice Cultivation: Annual CH4 emissions from rice based on IPCC Tier 1</t>
  </si>
  <si>
    <t>irrigated</t>
  </si>
  <si>
    <t>Rain fed and deep water</t>
  </si>
  <si>
    <t>Continuously flooded</t>
  </si>
  <si>
    <t>intermittently flooded-single aeration</t>
  </si>
  <si>
    <t>Intermittently flooded-multiple aeration</t>
  </si>
  <si>
    <t>regular rainfed</t>
  </si>
  <si>
    <t>drought prone</t>
  </si>
  <si>
    <t>deep water</t>
  </si>
  <si>
    <t>Scaling Factor (SFw )</t>
  </si>
  <si>
    <t>Aggregated case</t>
  </si>
  <si>
    <t>Disaggregated case</t>
  </si>
  <si>
    <t>page5.49</t>
  </si>
  <si>
    <t>Scaling Factor (SFp )</t>
  </si>
  <si>
    <t xml:space="preserve">water regime prior to rice cultivation </t>
  </si>
  <si>
    <t>flooded pre-season (&gt;30)*</t>
  </si>
  <si>
    <t xml:space="preserve">* short-pre season of less than 30 d are not considered in selection of SFp </t>
  </si>
  <si>
    <t>non-flooded pre-season &lt;180 days( often in double cropping of rice)</t>
  </si>
  <si>
    <t>non-flooded pre-season &gt;180 days (single rice crop following a dry fallow period)</t>
  </si>
  <si>
    <t>from Table 5.13</t>
  </si>
  <si>
    <t>page 5.50</t>
  </si>
  <si>
    <t>from table 5.14</t>
  </si>
  <si>
    <t>page 5.51</t>
  </si>
  <si>
    <t>conversion factor (CFOA)</t>
  </si>
  <si>
    <t>straw incorporated in soil shortly (&lt;30 days) before cultivation</t>
  </si>
  <si>
    <t>straw incorporated in soil long (&gt;30 days) before cultivation</t>
  </si>
  <si>
    <t>Compost</t>
  </si>
  <si>
    <t>Farm yard manure</t>
  </si>
  <si>
    <t>green manure</t>
  </si>
  <si>
    <t xml:space="preserve">organic amendment </t>
  </si>
  <si>
    <t>EFi=EFc*SFw* SFp*SFo*SFs,r</t>
  </si>
  <si>
    <t>NONE</t>
  </si>
  <si>
    <t xml:space="preserve">FOR EVERY SCALING FACTOR, SELECT FROM TABLES BELOW TO ENTER IN MAIN TABLE </t>
  </si>
  <si>
    <t>FOR SFw AND SFp CHANGE VALUE IF INFORMATION FOR DISAGGREGATED CASES.</t>
  </si>
  <si>
    <t>Scaling factor to account for the differences in water regime in the pre-season before the cultivation period(=1 if less than 30 days)</t>
  </si>
  <si>
    <t>Baseline emission factor for continuously flooded fields without organic amendments</t>
  </si>
  <si>
    <t>TOTAL</t>
  </si>
  <si>
    <t>Sheep and other</t>
  </si>
  <si>
    <t>Cattle, Pig and poultry</t>
  </si>
  <si>
    <t>EF3prp</t>
  </si>
  <si>
    <t>Fprp</t>
  </si>
  <si>
    <t>(kg N.yr-1)</t>
  </si>
  <si>
    <t>(ha)</t>
  </si>
  <si>
    <t>Anthropogenic N input type</t>
  </si>
  <si>
    <t>equation 11.1</t>
  </si>
  <si>
    <t>Fcr; N in crop residues</t>
  </si>
  <si>
    <t>crop residues</t>
  </si>
  <si>
    <t>Fon; N in animal manure,comopst, sewage sludge, other</t>
  </si>
  <si>
    <t>animal manure, compost sewage sludge</t>
  </si>
  <si>
    <t>EF1fr</t>
  </si>
  <si>
    <t>Fsn; N in synthetic fertilizers</t>
  </si>
  <si>
    <t>synthetic fertilizers</t>
  </si>
  <si>
    <t>EF1</t>
  </si>
  <si>
    <t>Anthropogenic N input types to estimate annual direct N2O-N emissions produced from managed soils</t>
  </si>
  <si>
    <t>N2O Ninputs</t>
  </si>
  <si>
    <t>F</t>
  </si>
  <si>
    <t>N2O Ninputs=F*EF</t>
  </si>
  <si>
    <t>Tabble 11.1</t>
  </si>
  <si>
    <t>(kg N2O-N . yr-1)</t>
  </si>
  <si>
    <t>( kg N2O-N . kg N inputs -1)</t>
  </si>
  <si>
    <t>(kg N. yr-1)</t>
  </si>
  <si>
    <t>Annual direct N2ON emissions produced from managed soils</t>
  </si>
  <si>
    <t>Emission factor for N2O emissions from N inputs</t>
  </si>
  <si>
    <t>Amount of N applied</t>
  </si>
  <si>
    <t>(kg N2O . yr-1)</t>
  </si>
  <si>
    <t xml:space="preserve">Annual amount of synthetic fertilizer N applied to soils </t>
  </si>
  <si>
    <t xml:space="preserve">Fraction of synthetic fertilizer N that volatilises </t>
  </si>
  <si>
    <t xml:space="preserve">Annual amount of animal manure, compost, sewage sludge and other organic N additions intentionally applied to soils </t>
  </si>
  <si>
    <t xml:space="preserve">Annual amount of urine and dung N deposited by grazing animals on pasture, range and paddock </t>
  </si>
  <si>
    <t>Fraction of applied organic N fertilizer materials (FON) and of urine and dung N deposited by grazing animals (FPRP) that volatilises</t>
  </si>
  <si>
    <t>(kg N2O-N .kg N volatilized-1)</t>
  </si>
  <si>
    <t>(kg NH3-N+Nox-N .kg N applied or deposited-1)</t>
  </si>
  <si>
    <t>(kg NH3-N+Nox-N .kg N applied-1)</t>
  </si>
  <si>
    <t>(kg N2O-N .yr-1)</t>
  </si>
  <si>
    <t>Table11.3</t>
  </si>
  <si>
    <t>Fsn</t>
  </si>
  <si>
    <t>Frac GASF</t>
  </si>
  <si>
    <t>Fon</t>
  </si>
  <si>
    <t>Frac GASM</t>
  </si>
  <si>
    <t>N2O (atd)-N</t>
  </si>
  <si>
    <t xml:space="preserve">Total </t>
  </si>
  <si>
    <t xml:space="preserve">equation </t>
  </si>
  <si>
    <t>equation 11.9</t>
  </si>
  <si>
    <t>N2O (atd)-N=[ (Fsn*Frac GSAF)+(Fon+Fprp)*Frac GASM ]*EF4</t>
  </si>
  <si>
    <t>(kg N2O.yr-1)</t>
  </si>
  <si>
    <t>Species/Livestock category</t>
  </si>
  <si>
    <t>number of animals</t>
  </si>
  <si>
    <t>(head)</t>
  </si>
  <si>
    <t>N t</t>
  </si>
  <si>
    <t>emisison factor for enteric fermentation</t>
  </si>
  <si>
    <t>(kg CH4 . head-1.yr-1)</t>
  </si>
  <si>
    <t>Table 10.10, 10.11</t>
  </si>
  <si>
    <t>EF t</t>
  </si>
  <si>
    <t>equation 10.19</t>
  </si>
  <si>
    <t>equation 10.19 and 10.20</t>
  </si>
  <si>
    <t>CH4 emisisons from enteric fermentation</t>
  </si>
  <si>
    <t>(kg CH4.yr-1)</t>
  </si>
  <si>
    <t>CH4 enteric= N t*EF t</t>
  </si>
  <si>
    <t>CH4 enteric</t>
  </si>
  <si>
    <t>CH4 manure= N t*EF t</t>
  </si>
  <si>
    <t>CH4 manure</t>
  </si>
  <si>
    <t>Table 10.14 -10.16</t>
  </si>
  <si>
    <t>equation 10.22</t>
  </si>
  <si>
    <t>(MJ.day-1)</t>
  </si>
  <si>
    <t>equation 10.21</t>
  </si>
  <si>
    <t>CH4 enteric= (GE* Ym/100*365)/55.65</t>
  </si>
  <si>
    <t>CH4 enteric t</t>
  </si>
  <si>
    <t>CH4 emisisons from enteric fermentation per category</t>
  </si>
  <si>
    <t>CH4 conversion factor</t>
  </si>
  <si>
    <t>typical animal mass for livestock category t</t>
  </si>
  <si>
    <t>default N excretion rate</t>
  </si>
  <si>
    <t>annual N excretion for livestock category t</t>
  </si>
  <si>
    <t>Nex t</t>
  </si>
  <si>
    <t xml:space="preserve">Nrate t </t>
  </si>
  <si>
    <t>TAM t</t>
  </si>
  <si>
    <t>(kg N .animal-1.yr-1)</t>
  </si>
  <si>
    <t>kg N (1000 kg animal mass)-1 day-1</t>
  </si>
  <si>
    <t>(see Table 10.19)</t>
  </si>
  <si>
    <t>equation 10.30</t>
  </si>
  <si>
    <t>Nex t = Nrate t * TAM t /1000 * 365</t>
  </si>
  <si>
    <t>equation 2.2</t>
  </si>
  <si>
    <t>equation 2.7</t>
  </si>
  <si>
    <t xml:space="preserve">Land use category </t>
  </si>
  <si>
    <t>Land use during reporting year</t>
  </si>
  <si>
    <t>Initial land use</t>
  </si>
  <si>
    <t>Annual area of cropland with perennial woody biomass</t>
  </si>
  <si>
    <t>Annual growth rate of perenial woody biomass</t>
  </si>
  <si>
    <t>(tonnes C.ha-1.yr-1)</t>
  </si>
  <si>
    <t>Estimates or Tables 5.1</t>
  </si>
  <si>
    <t>Δ CB</t>
  </si>
  <si>
    <r>
      <t xml:space="preserve">Δ </t>
    </r>
    <r>
      <rPr>
        <sz val="12"/>
        <color theme="1"/>
        <rFont val="Calibri"/>
        <family val="2"/>
        <scheme val="minor"/>
      </rPr>
      <t>CG</t>
    </r>
  </si>
  <si>
    <t>Δ CL</t>
  </si>
  <si>
    <t>Annual carbon stock in biomass removed (removal or harvest)</t>
  </si>
  <si>
    <t>(tonnes C.yr-1)</t>
  </si>
  <si>
    <t>Δ CB=A*(Δ CG-Δ CL)</t>
  </si>
  <si>
    <t>Cropland</t>
  </si>
  <si>
    <t>Annual change in carbon stocks in mineral soils</t>
  </si>
  <si>
    <t>Area in the last year of an inventory period</t>
  </si>
  <si>
    <t>Reference carbon stock in the last year of inventory period</t>
  </si>
  <si>
    <t xml:space="preserve">Time dependence of stock change factors (D) or number of years over a single inventory time </t>
  </si>
  <si>
    <t>Stock change factor for the management regime</t>
  </si>
  <si>
    <t>Stock change for input of organic matter</t>
  </si>
  <si>
    <t>( tonnes C.ha-1)</t>
  </si>
  <si>
    <t>(yr)</t>
  </si>
  <si>
    <t>Stock change factor for land-use system or subsystem</t>
  </si>
  <si>
    <t>(tonnes C. yr-1)</t>
  </si>
  <si>
    <t>A (0)</t>
  </si>
  <si>
    <t>Table 2.3</t>
  </si>
  <si>
    <t>SOC ref (0)</t>
  </si>
  <si>
    <t>D</t>
  </si>
  <si>
    <t>F LU</t>
  </si>
  <si>
    <t>F MG</t>
  </si>
  <si>
    <t>F I</t>
  </si>
  <si>
    <t>Δ C Mineral</t>
  </si>
  <si>
    <t xml:space="preserve"> Δ C Mineral as in equation 2.25</t>
  </si>
  <si>
    <t>Equation 2.25; formulation B</t>
  </si>
  <si>
    <t xml:space="preserve">Annual change in carbon stocks in organic soils </t>
  </si>
  <si>
    <t xml:space="preserve">Land area of cultivated organic soil </t>
  </si>
  <si>
    <t>L organic</t>
  </si>
  <si>
    <t>L organic= A*EF</t>
  </si>
  <si>
    <t>Emission factor for climate type</t>
  </si>
  <si>
    <t xml:space="preserve">Annual carbon loss from cultivated organic soils </t>
  </si>
  <si>
    <t>Equation 2.26</t>
  </si>
  <si>
    <t>(Table 5.6: Warm temp=10.0; Tropical/subtropical = 20.0)</t>
  </si>
  <si>
    <t>Annual change in soil organic carbon stock</t>
  </si>
  <si>
    <t>Annual change in carbon stocks in soils</t>
  </si>
  <si>
    <t>equation 2.6</t>
  </si>
  <si>
    <t xml:space="preserve">Annual change in inorganic carbon stocks from soils </t>
  </si>
  <si>
    <t>( assumed to be 0 unless estimated with Tier 3)</t>
  </si>
  <si>
    <t>Δ C inorganic</t>
  </si>
  <si>
    <t>Annual change in carbon stock in soils</t>
  </si>
  <si>
    <t>Δ C Soils</t>
  </si>
  <si>
    <t>Δ C Soils=ΔC Mineral- L organic + ΔC inorganic</t>
  </si>
  <si>
    <t>equation 2.24</t>
  </si>
  <si>
    <t xml:space="preserve">Amount of crop land of crop of farm </t>
  </si>
  <si>
    <t>( kg N .ha-1 .yr-1)</t>
  </si>
  <si>
    <t xml:space="preserve">Crop </t>
  </si>
  <si>
    <t>input of N from crop residue</t>
  </si>
  <si>
    <t>Fcr</t>
  </si>
  <si>
    <t>Ncr</t>
  </si>
  <si>
    <t>frac cr</t>
  </si>
  <si>
    <t>Fcr=A* Ncr*(1- frac cr)</t>
  </si>
  <si>
    <t xml:space="preserve">Amount of N in crop residues of crop </t>
  </si>
  <si>
    <t>CP</t>
  </si>
  <si>
    <t>Nintake = (GE/18.45) * (CP/6.25)</t>
  </si>
  <si>
    <t>(%)</t>
  </si>
  <si>
    <t>crude protein</t>
  </si>
  <si>
    <t>Nex (t)</t>
  </si>
  <si>
    <t>N intake (t)</t>
  </si>
  <si>
    <t>equation 10.31</t>
  </si>
  <si>
    <t xml:space="preserve">annual N excretion rates </t>
  </si>
  <si>
    <t>equation 10.32</t>
  </si>
  <si>
    <t>equation 10.24</t>
  </si>
  <si>
    <t xml:space="preserve">Gross energy intake </t>
  </si>
  <si>
    <t>Digestible energy</t>
  </si>
  <si>
    <t xml:space="preserve">Urinary energy </t>
  </si>
  <si>
    <t>DE</t>
  </si>
  <si>
    <t>( MJ.day-1)</t>
  </si>
  <si>
    <t>( kg VS.day-1 )</t>
  </si>
  <si>
    <t>volatile solid excretion per day on a dry-organic matter basis</t>
  </si>
  <si>
    <t xml:space="preserve"> ash content of manure calculated as a fraction of the dry matter feed intake (e.g., 0.08 for cattle). </t>
  </si>
  <si>
    <t>GHG balance</t>
  </si>
  <si>
    <t>Gross energy intake</t>
  </si>
  <si>
    <t>Maize</t>
  </si>
  <si>
    <t>Grassland</t>
  </si>
  <si>
    <t>conversion factor CO2-C to CO2 =44/12</t>
  </si>
  <si>
    <t>days</t>
  </si>
  <si>
    <t>B o</t>
  </si>
  <si>
    <t xml:space="preserve">maximum methane producing capacity for manure produced by livestock category </t>
  </si>
  <si>
    <t>(m3 CH4 kg-1 of VS excreted )</t>
  </si>
  <si>
    <t xml:space="preserve">t </t>
  </si>
  <si>
    <t>equation 10.23</t>
  </si>
  <si>
    <t>(MCF/100)*MS</t>
  </si>
  <si>
    <t>Ym</t>
  </si>
  <si>
    <t>VS=(GE*(1-(DE/100)+(UE*GE)*((1-ASH)/18.65)</t>
  </si>
  <si>
    <t>MCF</t>
  </si>
  <si>
    <t>Table 10.17, Tables 10.A-4 through 10.A-9, and page 10.43 for more information</t>
  </si>
  <si>
    <t>methane conversion factors for each manure management system by climate region</t>
  </si>
  <si>
    <t>EFt= (VS*365)*[Bo*0.67 kg/m3* SUM (( MCF/100)*MS)]</t>
  </si>
  <si>
    <t>Pasture</t>
  </si>
  <si>
    <t>EF3</t>
  </si>
  <si>
    <t>(kg N2O-N .kg N excr-1)</t>
  </si>
  <si>
    <t>N2O direct MMS</t>
  </si>
  <si>
    <t>Annual direct N2O from MMS</t>
  </si>
  <si>
    <t>N2O direct MMS= N t *N2O direct emisisons t</t>
  </si>
  <si>
    <t>direct N2O emissiosn per livestock and per MMS</t>
  </si>
  <si>
    <t>(kg N2O-N. animal-1.yr-1)</t>
  </si>
  <si>
    <t>(kg N.animal-1.yr-1)</t>
  </si>
  <si>
    <t>Emission factor for N2O emissions from atmospheric deposition of nitrogen on soils and water surfaces</t>
  </si>
  <si>
    <t>table 11.3</t>
  </si>
  <si>
    <t xml:space="preserve"> (kg N2O-N. kg NH3-N + NOx-N volatilised-1)</t>
  </si>
  <si>
    <t>(kg N2O. Yr-1)</t>
  </si>
  <si>
    <t>N2O indirect= Nvolatilization  * EF4* (44/28)</t>
  </si>
  <si>
    <t>T2</t>
  </si>
  <si>
    <t>T1</t>
  </si>
  <si>
    <r>
      <rPr>
        <sz val="12"/>
        <color rgb="FFFF0000"/>
        <rFont val="Calibri"/>
        <family val="2"/>
        <scheme val="minor"/>
      </rPr>
      <t>NexT2</t>
    </r>
    <r>
      <rPr>
        <sz val="12"/>
        <rFont val="Calibri"/>
        <family val="2"/>
        <scheme val="minor"/>
      </rPr>
      <t>*MS*EF3</t>
    </r>
  </si>
  <si>
    <r>
      <rPr>
        <sz val="12"/>
        <color rgb="FFFF0000"/>
        <rFont val="Calibri"/>
        <family val="2"/>
        <scheme val="minor"/>
      </rPr>
      <t>NexT1</t>
    </r>
    <r>
      <rPr>
        <sz val="12"/>
        <rFont val="Calibri"/>
        <family val="2"/>
        <scheme val="minor"/>
      </rPr>
      <t>*MS*EF3</t>
    </r>
  </si>
  <si>
    <r>
      <rPr>
        <sz val="12"/>
        <color rgb="FFFF0000"/>
        <rFont val="Calibri"/>
        <family val="2"/>
        <scheme val="minor"/>
      </rPr>
      <t>NexT1</t>
    </r>
    <r>
      <rPr>
        <sz val="12"/>
        <rFont val="Calibri"/>
        <family val="2"/>
        <scheme val="minor"/>
      </rPr>
      <t>*MS*FracGasMS</t>
    </r>
  </si>
  <si>
    <r>
      <rPr>
        <sz val="12"/>
        <color rgb="FFFF0000"/>
        <rFont val="Calibri"/>
        <family val="2"/>
        <scheme val="minor"/>
      </rPr>
      <t>NexT2</t>
    </r>
    <r>
      <rPr>
        <sz val="12"/>
        <rFont val="Calibri"/>
        <family val="2"/>
        <scheme val="minor"/>
      </rPr>
      <t>*MS*FracGasMS</t>
    </r>
  </si>
  <si>
    <r>
      <t>Nvolatilization</t>
    </r>
    <r>
      <rPr>
        <b/>
        <sz val="12"/>
        <color rgb="FFFF0000"/>
        <rFont val="Calibri"/>
        <family val="2"/>
        <scheme val="minor"/>
      </rPr>
      <t>(T1)</t>
    </r>
  </si>
  <si>
    <r>
      <t xml:space="preserve">Nvolatilization </t>
    </r>
    <r>
      <rPr>
        <b/>
        <sz val="12"/>
        <color rgb="FFFF0000"/>
        <rFont val="Calibri"/>
        <family val="2"/>
        <scheme val="minor"/>
      </rPr>
      <t>(T2)</t>
    </r>
  </si>
  <si>
    <r>
      <t xml:space="preserve">N2O indirect </t>
    </r>
    <r>
      <rPr>
        <b/>
        <sz val="12"/>
        <color rgb="FFFF0000"/>
        <rFont val="Calibri"/>
        <family val="2"/>
        <scheme val="minor"/>
      </rPr>
      <t>(T1)</t>
    </r>
  </si>
  <si>
    <t>Annual amount of manure N that is lost due to volatilisation of NH3 and Nox</t>
  </si>
  <si>
    <t xml:space="preserve">percent of managed manure N from a livestock category that volatilises as NH3 and Nox in the manure management system </t>
  </si>
  <si>
    <t xml:space="preserve">Annual amount of manure N from a livestock category that is lost due to volatilisation of NH3 and Nox in the manure management system </t>
  </si>
  <si>
    <t xml:space="preserve">Indirect N2O emissions due to volatilisation of  N from Manure Management </t>
  </si>
  <si>
    <r>
      <t>N2O indirect</t>
    </r>
    <r>
      <rPr>
        <b/>
        <sz val="12"/>
        <color rgb="FFFF0000"/>
        <rFont val="Calibri"/>
        <family val="2"/>
        <scheme val="minor"/>
      </rPr>
      <t>(T2)</t>
    </r>
  </si>
  <si>
    <t>equation 10.27</t>
  </si>
  <si>
    <t>equation 10.26</t>
  </si>
  <si>
    <t>Indirect N2O emissions (Equation 10.26 and 10.27) ( T1 &amp; T 2)</t>
  </si>
  <si>
    <t>(kg N retained .animal-1.yr-1)/(kg N intake . animal-1.yr-1)</t>
  </si>
  <si>
    <t>fraction of N intake that is retained by animal of species/category t</t>
  </si>
  <si>
    <t>Nex(t ) = Nintake(t ) * (1− Nretention(t) )</t>
  </si>
  <si>
    <t>animal type</t>
  </si>
  <si>
    <t xml:space="preserve">manure management system </t>
  </si>
  <si>
    <t>N loss from manure management system due to volatilisation of N-NH3 and N-Nox</t>
  </si>
  <si>
    <t>range of FracGasMS</t>
  </si>
  <si>
    <t>Table 10.22</t>
  </si>
  <si>
    <t>dairy cow</t>
  </si>
  <si>
    <t>Pit storage</t>
  </si>
  <si>
    <t>daily spread</t>
  </si>
  <si>
    <t>(10-40)</t>
  </si>
  <si>
    <t>(10-35)</t>
  </si>
  <si>
    <t>(5-60)</t>
  </si>
  <si>
    <t xml:space="preserve">Other cattle </t>
  </si>
  <si>
    <t xml:space="preserve">deep bedding </t>
  </si>
  <si>
    <t>(20-50)</t>
  </si>
  <si>
    <t>(10-65)</t>
  </si>
  <si>
    <t>(20-40)</t>
  </si>
  <si>
    <t xml:space="preserve">data available for swine and poultry too </t>
  </si>
  <si>
    <t>MMS</t>
  </si>
  <si>
    <t>Table 10.19</t>
  </si>
  <si>
    <t xml:space="preserve">Table 10.17 MCF values by temperature for manure management  systems </t>
  </si>
  <si>
    <t xml:space="preserve">system </t>
  </si>
  <si>
    <t>cool</t>
  </si>
  <si>
    <t>&lt;10</t>
  </si>
  <si>
    <t xml:space="preserve">Pasture / range / paddock </t>
  </si>
  <si>
    <t>MCF's by average annual temperature (C ) in (%)</t>
  </si>
  <si>
    <t xml:space="preserve">warm </t>
  </si>
  <si>
    <t>&gt;28</t>
  </si>
  <si>
    <t>solid storage</t>
  </si>
  <si>
    <t xml:space="preserve">Table 10.21 default emissions factors for direct N2O emissions from manure management systems </t>
  </si>
  <si>
    <t>system</t>
  </si>
  <si>
    <t>Emission factor for direct N2O from MMS</t>
  </si>
  <si>
    <t>(Kg N2O-N. kg Nitrogen excreeted-1)</t>
  </si>
  <si>
    <t>Solid storage</t>
  </si>
  <si>
    <t>AGB</t>
  </si>
  <si>
    <t>AGB=0.091 * (DBH)^2.472</t>
  </si>
  <si>
    <t xml:space="preserve">Ccontent </t>
  </si>
  <si>
    <t>tree species</t>
  </si>
  <si>
    <t xml:space="preserve">average diameter at breast height </t>
  </si>
  <si>
    <t>DBH</t>
  </si>
  <si>
    <t>(nb)</t>
  </si>
  <si>
    <t>(cm)</t>
  </si>
  <si>
    <t>(kg DW)</t>
  </si>
  <si>
    <t>Carbon content in biomass</t>
  </si>
  <si>
    <t>Average carbon content per tree of species (tr)</t>
  </si>
  <si>
    <t>tr</t>
  </si>
  <si>
    <t>( kg C. tr-1)</t>
  </si>
  <si>
    <t>Ctree</t>
  </si>
  <si>
    <t>Ctree=AGB* Ccontent</t>
  </si>
  <si>
    <t>nb tree</t>
  </si>
  <si>
    <t>*(44/12)</t>
  </si>
  <si>
    <t>( kg DW)</t>
  </si>
  <si>
    <t>AGBest</t>
  </si>
  <si>
    <t>AGB= AGBest  +(2.69/100 *AGBest)</t>
  </si>
  <si>
    <t xml:space="preserve"> MICCA project ( Kuyah et al 2012; Chave et Al. 2005</t>
  </si>
  <si>
    <t>Above ground biomass estimated ( Kuyah et al. 2012)</t>
  </si>
  <si>
    <t>Aboveground biomass corrected ( Chave et al. 2005)</t>
  </si>
  <si>
    <t>(kg C . kg DW-1)</t>
  </si>
  <si>
    <t>Tier 2</t>
  </si>
  <si>
    <r>
      <t>Emission factor for N</t>
    </r>
    <r>
      <rPr>
        <sz val="12"/>
        <color theme="1"/>
        <rFont val="Calibri"/>
        <family val="2"/>
        <scheme val="minor"/>
      </rPr>
      <t xml:space="preserve">2O emission from atmospheric deposition of N on soils and water surfaces </t>
    </r>
  </si>
  <si>
    <r>
      <t>Annual amount of N</t>
    </r>
    <r>
      <rPr>
        <sz val="12"/>
        <color theme="1"/>
        <rFont val="Calibri"/>
        <family val="2"/>
        <scheme val="minor"/>
      </rPr>
      <t xml:space="preserve">2O-N produced from atmospheric deposition of N volatilised from managed soils </t>
    </r>
  </si>
  <si>
    <t xml:space="preserve">Nex </t>
  </si>
  <si>
    <t>Nex (T2)</t>
  </si>
  <si>
    <t>Nex (T1)</t>
  </si>
  <si>
    <t xml:space="preserve">Livestock/ Species category </t>
  </si>
  <si>
    <t>annual N excretion for livestock category t (Tier 1)</t>
  </si>
  <si>
    <t>annual N excretion per animal for livestock category t (Tier 1)</t>
  </si>
  <si>
    <t>Annual N from manure handled in manure management system (s)</t>
  </si>
  <si>
    <t xml:space="preserve">Annual N from manure handled in manure management system (s) remaining after losses from volatilization </t>
  </si>
  <si>
    <t xml:space="preserve">Total Available Nitrogen from Manure management  for field application  </t>
  </si>
  <si>
    <t>( minus N losses via Volatilization and direct losses)</t>
  </si>
  <si>
    <t>Nex = Nex (T1)* nb of animals</t>
  </si>
  <si>
    <t>N MMs = Nex * Fraction MS</t>
  </si>
  <si>
    <t>N pasture</t>
  </si>
  <si>
    <t>N pasture= Nex * Fraction MS pasture</t>
  </si>
  <si>
    <t xml:space="preserve">N MMs solid </t>
  </si>
  <si>
    <t>N MMs Dry lot</t>
  </si>
  <si>
    <t>N1</t>
  </si>
  <si>
    <t>N 1 = N MMs Solid - N vol solid</t>
  </si>
  <si>
    <t xml:space="preserve">N1 = N MMs dry lot - N vol dry lot </t>
  </si>
  <si>
    <t>N2</t>
  </si>
  <si>
    <t>N2 = sum N1 - N direct loss</t>
  </si>
  <si>
    <t xml:space="preserve">All MMS </t>
  </si>
  <si>
    <t>annual N excretion per animal for livestock category t (Tier 2)</t>
  </si>
  <si>
    <t>annual N excretion for livestock category t (Tier 2)</t>
  </si>
  <si>
    <t>Nex = Nex (T2)* nb of animals</t>
  </si>
  <si>
    <t>calculated under 'ent fermentation' tab</t>
  </si>
  <si>
    <t>N flow calculations of total available N from manure for application to  fields</t>
  </si>
  <si>
    <t xml:space="preserve">Relative stock change factors for different management activities on cropland </t>
  </si>
  <si>
    <t>factor value type</t>
  </si>
  <si>
    <t xml:space="preserve">level </t>
  </si>
  <si>
    <t xml:space="preserve">moisture regime </t>
  </si>
  <si>
    <t xml:space="preserve">IPCC defaults </t>
  </si>
  <si>
    <t xml:space="preserve">temperature regime </t>
  </si>
  <si>
    <t>long term cultivated</t>
  </si>
  <si>
    <t xml:space="preserve">temperate/ Boreal </t>
  </si>
  <si>
    <t xml:space="preserve">tropical </t>
  </si>
  <si>
    <t xml:space="preserve">Tropical montane </t>
  </si>
  <si>
    <t xml:space="preserve">Dry </t>
  </si>
  <si>
    <t xml:space="preserve">Moist </t>
  </si>
  <si>
    <t>Moist/ Wet</t>
  </si>
  <si>
    <t>n/a</t>
  </si>
  <si>
    <t>Paddy rice</t>
  </si>
  <si>
    <t>All</t>
  </si>
  <si>
    <t>Dry/Moist/Wet</t>
  </si>
  <si>
    <t>Perenial/ Tree crop</t>
  </si>
  <si>
    <t>Set aside (&lt; 20 years)</t>
  </si>
  <si>
    <t>Moist/Wet</t>
  </si>
  <si>
    <t>Temperate/Boreal and Tropical</t>
  </si>
  <si>
    <t xml:space="preserve">Tropical Montane </t>
  </si>
  <si>
    <t>Tillage (F MG)</t>
  </si>
  <si>
    <t>Full</t>
  </si>
  <si>
    <t xml:space="preserve">Reduced </t>
  </si>
  <si>
    <t xml:space="preserve">Temperate/ Boreal </t>
  </si>
  <si>
    <t xml:space="preserve">Tropical </t>
  </si>
  <si>
    <t>TABLE 5.5</t>
  </si>
  <si>
    <t>No-till</t>
  </si>
  <si>
    <t>Land use           (F LU)</t>
  </si>
  <si>
    <t>Input (Ft)</t>
  </si>
  <si>
    <t>Low</t>
  </si>
  <si>
    <t>Medium</t>
  </si>
  <si>
    <t>High without Manure</t>
  </si>
  <si>
    <t>High with Manure</t>
  </si>
  <si>
    <t xml:space="preserve">CROPLAND REMAINING CROPLAND </t>
  </si>
  <si>
    <t>TABLE 6.2</t>
  </si>
  <si>
    <t xml:space="preserve">GRASSLAND REMAINING GRASS LAND </t>
  </si>
  <si>
    <t>Sub-Total</t>
  </si>
  <si>
    <t xml:space="preserve">Relative stock change factors for grassland management  </t>
  </si>
  <si>
    <t>Land Use (F LU)</t>
  </si>
  <si>
    <t>Factor</t>
  </si>
  <si>
    <t>Level</t>
  </si>
  <si>
    <t xml:space="preserve">Climate regime </t>
  </si>
  <si>
    <t>IPCC Default</t>
  </si>
  <si>
    <t>all</t>
  </si>
  <si>
    <t>all permanent grassland is addisgned a land use factor</t>
  </si>
  <si>
    <t xml:space="preserve">represents non degraded  and sustainable managed grassland but without significant management improvements. </t>
  </si>
  <si>
    <t>Moderately degraded grassland</t>
  </si>
  <si>
    <t xml:space="preserve">severly degraded </t>
  </si>
  <si>
    <t>Management    (F MG)</t>
  </si>
  <si>
    <t xml:space="preserve">Nominally managed </t>
  </si>
  <si>
    <t>represents overgrazed or moderatly degraded grassland, with somewhat reduced productivity  ( relative to the native or nominally managed grassland) and receiving no management inputs</t>
  </si>
  <si>
    <t xml:space="preserve">Implies major long term loss of productivity and vegetation cover, due to severe mechanical damage to the vegetation and/ or soil erosion . </t>
  </si>
  <si>
    <t xml:space="preserve">definition </t>
  </si>
  <si>
    <t xml:space="preserve">Improved grassland </t>
  </si>
  <si>
    <t>Tropical</t>
  </si>
  <si>
    <t>represents grassland which is sustainably managed with moderate grazing pressure and that receive at least one improvement ( eg. Fertilization , species imrpovemetn, irrigation…)</t>
  </si>
  <si>
    <t>Input (applied only to improve grassland)( F I)</t>
  </si>
  <si>
    <t>High</t>
  </si>
  <si>
    <t>Table 5.5 cropland;Table 6.2 Grassland</t>
  </si>
  <si>
    <t>TABLE 5.1</t>
  </si>
  <si>
    <t>Stock change factors ( F LU, F MG F I) for land-use conversions to cropland</t>
  </si>
  <si>
    <t>Climate regime</t>
  </si>
  <si>
    <t>IPCC default</t>
  </si>
  <si>
    <t xml:space="preserve">Definition </t>
  </si>
  <si>
    <t>Land use</t>
  </si>
  <si>
    <t>Native forest or grassland (non-degraded)</t>
  </si>
  <si>
    <t>shifting cultivation-shortened fallow</t>
  </si>
  <si>
    <t>shifting cultivation-mature fallow</t>
  </si>
  <si>
    <t xml:space="preserve"> represents native or ong-term , non degraded and sustainably manageg forest and grasslands.</t>
  </si>
  <si>
    <t>Permanent shifting cultivation, where tropical forest or woodland is cleared for planting of annual crops for a short time (eg 3-5 yrs) period and then abandoned for regrowth</t>
  </si>
  <si>
    <t>Factor value type</t>
  </si>
  <si>
    <r>
      <t>ha</t>
    </r>
    <r>
      <rPr>
        <vertAlign val="superscript"/>
        <sz val="12"/>
        <rFont val="Calibri"/>
        <family val="2"/>
        <scheme val="minor"/>
      </rPr>
      <t>-1</t>
    </r>
  </si>
  <si>
    <t xml:space="preserve">Manure-Methane </t>
  </si>
  <si>
    <r>
      <t>Manure-Direct N</t>
    </r>
    <r>
      <rPr>
        <vertAlign val="subscript"/>
        <sz val="12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</si>
  <si>
    <r>
      <t>Manure-Indirect N</t>
    </r>
    <r>
      <rPr>
        <vertAlign val="subscript"/>
        <sz val="12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</si>
  <si>
    <t xml:space="preserve">Enteric fermentation-Methane </t>
  </si>
  <si>
    <r>
      <t>Soil-Direct N</t>
    </r>
    <r>
      <rPr>
        <vertAlign val="subscript"/>
        <sz val="12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</si>
  <si>
    <r>
      <t>Soil-Indirect N</t>
    </r>
    <r>
      <rPr>
        <vertAlign val="subscript"/>
        <sz val="12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</si>
  <si>
    <t>Rice production-Methane</t>
  </si>
  <si>
    <t>Sources and Sinks</t>
  </si>
  <si>
    <t>select</t>
  </si>
  <si>
    <t>TIER 1</t>
  </si>
  <si>
    <t>Soil</t>
  </si>
  <si>
    <t>Subcategories /Fields</t>
  </si>
  <si>
    <t>( min. 2.5 cm)</t>
  </si>
  <si>
    <t>Cremoved</t>
  </si>
  <si>
    <t>C stock in woody biomass balance</t>
  </si>
  <si>
    <t>C stock bal = C biofarm - C removed</t>
  </si>
  <si>
    <t xml:space="preserve">C stock bal </t>
  </si>
  <si>
    <t>with T2 N excretion rate</t>
  </si>
  <si>
    <t>with T1 N excretion rate</t>
  </si>
  <si>
    <t>CALCULATION OF VOLATILE SOLID EXCRETION RATES AND  OF METHANE EMMISSIONS FROM MANURE MANGEMENT (Tier 2)</t>
  </si>
  <si>
    <t>Anthropogenic N input type from Urine and dung inputs to grazed soils</t>
  </si>
  <si>
    <t>Fprp cattle; N deposited by grazing animals on pasture, paddock and range</t>
  </si>
  <si>
    <t>Fprp sheep ; N deposited by grazing animals on pasture, paddock and range</t>
  </si>
  <si>
    <r>
      <t>Anthropogenic N input types to estimate annual direct N2O-N emissions produced</t>
    </r>
    <r>
      <rPr>
        <sz val="12"/>
        <color rgb="FFFF0000"/>
        <rFont val="Calibri"/>
        <family val="2"/>
        <scheme val="minor"/>
      </rPr>
      <t xml:space="preserve"> from flooded rice</t>
    </r>
  </si>
  <si>
    <t xml:space="preserve">Fsn; N in synthetic fertilizers </t>
  </si>
  <si>
    <t>INDIRECT N2O EMISSIONS</t>
  </si>
  <si>
    <t>DIRECT N20 EMISSIONS</t>
  </si>
  <si>
    <t xml:space="preserve">CALCULATIONS OF INPUT OF NITROGEN FROM CROP RESIDUES </t>
  </si>
  <si>
    <t>RICE</t>
  </si>
  <si>
    <t>SOC</t>
  </si>
  <si>
    <t>IPCC</t>
  </si>
  <si>
    <t>Rice field1</t>
  </si>
  <si>
    <t>Rice field2</t>
  </si>
  <si>
    <t>Rice field3</t>
  </si>
  <si>
    <t>Rice field4</t>
  </si>
  <si>
    <t>Rice field5</t>
  </si>
  <si>
    <t xml:space="preserve">Rice ecosystem type </t>
  </si>
  <si>
    <t>Rice fields</t>
  </si>
  <si>
    <t>Crop product</t>
  </si>
  <si>
    <t>DM content (%)</t>
  </si>
  <si>
    <t>Average Body weight (kg)</t>
  </si>
  <si>
    <t>Calves</t>
  </si>
  <si>
    <t>lambs (less 1 yr old)</t>
  </si>
  <si>
    <t>sheep</t>
  </si>
  <si>
    <t>Table 10.12+10.13</t>
  </si>
  <si>
    <t xml:space="preserve">Total Available Nitrogen from collected Manure used  for field application  </t>
  </si>
  <si>
    <t xml:space="preserve">The storage of manure , typically for a period of several months , in unconfined piles or stacks. Manure is able to be stacked du to the presence of a suffucient amout of bedding material or loss of moisture by evaporation. </t>
  </si>
  <si>
    <t xml:space="preserve">Dry lot </t>
  </si>
  <si>
    <t xml:space="preserve">The manure from pasture and range grazing animals is allowed to lie as deposited, and is not managed. </t>
  </si>
  <si>
    <t>-</t>
  </si>
  <si>
    <t>Area</t>
  </si>
  <si>
    <t>Energy requirement (MJ/year)</t>
  </si>
  <si>
    <t>IPCC Table 10.11</t>
  </si>
  <si>
    <t xml:space="preserve">total </t>
  </si>
  <si>
    <t>Sorghum</t>
  </si>
  <si>
    <t>Rice</t>
  </si>
  <si>
    <t>Groundnut</t>
  </si>
  <si>
    <t>Average Harvest index</t>
  </si>
  <si>
    <t>Field 2</t>
  </si>
  <si>
    <t>Field 3</t>
  </si>
  <si>
    <t xml:space="preserve">Fon; N in animal manure,comopst, sewage sludge, other </t>
  </si>
  <si>
    <t xml:space="preserve"> equation 2.27</t>
  </si>
  <si>
    <t>table 2.6</t>
  </si>
  <si>
    <t>table 2.5</t>
  </si>
  <si>
    <t>CO2, CO, CH4, N2O, Nox</t>
  </si>
  <si>
    <t>( kg animal-1)</t>
  </si>
  <si>
    <t>kg N. (1000 kg animal mass)-1 day-1</t>
  </si>
  <si>
    <t>Grassland 1</t>
  </si>
  <si>
    <t>C stock change in woody biomass</t>
  </si>
  <si>
    <t xml:space="preserve">Total annual removal amount </t>
  </si>
  <si>
    <t xml:space="preserve">Annual growth </t>
  </si>
  <si>
    <t>(kg C.yr-1)</t>
  </si>
  <si>
    <t xml:space="preserve">Fraction of livestock category t's manure handled using manure management systems </t>
  </si>
  <si>
    <t>CH4 emissions from manure management</t>
  </si>
  <si>
    <t>N2O TOTAL= N2O N Inputs +N2O Nprp</t>
  </si>
  <si>
    <t>Harvest area</t>
  </si>
  <si>
    <t>Rice ecosystem  type</t>
  </si>
  <si>
    <t xml:space="preserve">wtaer regime during cultivation </t>
  </si>
  <si>
    <t xml:space="preserve">select </t>
  </si>
  <si>
    <t>Field 4</t>
  </si>
  <si>
    <t>Field 5</t>
  </si>
  <si>
    <t xml:space="preserve">TOTAL </t>
  </si>
  <si>
    <t xml:space="preserve">Mass of fuel available for combustion </t>
  </si>
  <si>
    <t>Mb</t>
  </si>
  <si>
    <t>Combustion factor</t>
  </si>
  <si>
    <t>(dmnl)</t>
  </si>
  <si>
    <t>Cf</t>
  </si>
  <si>
    <t>Emission factor</t>
  </si>
  <si>
    <t>(g.kg-1 DM burnt)</t>
  </si>
  <si>
    <t>Gef</t>
  </si>
  <si>
    <t xml:space="preserve">Amount of GHG emissions from fire </t>
  </si>
  <si>
    <t>(tonnes of each GHG)</t>
  </si>
  <si>
    <t>Lfire</t>
  </si>
  <si>
    <t>equation 2.27</t>
  </si>
  <si>
    <t>for agricultural residues, mainly maize</t>
  </si>
  <si>
    <t>L=A*Mb*Cf*Gef* 10-3</t>
  </si>
  <si>
    <t>CO2</t>
  </si>
  <si>
    <t>CO</t>
  </si>
  <si>
    <t>CH4</t>
  </si>
  <si>
    <t>Nox</t>
  </si>
  <si>
    <t>inputs</t>
  </si>
  <si>
    <t>t CO2 eq</t>
  </si>
  <si>
    <t>Irrigated-Continuously flooded</t>
  </si>
  <si>
    <t>Rainfed-regular rainfed</t>
  </si>
  <si>
    <t>Rainfed-drought prone</t>
  </si>
  <si>
    <t>Rainfed-deep water</t>
  </si>
  <si>
    <t>flooded pre-season (&lt;30 days)</t>
  </si>
  <si>
    <t>flooded pre-season (&gt;30 days)</t>
  </si>
  <si>
    <t>Intermittently flooded-single aeration</t>
  </si>
  <si>
    <t>FOR LOOKUP FUNCTIONS</t>
  </si>
  <si>
    <t>Rice ecosystem Reference Table 5.12</t>
  </si>
  <si>
    <t xml:space="preserve">MMS: Manure management systems definitions </t>
  </si>
  <si>
    <t>Pasture/range/paddock</t>
  </si>
  <si>
    <t>Long term cultivated, temperate/boreal, dry</t>
  </si>
  <si>
    <t>Long term cultivated, temperate/boreal, moist</t>
  </si>
  <si>
    <t xml:space="preserve">Long term cultivated, tropical, dry </t>
  </si>
  <si>
    <t>Long term cultivated, tropical, moist/wet</t>
  </si>
  <si>
    <t>Long term cultivated, tropical montane, all</t>
  </si>
  <si>
    <t>Perenial/tree crop</t>
  </si>
  <si>
    <t>Set aside (&lt; 20 years), temperate/boreal and tropical, dry</t>
  </si>
  <si>
    <t>Set aside (&lt; 20 years), temperate/boreal and tropical, moist/wet</t>
  </si>
  <si>
    <t>Set aside (&lt; 20 years),tropical montane, all</t>
  </si>
  <si>
    <t>Reduced, temperate/boreal, dry</t>
  </si>
  <si>
    <t>Reduced, temperate/boreal, moist</t>
  </si>
  <si>
    <t>Reduced, tropical, dry</t>
  </si>
  <si>
    <t>Reduced, tropical, moist</t>
  </si>
  <si>
    <t xml:space="preserve">Reduced, tropical montane, all </t>
  </si>
  <si>
    <t>No-till, temperate/boreal, dry</t>
  </si>
  <si>
    <t>No-till, temperate/boreal, moist</t>
  </si>
  <si>
    <t>No-till, tropical, dry</t>
  </si>
  <si>
    <t>No-till, tropical, moist/wet</t>
  </si>
  <si>
    <t>No-till, tropical montane, all</t>
  </si>
  <si>
    <t>Low, temperate/boreal, dry</t>
  </si>
  <si>
    <t>Low, temperate/boreal, moist</t>
  </si>
  <si>
    <t>Low, tropical, dry</t>
  </si>
  <si>
    <t>Low, tropical, moist</t>
  </si>
  <si>
    <t>Low, tropical montane, all</t>
  </si>
  <si>
    <t>Medium, all</t>
  </si>
  <si>
    <t>High w/OUT manure, temperate/boral and tropical, dry</t>
  </si>
  <si>
    <t>High w/OUT manure, temperate/boral and tropical, moist/wet</t>
  </si>
  <si>
    <t>High w/OUT manure, tropical montane</t>
  </si>
  <si>
    <t>High with manure, temperate/boral and tropical, moist/wet</t>
  </si>
  <si>
    <t>High with manure, temperate/boral and tropical, dry</t>
  </si>
  <si>
    <t>High with manure, tropical montane</t>
  </si>
  <si>
    <t>Applies to improved grassland where one or more additional management inputs/imrpovements have been used (beyond that is required to be classified as improved grassland)</t>
  </si>
  <si>
    <t>Nominally managed</t>
  </si>
  <si>
    <t>Moderately degraded grassland, temperate/boreal</t>
  </si>
  <si>
    <t>Moderately degraded grassland, tropical montane</t>
  </si>
  <si>
    <t>Moderately degraded grassland, tropical</t>
  </si>
  <si>
    <t>Severely degraded</t>
  </si>
  <si>
    <t>Improved grassland, temperate/boreal</t>
  </si>
  <si>
    <t>Improved grassland, tropical</t>
  </si>
  <si>
    <t xml:space="preserve">Medium </t>
  </si>
  <si>
    <t>Improved grassland, tropical montane</t>
  </si>
  <si>
    <t>none</t>
  </si>
  <si>
    <t>Organic amendment inputs</t>
  </si>
  <si>
    <t>Rate of application</t>
  </si>
  <si>
    <t>Input</t>
  </si>
  <si>
    <t>Agroecology</t>
  </si>
  <si>
    <t>N content input</t>
  </si>
  <si>
    <t>Mineral fertilizer</t>
  </si>
  <si>
    <t>Manure</t>
  </si>
  <si>
    <t>Atomospheric deposition</t>
  </si>
  <si>
    <t>Crop yield</t>
  </si>
  <si>
    <t>Crop residue</t>
  </si>
  <si>
    <t>Gaseous losses</t>
  </si>
  <si>
    <t>Erosion</t>
  </si>
  <si>
    <t>Area_tot (ha)</t>
  </si>
  <si>
    <t>Rainfall (mm/year)</t>
  </si>
  <si>
    <t>SoilN (g/kg)</t>
  </si>
  <si>
    <t>SoilC (g/kg)</t>
  </si>
  <si>
    <t>Soilclay (%)</t>
  </si>
  <si>
    <t>FORMULA</t>
  </si>
  <si>
    <t>Land, soil &amp; climate</t>
  </si>
  <si>
    <t>fertilizer (kg/ha)*N fertilizer (kg/kg)*crop area (ha)</t>
  </si>
  <si>
    <t>area*manure (kg/ha)*(N manure*manure lost due to volitalization)</t>
  </si>
  <si>
    <t>0.14*SQRT(rainfall (mm/yr)*area (ha)</t>
  </si>
  <si>
    <r>
      <t>Non-symbiotic N fixation (2+(rainfall (mm)-1350)</t>
    </r>
    <r>
      <rPr>
        <sz val="11"/>
        <color theme="1"/>
        <rFont val="Calibri"/>
        <family val="2"/>
      </rPr>
      <t>*0.005) + Symbiotic N-fixation (% of uptake attributed to N fixation i.e 50% ×Total N uptake i.e N content in harvested crop(kg/kg)+ N content in crop residue(kg/kg)*area(ha)</t>
    </r>
  </si>
  <si>
    <t>yield (kg/ha)*N crop* crop area (ha)</t>
  </si>
  <si>
    <t>N content in harvested product*yield of crop (kg/ha)*crop area(ha)</t>
  </si>
  <si>
    <r>
      <rPr>
        <b/>
        <sz val="12"/>
        <color theme="1"/>
        <rFont val="Calibri"/>
        <family val="2"/>
        <scheme val="minor"/>
      </rPr>
      <t>area</t>
    </r>
    <r>
      <rPr>
        <sz val="12"/>
        <color theme="1"/>
        <rFont val="Calibri"/>
        <family val="2"/>
        <scheme val="minor"/>
      </rPr>
      <t xml:space="preserve"> (ha)*</t>
    </r>
    <r>
      <rPr>
        <b/>
        <sz val="12"/>
        <color theme="1"/>
        <rFont val="Calibri"/>
        <family val="2"/>
        <scheme val="minor"/>
      </rPr>
      <t>N content in residue</t>
    </r>
    <r>
      <rPr>
        <sz val="12"/>
        <color theme="1"/>
        <rFont val="Calibri"/>
        <family val="2"/>
        <scheme val="minor"/>
      </rPr>
      <t xml:space="preserve"> (kg/kg)*kg/ha </t>
    </r>
    <r>
      <rPr>
        <b/>
        <sz val="12"/>
        <color theme="1"/>
        <rFont val="Calibri"/>
        <family val="2"/>
        <scheme val="minor"/>
      </rPr>
      <t xml:space="preserve">residue removed </t>
    </r>
    <r>
      <rPr>
        <sz val="12"/>
        <color theme="1"/>
        <rFont val="Calibri"/>
        <family val="2"/>
        <scheme val="minor"/>
      </rPr>
      <t>(i.e crop residue removal from field*yield*residue index conversion)</t>
    </r>
  </si>
  <si>
    <r>
      <t>(SoilN +Fertilizer N (kg/kg)*fertilizer (kg/ha)*(2.1*10</t>
    </r>
    <r>
      <rPr>
        <sz val="11"/>
        <color theme="1"/>
        <rFont val="Calibri"/>
        <family val="2"/>
      </rPr>
      <t xml:space="preserve">ˉ²*rainfall+0.71) </t>
    </r>
  </si>
  <si>
    <r>
      <t>(SoilN (kg/kg) + (Fertilizer N *fertilizer (kg/ha))*(2.1*10</t>
    </r>
    <r>
      <rPr>
        <sz val="11"/>
        <color theme="1"/>
        <rFont val="Calibri"/>
        <family val="2"/>
      </rPr>
      <t>ˉ²*rainfall+3.9))*area</t>
    </r>
  </si>
  <si>
    <t>(SoilN +(Fertilizer N (kg/kg)*Fertilizer (kg/ha))*(2.1*10ˉ³*rainfall+5.4) )*crop area</t>
  </si>
  <si>
    <t>(SoilN +(Fertilizer N (kg/kg)*fertilizer (kg/ha))*(-9.4+0.13*clay+(0.01*rainfall)))*crop area</t>
  </si>
  <si>
    <t>C (crop cover) factor</t>
  </si>
  <si>
    <t>Erosivity of rainfall</t>
  </si>
  <si>
    <t>Erodibility of soil</t>
  </si>
  <si>
    <t>Length and steepness of slope</t>
  </si>
  <si>
    <t>Cover factor</t>
  </si>
  <si>
    <t xml:space="preserve">Management factor </t>
  </si>
  <si>
    <t>R</t>
  </si>
  <si>
    <t>K</t>
  </si>
  <si>
    <t>LS</t>
  </si>
  <si>
    <t>C</t>
  </si>
  <si>
    <t>P</t>
  </si>
  <si>
    <r>
      <rPr>
        <b/>
        <sz val="11"/>
        <color theme="1"/>
        <rFont val="Calibri"/>
        <family val="2"/>
        <scheme val="minor"/>
      </rPr>
      <t>From PPU</t>
    </r>
    <r>
      <rPr>
        <sz val="12"/>
        <color theme="1"/>
        <rFont val="Calibri"/>
        <family val="2"/>
        <scheme val="minor"/>
      </rPr>
      <t>: (Soil loss from RUSLE calculations (kg/ha/year)*Crop cover factor*Soil N*Enrichment factor (1.5))*crop area (ha)</t>
    </r>
  </si>
  <si>
    <t>N manure, N fertilizer &amp; volatalization</t>
  </si>
  <si>
    <t>N content</t>
  </si>
  <si>
    <t>None</t>
  </si>
  <si>
    <t xml:space="preserve">None </t>
  </si>
  <si>
    <t>TIER 2</t>
  </si>
  <si>
    <t>Crop name</t>
  </si>
  <si>
    <t>residue removal from field (fraction)</t>
  </si>
  <si>
    <t>OVERALL SOIL IMPACTS</t>
  </si>
  <si>
    <t>mm/yr</t>
  </si>
  <si>
    <t>FAO</t>
  </si>
  <si>
    <t>g/kg</t>
  </si>
  <si>
    <t>Annual precipitation</t>
  </si>
  <si>
    <t xml:space="preserve">SoilN </t>
  </si>
  <si>
    <t xml:space="preserve">Soil type </t>
  </si>
  <si>
    <t xml:space="preserve">SoilC </t>
  </si>
  <si>
    <t>Cowpea (Vigna unguiculata) - crop residue</t>
  </si>
  <si>
    <t>Cowpea (Vigna unguiculata) - grain</t>
  </si>
  <si>
    <t>Cowpea (Vigna unguiculata) - meal</t>
  </si>
  <si>
    <t>Groundnut (Arachis hypogaea) - crop residue</t>
  </si>
  <si>
    <t>Groundnut (Arachis hypogaea) - Kernel</t>
  </si>
  <si>
    <t>Groundnut (Arachis hypogaea) - seed hulls</t>
  </si>
  <si>
    <t>Rhodes grass (Chloris gayana) - hay</t>
  </si>
  <si>
    <t>Sugarcane (Saccharum officinarum) - crop residue</t>
  </si>
  <si>
    <t>Sugarcane (Saccharum officinarum) - molasses</t>
  </si>
  <si>
    <t>Feed</t>
  </si>
  <si>
    <t>N MMS1</t>
  </si>
  <si>
    <t>N MMS2</t>
  </si>
  <si>
    <t>Average</t>
  </si>
  <si>
    <t>CP(%)</t>
  </si>
  <si>
    <t>DE (fraction)</t>
  </si>
  <si>
    <r>
      <t>Equation 10.25-</t>
    </r>
    <r>
      <rPr>
        <b/>
        <sz val="12"/>
        <color rgb="FFFF0000"/>
        <rFont val="Calibri"/>
        <family val="2"/>
        <scheme val="minor"/>
      </rPr>
      <t xml:space="preserve"> T1</t>
    </r>
  </si>
  <si>
    <r>
      <t>Equation 10.25-</t>
    </r>
    <r>
      <rPr>
        <b/>
        <sz val="12"/>
        <color rgb="FFFF0000"/>
        <rFont val="Calibri"/>
        <family val="2"/>
        <scheme val="minor"/>
      </rPr>
      <t>T2</t>
    </r>
  </si>
  <si>
    <t>Season 2</t>
  </si>
  <si>
    <t>Ccontent total tree</t>
  </si>
  <si>
    <t>(kg DW.tr-1.yr-1)</t>
  </si>
  <si>
    <t>(kg C.yr-1))</t>
  </si>
  <si>
    <t>Cgrowth</t>
  </si>
  <si>
    <t>kg CO2 eq. yr-1</t>
  </si>
  <si>
    <t>(kg C. yr-1)</t>
  </si>
  <si>
    <t xml:space="preserve">Tier 3 </t>
  </si>
  <si>
    <t>N loss from manure due to volatilization</t>
  </si>
  <si>
    <t>Crop inputs</t>
  </si>
  <si>
    <t>LIVESTOCK</t>
  </si>
  <si>
    <t>Yield (kg/ha) &amp; residue</t>
  </si>
  <si>
    <t>N balance</t>
  </si>
  <si>
    <t>Slope</t>
  </si>
  <si>
    <t>0-5</t>
  </si>
  <si>
    <t>Slope (%)</t>
  </si>
  <si>
    <t>Cultivated (agricultural) lands</t>
  </si>
  <si>
    <t>Source</t>
  </si>
  <si>
    <t>20-30</t>
  </si>
  <si>
    <t>5-10</t>
  </si>
  <si>
    <t>10-20</t>
  </si>
  <si>
    <t>30-50</t>
  </si>
  <si>
    <t>50-100</t>
  </si>
  <si>
    <t>p factor</t>
  </si>
  <si>
    <t>SOIL EROSION INPUT DATA</t>
  </si>
  <si>
    <t>Management (P) Factor</t>
  </si>
  <si>
    <t>Soil colour</t>
  </si>
  <si>
    <t>Black</t>
  </si>
  <si>
    <t>Brown</t>
  </si>
  <si>
    <t>Red</t>
  </si>
  <si>
    <t>Yellow</t>
  </si>
  <si>
    <t>Name/class</t>
  </si>
  <si>
    <t>Andosol</t>
  </si>
  <si>
    <t>Cambisol</t>
  </si>
  <si>
    <t>Lixisol</t>
  </si>
  <si>
    <t>Fluvisol</t>
  </si>
  <si>
    <t>Estimated K Value</t>
  </si>
  <si>
    <t>Erodibility of soil (K Value)</t>
  </si>
  <si>
    <t>All other types (Non-Agricultural)</t>
  </si>
  <si>
    <t>Soil type</t>
  </si>
  <si>
    <t>Vertisol</t>
  </si>
  <si>
    <t>Phaeozem</t>
  </si>
  <si>
    <t>Nitosol</t>
  </si>
  <si>
    <t>Xerosol</t>
  </si>
  <si>
    <t>Land cover</t>
  </si>
  <si>
    <t>C Factor</t>
  </si>
  <si>
    <t>Dense forest</t>
  </si>
  <si>
    <t>Other forest</t>
  </si>
  <si>
    <t>Badlands hard</t>
  </si>
  <si>
    <t>Badlands soft</t>
  </si>
  <si>
    <t>Cereals</t>
  </si>
  <si>
    <t>Pulses</t>
  </si>
  <si>
    <t>Degraded grass</t>
  </si>
  <si>
    <t>Fallow hard</t>
  </si>
  <si>
    <t>Fallow plouged</t>
  </si>
  <si>
    <t>Ethiopian teff</t>
  </si>
  <si>
    <t>Continuous fallow</t>
  </si>
  <si>
    <t>Cover  (C) factor</t>
  </si>
  <si>
    <t>Landuse System</t>
  </si>
  <si>
    <t>LS Factor</t>
  </si>
  <si>
    <t>LS factor</t>
  </si>
  <si>
    <t>Intensive</t>
  </si>
  <si>
    <t>Semi-Intensive</t>
  </si>
  <si>
    <t>Extensive</t>
  </si>
  <si>
    <t xml:space="preserve">Soil clay </t>
  </si>
  <si>
    <t>Crop</t>
  </si>
  <si>
    <t>Dense grass</t>
  </si>
  <si>
    <t>Fertilizer in general (kg N/kg)</t>
  </si>
  <si>
    <t>Manure in general (kg N/kg)</t>
  </si>
  <si>
    <t>g/cm3</t>
  </si>
  <si>
    <t>reference to calculated SOC based on BK</t>
  </si>
  <si>
    <t>https://www.agric.wa.gov.au/soil-carbon/measuring-and-reporting-soil-organic-carbon?page=0%2C2</t>
  </si>
  <si>
    <t>m</t>
  </si>
  <si>
    <t>.</t>
  </si>
  <si>
    <t>Burning</t>
  </si>
  <si>
    <t xml:space="preserve">Fraction of residue burned </t>
  </si>
  <si>
    <t>amount of crop residue (t/ha-1)</t>
  </si>
  <si>
    <t>Amount of crop residue burned (t)</t>
  </si>
  <si>
    <t>(tonnes)</t>
  </si>
  <si>
    <t xml:space="preserve">Amdihun, A et al (2014). Modelling Soil Erosion Dynamics in The Blue Nile (Abbay) Basin. A Landscape Approach. Research Journal of environmental scienceS. </t>
  </si>
  <si>
    <t xml:space="preserve">Amdihun, A et al (2014). Modelling Soil Erosion Dynamics in The Blue Nile (Abbay) Basin. A Landscape Approach. Research Journal of environmental sciences. </t>
  </si>
  <si>
    <t>http://www.fao.org/docrep/012/k7930e/k7930e00.pdf</t>
  </si>
  <si>
    <t xml:space="preserve">equation for FPCM on page 18 </t>
  </si>
  <si>
    <t>kg FPCM-1</t>
  </si>
  <si>
    <t>http://www.sciencedirect.com/science/article/pii/S0889157504000146</t>
  </si>
  <si>
    <t xml:space="preserve">reference </t>
  </si>
  <si>
    <t>ME (MJ/kg fresh)</t>
  </si>
  <si>
    <t>ME (MJ/kg Fresh)</t>
  </si>
  <si>
    <t>Cleaned method of N</t>
  </si>
  <si>
    <t>Summary results</t>
  </si>
  <si>
    <t>Total GHG emissions</t>
  </si>
  <si>
    <t xml:space="preserve">GHG intensity </t>
  </si>
  <si>
    <t>On-farm</t>
  </si>
  <si>
    <t>Off-farm</t>
  </si>
  <si>
    <t>kg N. yr-1</t>
  </si>
  <si>
    <t>Leucaena</t>
  </si>
  <si>
    <t>ME content (MJ/kg DM)</t>
  </si>
  <si>
    <t>Source: From the FEAST DataBase</t>
  </si>
  <si>
    <t>Annual N deposited in pasture/range/paddock ON-FARM</t>
  </si>
  <si>
    <t>Annual N deposited in pasture/range/paddock OFF-FARM</t>
  </si>
  <si>
    <t>(using T1 N excreetion rates)</t>
  </si>
  <si>
    <t>(using T2 N excreetion rates)</t>
  </si>
  <si>
    <t>with T1 N rates</t>
  </si>
  <si>
    <t>with T2 N rates</t>
  </si>
  <si>
    <t>Soil clay content</t>
  </si>
  <si>
    <t xml:space="preserve">leaching </t>
  </si>
  <si>
    <t xml:space="preserve">Annual </t>
  </si>
  <si>
    <t xml:space="preserve">                                                                                                  </t>
  </si>
  <si>
    <t>Non-agricultural (all slope categories)</t>
  </si>
  <si>
    <t>Soil loss</t>
  </si>
  <si>
    <t>IN1 (kgN)</t>
  </si>
  <si>
    <t>IN2 (kgN)</t>
  </si>
  <si>
    <t>IN3 (kgN)</t>
  </si>
  <si>
    <t>OUT 1 (kgN)</t>
  </si>
  <si>
    <t>OUT2 (kgN)</t>
  </si>
  <si>
    <t>OUT3 (a) (kgN)</t>
  </si>
  <si>
    <t>OUT 3 (b) (kgN)</t>
  </si>
  <si>
    <t>OUT 3 (C) (kgN)</t>
  </si>
  <si>
    <t>OUT 3  (kgN)</t>
  </si>
  <si>
    <t>OUT4 (kgN)</t>
  </si>
  <si>
    <t>OUT5 (kgN)</t>
  </si>
  <si>
    <t>amount of soil (t /ha)</t>
  </si>
  <si>
    <t>Non-symbiotic N fixation</t>
  </si>
  <si>
    <t>Symbiotic N-fixation</t>
  </si>
  <si>
    <t>IN4(a) (kgN)</t>
  </si>
  <si>
    <t>IN4 (b) (kgN)</t>
  </si>
  <si>
    <t>OFF-FARM GRAZING</t>
  </si>
  <si>
    <t>Anthropogenic N input type from Urine and dung inputs to grazed soils-OFF FARM</t>
  </si>
  <si>
    <t>TIER 1 N excreetion rates</t>
  </si>
  <si>
    <t>TIER 2 N excreetion rates</t>
  </si>
  <si>
    <t>Annual direct N2ON emissions produced from off-farm grazing areas</t>
  </si>
  <si>
    <r>
      <t>OFF-Farm Soil-Direct N</t>
    </r>
    <r>
      <rPr>
        <vertAlign val="subscript"/>
        <sz val="12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</si>
  <si>
    <r>
      <t>OFF-Farm Soil-Indirect N</t>
    </r>
    <r>
      <rPr>
        <vertAlign val="subscript"/>
        <sz val="12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</t>
    </r>
  </si>
  <si>
    <t>Off-farm Soil</t>
  </si>
  <si>
    <t>Off-farm grassland</t>
  </si>
  <si>
    <t>direct N2O emissions per livestock and per MMS</t>
  </si>
  <si>
    <t>GHG emissions</t>
  </si>
  <si>
    <t>USDA nutrition data base entry #</t>
  </si>
  <si>
    <t>Energy  (kcal per FW 100g )</t>
  </si>
  <si>
    <t>Energy (kcal per 100 g DM)</t>
  </si>
  <si>
    <t xml:space="preserve"> t CO2 eq. / year</t>
  </si>
  <si>
    <t>Productivity / Energy</t>
  </si>
  <si>
    <t>Soil loss (t/ha/year)</t>
  </si>
  <si>
    <r>
      <t xml:space="preserve">Soil loss </t>
    </r>
    <r>
      <rPr>
        <b/>
        <sz val="10"/>
        <rFont val="Arial"/>
        <family val="2"/>
      </rPr>
      <t>(t/plot/ season)</t>
    </r>
  </si>
  <si>
    <t>assumed monthly rainfall the same (see inputs)</t>
  </si>
  <si>
    <t>Soil Erosion  ( t/farm/ time unit)</t>
  </si>
  <si>
    <t>N balance (kgN/year)</t>
  </si>
  <si>
    <t>Erosion  (t soil/year)</t>
  </si>
  <si>
    <t xml:space="preserve">SLOPE </t>
  </si>
  <si>
    <t>Flat (0-5%)</t>
  </si>
  <si>
    <t>Hilly (5-20%)</t>
  </si>
  <si>
    <t>Steep (20-30%)</t>
  </si>
  <si>
    <t>Extremely steep (30%+)</t>
  </si>
  <si>
    <t>GHG emission intensity</t>
  </si>
  <si>
    <t>Horizontal Slope Length (ft.)</t>
  </si>
  <si>
    <t>&lt;3</t>
  </si>
  <si>
    <t>Slope (m)</t>
  </si>
  <si>
    <t>Slope (ft)</t>
  </si>
  <si>
    <t>Horizontal slope length (m)</t>
  </si>
  <si>
    <t>Length of slope (m)</t>
  </si>
  <si>
    <t>Average soil erosion (t/ha/time)</t>
  </si>
  <si>
    <t>Ntot (kg/ha/ 20cm depth)</t>
  </si>
  <si>
    <t>N-mineralized (kg N/ha/yr)</t>
  </si>
  <si>
    <t>N leached (kg N/ha/yr) @clay &lt; 35%</t>
  </si>
  <si>
    <t>N leached (kg N/ha/yr) @clay &gt;35% and &lt;55%)</t>
  </si>
  <si>
    <t>Cowpea</t>
  </si>
  <si>
    <r>
      <t xml:space="preserve">Amdihun, A et al (2014). Modelling Soil Erosion Dynamics in The Blue Nile (Abbay) Basin. A Landscape Approach. </t>
    </r>
    <r>
      <rPr>
        <i/>
        <sz val="12"/>
        <rFont val="Calibri"/>
        <family val="2"/>
        <scheme val="minor"/>
      </rPr>
      <t>Research Journal of environmental sciences.</t>
    </r>
    <r>
      <rPr>
        <sz val="12"/>
        <rFont val="Calibri"/>
        <family val="2"/>
        <scheme val="minor"/>
      </rPr>
      <t xml:space="preserve"> </t>
    </r>
  </si>
  <si>
    <t>Fertilizer (kg N/ha)</t>
  </si>
  <si>
    <t>Yield (kg DM/ha)</t>
  </si>
  <si>
    <t>Crop residue (kg DM/ha)</t>
  </si>
  <si>
    <t>Res_remove (kg DM/ha)</t>
  </si>
  <si>
    <t>Ncrop (kg N/kg DM)</t>
  </si>
  <si>
    <t>Nres (kg N /kg DM)</t>
  </si>
  <si>
    <t>Nfertilizer (kgN/kg DM )</t>
  </si>
  <si>
    <t>N-fixing plant (Kg N/ha)</t>
  </si>
  <si>
    <t>Rainy season</t>
  </si>
  <si>
    <t>Energy req. season 1 (MJ)</t>
  </si>
  <si>
    <t>Energy req. season 2 (MJ)</t>
  </si>
  <si>
    <t>DMI required season1 (kg DM/yr)</t>
  </si>
  <si>
    <t>DMI required season 2 (kg DM/yr)</t>
  </si>
  <si>
    <t>Main product DM content fraction</t>
  </si>
  <si>
    <t>Main Product Dry Yield (t DM/ha)</t>
  </si>
  <si>
    <t>Crop residue  Fresh yield (t FW/ha)</t>
  </si>
  <si>
    <t>Crop residue  Dry Yield(t DM/ha)</t>
  </si>
  <si>
    <t xml:space="preserve"> Main product N conten (kg N/kg DM)</t>
  </si>
  <si>
    <t>N fixation by crop (kg N/ha/yr)</t>
  </si>
  <si>
    <t>Crop residue N content per area (kg N/ ha)</t>
  </si>
  <si>
    <t>Crop residue N content (kg N/kg DM)</t>
  </si>
  <si>
    <t>Crop residue DM content fraction</t>
  </si>
  <si>
    <t>Water content (g per 100 g)</t>
  </si>
  <si>
    <t>productivity</t>
  </si>
  <si>
    <t>Apart from the weight gains, we assume the following:</t>
  </si>
  <si>
    <r>
      <t>·</t>
    </r>
    <r>
      <rPr>
        <sz val="7"/>
        <color rgb="FF1F497D"/>
        <rFont val="Times New Roman"/>
        <family val="1"/>
      </rPr>
      <t xml:space="preserve">         </t>
    </r>
    <r>
      <rPr>
        <sz val="11"/>
        <color rgb="FF1F497D"/>
        <rFont val="Calibri"/>
        <family val="2"/>
        <scheme val="minor"/>
      </rPr>
      <t>Mortality is negligible</t>
    </r>
  </si>
  <si>
    <r>
      <t>·</t>
    </r>
    <r>
      <rPr>
        <sz val="7"/>
        <color rgb="FF1F497D"/>
        <rFont val="Times New Roman"/>
        <family val="1"/>
      </rPr>
      <t xml:space="preserve">         </t>
    </r>
    <r>
      <rPr>
        <sz val="11"/>
        <color rgb="FF1F497D"/>
        <rFont val="Calibri"/>
        <family val="2"/>
        <scheme val="minor"/>
      </rPr>
      <t>Per category, animals of different ages and calvings are equally divided throughout the year, so on average each year 50% of the calves become a heifers/steers and 50% of the heifers/steers become adults. Each calving results into average 0.5 calf during that year.</t>
    </r>
  </si>
  <si>
    <r>
      <t>·</t>
    </r>
    <r>
      <rPr>
        <sz val="7"/>
        <color rgb="FF1F497D"/>
        <rFont val="Times New Roman"/>
        <family val="1"/>
      </rPr>
      <t xml:space="preserve">         </t>
    </r>
    <r>
      <rPr>
        <sz val="11"/>
        <color rgb="FF1F497D"/>
        <rFont val="Calibri"/>
        <family val="2"/>
        <scheme val="minor"/>
      </rPr>
      <t>Only heifers or (especially) steers leave the farm (being sold)</t>
    </r>
  </si>
  <si>
    <t>ASSUMPTIONS:</t>
  </si>
  <si>
    <t xml:space="preserve">A simple model that produces total live weight gains in kg/year, based on average weight gains of calves and heifers/steers for three productivity levels. Just fill in the number of animals of each category, and the number of heifers/steers that leave the farm per year. </t>
  </si>
  <si>
    <t>Steers/heifers</t>
  </si>
  <si>
    <t>Production (kg/year)</t>
  </si>
  <si>
    <t>Milk (FPCM)</t>
  </si>
  <si>
    <t>Energy (kcal/year)</t>
  </si>
  <si>
    <t>Meat</t>
  </si>
  <si>
    <t>kg N per ha</t>
  </si>
  <si>
    <t>kgN</t>
  </si>
  <si>
    <t>Total Milk production (kg FPCM/yr)</t>
  </si>
  <si>
    <t>http://www.fao.org/agriculture/dairy-gateway/milk-and-milk-products/milk-composition/en/#.V-0RgCh96Uk</t>
  </si>
  <si>
    <t xml:space="preserve">GHG emissions from inorganic fertilizer production </t>
  </si>
  <si>
    <t>Fertilizer type</t>
  </si>
  <si>
    <t>Quantity used on farm</t>
  </si>
  <si>
    <t>Emission factor (kg CO2eq/kg fertilizer)</t>
  </si>
  <si>
    <t>GHG emissions (kg CO2eq/year)</t>
  </si>
  <si>
    <t>Urea</t>
  </si>
  <si>
    <t>CAN</t>
  </si>
  <si>
    <t>DAP</t>
  </si>
  <si>
    <t>NPK</t>
  </si>
  <si>
    <t xml:space="preserve">Lime </t>
  </si>
  <si>
    <t xml:space="preserve">Purchased Inorganic fertilizers </t>
  </si>
  <si>
    <t>Lime -application</t>
  </si>
  <si>
    <t xml:space="preserve">DAP </t>
  </si>
  <si>
    <t>%N</t>
  </si>
  <si>
    <t>emission factor (kg CO2eq/kg N)</t>
  </si>
  <si>
    <t>kg N per 1 kg of fertilzer</t>
  </si>
  <si>
    <t>emissions factor (kg CO2 eq/kg fertilizer)</t>
  </si>
  <si>
    <t xml:space="preserve">Off-farm emissions </t>
  </si>
  <si>
    <t>GHG emissions (kg CO2eq/ ha-1)</t>
  </si>
  <si>
    <t xml:space="preserve">Time spent in stable (fraction of day) </t>
  </si>
  <si>
    <r>
      <t xml:space="preserve">Time spent grazing  pasture/fields </t>
    </r>
    <r>
      <rPr>
        <b/>
        <sz val="11"/>
        <color theme="1"/>
        <rFont val="Calibri"/>
        <family val="2"/>
        <scheme val="minor"/>
      </rPr>
      <t>on-farm</t>
    </r>
    <r>
      <rPr>
        <sz val="11"/>
        <color theme="1"/>
        <rFont val="Calibri"/>
        <family val="2"/>
        <scheme val="minor"/>
      </rPr>
      <t xml:space="preserve"> (fraction of day) </t>
    </r>
  </si>
  <si>
    <r>
      <t xml:space="preserve">Time spent grazing </t>
    </r>
    <r>
      <rPr>
        <b/>
        <sz val="11"/>
        <color theme="1"/>
        <rFont val="Calibri"/>
        <family val="2"/>
        <scheme val="minor"/>
      </rPr>
      <t>off-farm</t>
    </r>
    <r>
      <rPr>
        <sz val="11"/>
        <color theme="1"/>
        <rFont val="Calibri"/>
        <family val="2"/>
        <scheme val="minor"/>
      </rPr>
      <t xml:space="preserve"> (fraction of day) </t>
    </r>
  </si>
  <si>
    <t>Collection of manure in stable (fraction)</t>
  </si>
  <si>
    <t>On-farm manure used as fertilizer (fraction of total on-farm manure collected)</t>
  </si>
  <si>
    <t>Livestock numbers, whereabouts, manure use</t>
  </si>
  <si>
    <t>Additional manure inputs and outputs</t>
  </si>
  <si>
    <t>Stable</t>
  </si>
  <si>
    <t>Yard</t>
  </si>
  <si>
    <t>Pasture/fields</t>
  </si>
  <si>
    <t>t/ha</t>
  </si>
  <si>
    <t>kg N/year</t>
  </si>
  <si>
    <t>Soil Erosion</t>
  </si>
  <si>
    <t>t soil/year</t>
  </si>
  <si>
    <t>kg N/ha/yr</t>
  </si>
  <si>
    <t>t soil/ha/yr</t>
  </si>
  <si>
    <t>Bulk density</t>
  </si>
  <si>
    <t>no of months/year</t>
  </si>
  <si>
    <t>Soil depth</t>
  </si>
  <si>
    <t xml:space="preserve">Water regime prior to rice cultivation </t>
  </si>
  <si>
    <t>Cultivation period</t>
  </si>
  <si>
    <t>Adult cattle - male</t>
  </si>
  <si>
    <t>LIVESTOCK FEEDING</t>
  </si>
  <si>
    <t>Year</t>
  </si>
  <si>
    <t>AME = 2500 kcal</t>
  </si>
  <si>
    <t xml:space="preserve">AME Days </t>
  </si>
  <si>
    <t>Total AME days</t>
  </si>
  <si>
    <t>Total energy (kcal/year)</t>
  </si>
  <si>
    <t xml:space="preserve">t CO2e /ha </t>
  </si>
  <si>
    <t>t CO2e</t>
  </si>
  <si>
    <t>t CO2e /ha</t>
  </si>
  <si>
    <t>kg CO2e / kg FPCM</t>
  </si>
  <si>
    <t>per ha</t>
  </si>
  <si>
    <t>per kg FPCM</t>
  </si>
  <si>
    <r>
      <t>kg CO</t>
    </r>
    <r>
      <rPr>
        <vertAlign val="subscript"/>
        <sz val="12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 xml:space="preserve">e </t>
    </r>
  </si>
  <si>
    <r>
      <t>kg CH</t>
    </r>
    <r>
      <rPr>
        <vertAlign val="subscript"/>
        <sz val="12"/>
        <rFont val="Calibri"/>
        <family val="2"/>
        <scheme val="minor"/>
      </rPr>
      <t>4 /</t>
    </r>
    <r>
      <rPr>
        <sz val="12"/>
        <color theme="1"/>
        <rFont val="Calibri"/>
        <family val="2"/>
        <scheme val="minor"/>
      </rPr>
      <t>ha</t>
    </r>
  </si>
  <si>
    <r>
      <t>kg N</t>
    </r>
    <r>
      <rPr>
        <vertAlign val="subscript"/>
        <sz val="12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O /ha</t>
    </r>
  </si>
  <si>
    <t>kg CO2e/ ha</t>
  </si>
  <si>
    <t>Liv. Manure</t>
  </si>
  <si>
    <t>Liv.enteric fermentation</t>
  </si>
  <si>
    <t>Feed item DM req S1</t>
  </si>
  <si>
    <t>Feed item DM req S2</t>
  </si>
  <si>
    <t>Feed item</t>
  </si>
  <si>
    <t>Associated Crop</t>
  </si>
  <si>
    <t>kg N/ kg FPCM</t>
  </si>
  <si>
    <t>Total milk produced (kg FPCM/year)</t>
  </si>
  <si>
    <t>waste - distribution</t>
  </si>
  <si>
    <t>waste - processing</t>
  </si>
  <si>
    <t>kg soil/ kg FPCM</t>
  </si>
  <si>
    <t>Main</t>
  </si>
  <si>
    <t>Residue</t>
  </si>
  <si>
    <t>Total area used for feed production (ha)</t>
  </si>
  <si>
    <t>Per product</t>
  </si>
  <si>
    <t>Per livestock enterprise</t>
  </si>
  <si>
    <t>Per hectare</t>
  </si>
  <si>
    <t>PRODUCED</t>
  </si>
  <si>
    <t>Total energy from livestock products (kcal/year)</t>
  </si>
  <si>
    <t xml:space="preserve"> kg CO2 eq. /kg FPCM</t>
  </si>
  <si>
    <t>Origin of feed Purchased (off farm or outside landscape) = 0, Produced =1 in situ</t>
  </si>
  <si>
    <t>Associated crop</t>
  </si>
  <si>
    <t>Natural pasture</t>
  </si>
  <si>
    <t>Rhodes</t>
  </si>
  <si>
    <t>Sugarcane</t>
  </si>
  <si>
    <t>FEED PRODUCTION</t>
  </si>
  <si>
    <t>CALCULATIONS OF FEED BASKET QUALITY</t>
  </si>
  <si>
    <t>CONSUMED</t>
  </si>
  <si>
    <t>Purchased</t>
  </si>
  <si>
    <t>AME days/ha total</t>
  </si>
  <si>
    <t>Productivity</t>
  </si>
  <si>
    <t>Total milk consumed (kg FPCM/year)</t>
  </si>
  <si>
    <t>Land requirement</t>
  </si>
  <si>
    <t>Total land required (ha/year)</t>
  </si>
  <si>
    <t>Total milk produced (kg FPCM/ha/yr)</t>
  </si>
  <si>
    <t xml:space="preserve"> t CO2 eq. / ha/yr</t>
  </si>
  <si>
    <t>Protein content milk (%)</t>
  </si>
  <si>
    <t>Fat content milk (%)</t>
  </si>
  <si>
    <t>Energy content milk</t>
  </si>
  <si>
    <t>Energy content meat</t>
  </si>
  <si>
    <t>Energy content eggs</t>
  </si>
  <si>
    <t>Average N content manure</t>
  </si>
  <si>
    <t>Soil loss (t/plot/ season)</t>
  </si>
  <si>
    <t>Dry Matter requirements (kg)</t>
  </si>
  <si>
    <t>Land requirement for feed production per associated crop (ha)</t>
  </si>
  <si>
    <t>Total DM feed required (kg)</t>
  </si>
  <si>
    <t>* Assumption 1: all crops are grown with average yield (as in crop parameter sheet)
   Assumption 2: If multiple feeds originate from same crop (e.g. maize bran and maize stover) this crop is grown twice; grain produced from these crops are all listed as "co-products"</t>
  </si>
  <si>
    <t>Annual averages</t>
  </si>
  <si>
    <t>collection of manure in fields/pasture (fraction)</t>
  </si>
  <si>
    <t>Fodder maize</t>
  </si>
  <si>
    <t>Crop residue removal from field (fraction)</t>
  </si>
  <si>
    <t>Crop residue burnt (fraction)</t>
  </si>
  <si>
    <t>Annual</t>
  </si>
  <si>
    <t>Feed items specific N balance</t>
  </si>
  <si>
    <t>Inputs 
(kg N/year)</t>
  </si>
  <si>
    <t>Outputs 
(kg N/year)</t>
  </si>
  <si>
    <t>Value</t>
  </si>
  <si>
    <t>Brachiaria hybrid</t>
  </si>
  <si>
    <t>Fractions</t>
  </si>
  <si>
    <t>N/A</t>
  </si>
  <si>
    <t>Protein requirement (kg/year)</t>
  </si>
  <si>
    <t>Protein req. season 1 (kg)</t>
  </si>
  <si>
    <t>Protein req. season 2 (kg)</t>
  </si>
  <si>
    <t>CBA/ Payback Periods</t>
  </si>
  <si>
    <t>DMI (Energy) (S1)</t>
  </si>
  <si>
    <t>DMI (Energy) (S2)</t>
  </si>
  <si>
    <t>Fresh Intake required (kg FW/yr) season 1 - energy</t>
  </si>
  <si>
    <t>Fresh Intake required (Kg FW/yr) season 2 - energy</t>
  </si>
  <si>
    <t>MANURE PRODUCTION</t>
  </si>
  <si>
    <t>DM content</t>
  </si>
  <si>
    <t>DMI required season1 (kg DM/yr) - energy</t>
  </si>
  <si>
    <t>DMI required season 2 (kg DM/yr) - energy</t>
  </si>
  <si>
    <t>DMI required season1 (kg DM/yr) - cp</t>
  </si>
  <si>
    <t>DMI required season 2 (kg DM/yr) - cp</t>
  </si>
  <si>
    <t>CP content (% fresh)</t>
  </si>
  <si>
    <t>CP content (% DM)</t>
  </si>
  <si>
    <t>Fresh intake required season1 (kg DM/yr) - cp</t>
  </si>
  <si>
    <t>Fresh intake required season 2 (kg DM/yr) - cp</t>
  </si>
  <si>
    <t>DMI (Protein) S1</t>
  </si>
  <si>
    <t>DMI (Protein S2)</t>
  </si>
  <si>
    <t>Daily Manure produced (kgDM/day)</t>
  </si>
  <si>
    <t>Milk</t>
  </si>
  <si>
    <t>DMI S1</t>
  </si>
  <si>
    <t>DMI S2</t>
  </si>
  <si>
    <t>Limiting S1</t>
  </si>
  <si>
    <t>limiting S2</t>
  </si>
  <si>
    <t>fraction - "as fed"</t>
  </si>
  <si>
    <t>fraction - dry matter</t>
  </si>
  <si>
    <t>KgN/ha</t>
  </si>
  <si>
    <t>ME intake</t>
  </si>
  <si>
    <t>DE intake</t>
  </si>
  <si>
    <t xml:space="preserve">LIVESTOCK FEED INTAKE REQUIREMENTS CALCULATIONS </t>
  </si>
  <si>
    <t>N balance feed only</t>
  </si>
  <si>
    <t>Gross Margin Parameters</t>
  </si>
  <si>
    <t>herd size</t>
  </si>
  <si>
    <t xml:space="preserve">other </t>
  </si>
  <si>
    <t>Item</t>
  </si>
  <si>
    <t>Description</t>
  </si>
  <si>
    <t>Gross Margin Calculations</t>
  </si>
  <si>
    <t>Herd composition (nr)</t>
  </si>
  <si>
    <t>waste - consume</t>
  </si>
  <si>
    <t>Cattle Manure</t>
  </si>
  <si>
    <t>Sheep Manure</t>
  </si>
  <si>
    <t>Goat Manure</t>
  </si>
  <si>
    <t>Beef</t>
  </si>
  <si>
    <t>Labour</t>
  </si>
  <si>
    <t>Discount Rate</t>
  </si>
  <si>
    <t xml:space="preserve">Number of years </t>
  </si>
  <si>
    <t>Extra labour 
(days /animal/year)</t>
  </si>
  <si>
    <t xml:space="preserve">Extra labour - one-off 
(days/animal) </t>
  </si>
  <si>
    <t>EXTRA COST (only to fill for "scenarios", i.e. change from current situation/baseline)</t>
  </si>
  <si>
    <t>Operational Cost
(USD/ha/year)</t>
  </si>
  <si>
    <t>Other additional costs</t>
  </si>
  <si>
    <t>Cow Milk</t>
  </si>
  <si>
    <t>Retail Price per KG (USD)</t>
  </si>
  <si>
    <t>Additional cost for new feed items</t>
  </si>
  <si>
    <t>IF intercropping, fraction of field occupied by this crop</t>
  </si>
  <si>
    <t>Value of Production</t>
  </si>
  <si>
    <t>Product</t>
  </si>
  <si>
    <t>Total Value of Production (USD)</t>
  </si>
  <si>
    <t>Estimated Production Value</t>
  </si>
  <si>
    <t>Total Value of Production</t>
  </si>
  <si>
    <t>Other</t>
  </si>
  <si>
    <t>Gross Amount</t>
  </si>
  <si>
    <t>PayBack Period</t>
  </si>
  <si>
    <t>YEAR</t>
  </si>
  <si>
    <t>Cash Flow</t>
  </si>
  <si>
    <t>Present Value CF (USD)</t>
  </si>
  <si>
    <t>Balance (USD)</t>
  </si>
  <si>
    <t>Partial Years</t>
  </si>
  <si>
    <t>Payback Period</t>
  </si>
  <si>
    <t>Gross Margins</t>
  </si>
  <si>
    <t>Payback Period : Number of years necessary to pay back the initial investment</t>
  </si>
  <si>
    <t>FARM INFO</t>
  </si>
  <si>
    <t>Data</t>
  </si>
  <si>
    <t xml:space="preserve">Farm </t>
  </si>
  <si>
    <t>Farm Code</t>
  </si>
  <si>
    <t>Farm Name</t>
  </si>
  <si>
    <t xml:space="preserve">ha </t>
  </si>
  <si>
    <t>Brachiaria hybrid (forage)</t>
  </si>
  <si>
    <t>NPV</t>
  </si>
  <si>
    <t>Hectares</t>
  </si>
  <si>
    <t>Opportunity cost</t>
  </si>
  <si>
    <t xml:space="preserve">Opportunity Cost </t>
  </si>
  <si>
    <t>Land ($/ha)</t>
  </si>
  <si>
    <t>year 1</t>
  </si>
  <si>
    <t>year 2</t>
  </si>
  <si>
    <t>year 3</t>
  </si>
  <si>
    <t>year 4</t>
  </si>
  <si>
    <t>year 5</t>
  </si>
  <si>
    <t xml:space="preserve">   </t>
  </si>
  <si>
    <t>Lablab (Lablab purpureus) - hay</t>
  </si>
  <si>
    <t>Lablab (Lablab purpureus) - silage</t>
  </si>
  <si>
    <t>Mucuna</t>
  </si>
  <si>
    <t>Mucuna (Mucuna pruriens) - hay</t>
  </si>
  <si>
    <t>Panicum maximum</t>
  </si>
  <si>
    <t>Paspalum notatum</t>
  </si>
  <si>
    <t>Pigeon Pea (Cajanus cajan) - crop residue</t>
  </si>
  <si>
    <t>Pigeon pea</t>
  </si>
  <si>
    <t>Pineapple (Ananas comosus) - crop residue</t>
  </si>
  <si>
    <t>Pineapple</t>
  </si>
  <si>
    <t>Sorghum (Sorghum bicolor) - crop residue</t>
  </si>
  <si>
    <t>Sorghum (Sorghum bicolor) - silage</t>
  </si>
  <si>
    <t>Stylo</t>
  </si>
  <si>
    <t xml:space="preserve">Sugarcane (Saccharum officinarum) - tops (hay) </t>
  </si>
  <si>
    <t xml:space="preserve">Extra labour - one-off 
(days/ha) </t>
  </si>
  <si>
    <t>Extra labour 
(days /ha/year)</t>
  </si>
  <si>
    <t>extra stable</t>
  </si>
  <si>
    <t>BENEFITS</t>
  </si>
  <si>
    <t>EXTRA COSTS</t>
  </si>
  <si>
    <t>Total extra cost (USD)</t>
  </si>
  <si>
    <t>Opportunity</t>
  </si>
  <si>
    <t>year 6</t>
  </si>
  <si>
    <t>year 7</t>
  </si>
  <si>
    <t>year 8</t>
  </si>
  <si>
    <t>year 9</t>
  </si>
  <si>
    <t>year 10</t>
  </si>
  <si>
    <t>ROI 10 years</t>
  </si>
  <si>
    <t>Kc: MidSeason</t>
  </si>
  <si>
    <t>Kc: Late</t>
  </si>
  <si>
    <t>Crop coefficient (Kc) avg</t>
  </si>
  <si>
    <t>CALCULATIONS OF AVERAGE Kc OF THE FEED BASKET</t>
  </si>
  <si>
    <t>Average Kc</t>
  </si>
  <si>
    <t>Fraction of land requirement</t>
  </si>
  <si>
    <t>Kc</t>
  </si>
  <si>
    <t xml:space="preserve">WATER CALCULATIONS </t>
  </si>
  <si>
    <t>ET (mm/year)</t>
  </si>
  <si>
    <t>Total water use (m3)</t>
  </si>
  <si>
    <r>
      <t>ET</t>
    </r>
    <r>
      <rPr>
        <vertAlign val="subscript"/>
        <sz val="12"/>
        <color theme="1"/>
        <rFont val="Calibri"/>
        <family val="2"/>
        <scheme val="minor"/>
      </rPr>
      <t>0</t>
    </r>
  </si>
  <si>
    <t>mm/year</t>
  </si>
  <si>
    <t>year2</t>
  </si>
  <si>
    <t>Return On Investment</t>
  </si>
  <si>
    <t>Total Value of Production (USD) per/ha</t>
  </si>
  <si>
    <t>main product removal (fraction)</t>
  </si>
  <si>
    <t>intercropping (1 = yes/0 = no)</t>
  </si>
  <si>
    <t>Water use (m3/kg FPCM)</t>
  </si>
  <si>
    <t>Animal manure 
(N kg) grazing</t>
  </si>
  <si>
    <t>Animal manure 
(N kg) collected</t>
  </si>
  <si>
    <t>Time spent in stable (fraction of day) MS Solid</t>
  </si>
  <si>
    <t xml:space="preserve">Time spent in non-roofed enclosure  (fraction of day) MS dry lot </t>
  </si>
  <si>
    <t>Time spent grazing on-farm (fraction of day) MS pasture</t>
  </si>
  <si>
    <t xml:space="preserve">Time spent grazing off-farm (fraction of day) </t>
  </si>
  <si>
    <t>Fraction of manure collected in the stable</t>
  </si>
  <si>
    <t>fraction of manure collected from pasture/ fields</t>
  </si>
  <si>
    <t>fraction of collected manure used as fertilizer</t>
  </si>
  <si>
    <t>N from available manure (kg N/yr) grazing</t>
  </si>
  <si>
    <t>Manure available (kg DM/yr) collected</t>
  </si>
  <si>
    <t>N from available manure (kg N/yr) collected</t>
  </si>
  <si>
    <t>N from available manure &amp; Imported Organic N (manure, compost, other) (kg N/yr)</t>
  </si>
  <si>
    <t>main product removal</t>
  </si>
  <si>
    <t>Res removed (kg)</t>
  </si>
  <si>
    <t>only removed residues</t>
  </si>
  <si>
    <t>manure corrected</t>
  </si>
  <si>
    <t>Total Area DM S1</t>
  </si>
  <si>
    <t>Total Area DM S2</t>
  </si>
  <si>
    <t>CH4 emissions from enteric fermentation</t>
  </si>
  <si>
    <t>GE intake</t>
  </si>
  <si>
    <t>Estimated Production (Manure Collected)</t>
  </si>
  <si>
    <t>Total Production (kg/year)</t>
  </si>
  <si>
    <t>Total Costs</t>
  </si>
  <si>
    <t>Economics</t>
  </si>
  <si>
    <t>Farm Gate Price per KG (USD)</t>
  </si>
  <si>
    <t>Water use (m3/kg protein)</t>
  </si>
  <si>
    <t>Total protein (kg/yr)</t>
  </si>
  <si>
    <t>Protein</t>
  </si>
  <si>
    <t>(MJ day-1)</t>
  </si>
  <si>
    <t>( kg N. yr-1)</t>
  </si>
  <si>
    <t>(kg N .yr-1)</t>
  </si>
  <si>
    <t>fraction N retention</t>
  </si>
  <si>
    <t>emission factor for CH4 from manure management</t>
  </si>
  <si>
    <t>Drylot</t>
  </si>
  <si>
    <t>emission factor for N2O from manure management systems</t>
  </si>
  <si>
    <t>Fraction of residues left as mulch</t>
  </si>
  <si>
    <t xml:space="preserve"> gross energy intake of the animals based on digestible energy</t>
  </si>
  <si>
    <t>(kg N. day-1)</t>
  </si>
  <si>
    <t xml:space="preserve">daily N intake per  species/category t </t>
  </si>
  <si>
    <t>DMI tot</t>
  </si>
  <si>
    <t>feed item1</t>
  </si>
  <si>
    <t>feed item2</t>
  </si>
  <si>
    <t>feed item3</t>
  </si>
  <si>
    <t>feed item4</t>
  </si>
  <si>
    <t>feed item5</t>
  </si>
  <si>
    <t>feed item6</t>
  </si>
  <si>
    <t>feed item7</t>
  </si>
  <si>
    <t>tot</t>
  </si>
  <si>
    <t>crop residue removal</t>
  </si>
  <si>
    <t>N leached (kg N/ha/yr) @clay &gt;55%)</t>
  </si>
  <si>
    <t>Carcass fraction</t>
  </si>
  <si>
    <t>Protein content meat (%)</t>
  </si>
  <si>
    <t>kg</t>
  </si>
  <si>
    <t>area</t>
  </si>
  <si>
    <t>milk</t>
  </si>
  <si>
    <t>TLU</t>
  </si>
  <si>
    <t>NUE</t>
  </si>
  <si>
    <t>main product removed (kg)</t>
  </si>
  <si>
    <t>% area mining</t>
  </si>
  <si>
    <t>% area leaching</t>
  </si>
  <si>
    <t>% soil mining</t>
  </si>
  <si>
    <t>% soil leaching</t>
  </si>
  <si>
    <t>Live weight gain (kg/year)</t>
  </si>
  <si>
    <t>Milk production (kg/year)</t>
  </si>
  <si>
    <t>fraction of precipitation used for feed production</t>
  </si>
  <si>
    <t>water use</t>
  </si>
  <si>
    <t>feed</t>
  </si>
  <si>
    <t>food</t>
  </si>
  <si>
    <t>main product removed (kg DM/ha)</t>
  </si>
  <si>
    <t>biomass fraction food</t>
  </si>
  <si>
    <t>biom feed</t>
  </si>
  <si>
    <t>biom food</t>
  </si>
  <si>
    <t>N Balance feed only (Kg N/year)</t>
  </si>
  <si>
    <t>N Balance feed only (Kg N/ha/year)</t>
  </si>
  <si>
    <t>N Balance food only (Kg N/year)</t>
  </si>
  <si>
    <t>N Balance food only (Kg N/ha/year)</t>
  </si>
  <si>
    <t>N balance total</t>
  </si>
  <si>
    <t>N in</t>
  </si>
  <si>
    <t>N out</t>
  </si>
  <si>
    <t>N-balance per crop (kg)</t>
  </si>
  <si>
    <t>Land requirement per crop  (ha)</t>
  </si>
  <si>
    <r>
      <t xml:space="preserve">Land Use </t>
    </r>
    <r>
      <rPr>
        <sz val="11"/>
        <color theme="1"/>
        <rFont val="Calibri"/>
        <family val="2"/>
        <scheme val="minor"/>
      </rPr>
      <t xml:space="preserve">- cropland </t>
    </r>
  </si>
  <si>
    <t>land use system</t>
  </si>
  <si>
    <t>tillage regime</t>
  </si>
  <si>
    <t>input of organic matter</t>
  </si>
  <si>
    <t xml:space="preserve">Land use-grassland </t>
  </si>
  <si>
    <t>Management</t>
  </si>
  <si>
    <t>Input level ( applied only to improve condition)</t>
  </si>
  <si>
    <t>Land use- conversion</t>
  </si>
  <si>
    <t>Grassland to arable land</t>
  </si>
  <si>
    <t xml:space="preserve">Land use -conversion </t>
  </si>
  <si>
    <t>Arable land to grassland</t>
  </si>
  <si>
    <t>Perennial/tree crop</t>
  </si>
  <si>
    <t>all permanent grassland is assigned a land use factor</t>
  </si>
  <si>
    <t>grass</t>
  </si>
  <si>
    <t>Crop 1</t>
  </si>
  <si>
    <t>tree crops</t>
  </si>
  <si>
    <t>grasses</t>
  </si>
  <si>
    <t>tree crop</t>
  </si>
  <si>
    <t>number of trees per ha</t>
  </si>
  <si>
    <t>TOTAL CARBON STOCK per ha</t>
  </si>
  <si>
    <t>Total Carbon stock</t>
  </si>
  <si>
    <t>(kg C.yr-1.ha-1)</t>
  </si>
  <si>
    <t>category</t>
  </si>
  <si>
    <t>trees/ha</t>
  </si>
  <si>
    <t>trees DBH</t>
  </si>
  <si>
    <t>trees annual growth (kg)</t>
  </si>
  <si>
    <t>trees annual removal (kg)</t>
  </si>
  <si>
    <t>Annual growth per tree</t>
  </si>
  <si>
    <t>Annual removal</t>
  </si>
  <si>
    <t>Annual change in carbon stocks in biomass</t>
  </si>
  <si>
    <t>negative values indicate a loss of carbon; positive values indicate a gain of carbon.</t>
  </si>
  <si>
    <t>SOC from field measurements ( gC/ha)</t>
  </si>
  <si>
    <t>SOC from field measurements ( tC/ha)</t>
  </si>
  <si>
    <r>
      <t>kg CH</t>
    </r>
    <r>
      <rPr>
        <vertAlign val="subscript"/>
        <sz val="12"/>
        <rFont val="Calibri"/>
        <family val="2"/>
        <scheme val="minor"/>
      </rPr>
      <t>4 /</t>
    </r>
    <r>
      <rPr>
        <sz val="12"/>
        <rFont val="Calibri"/>
        <family val="2"/>
        <scheme val="minor"/>
      </rPr>
      <t>ha</t>
    </r>
  </si>
  <si>
    <r>
      <t>Manure-Direct N</t>
    </r>
    <r>
      <rPr>
        <vertAlign val="subscript"/>
        <sz val="12"/>
        <rFont val="Calibri"/>
        <family val="2"/>
        <scheme val="minor"/>
      </rPr>
      <t>2</t>
    </r>
    <r>
      <rPr>
        <sz val="12"/>
        <rFont val="Calibri"/>
        <family val="2"/>
        <scheme val="minor"/>
      </rPr>
      <t>O</t>
    </r>
  </si>
  <si>
    <r>
      <t>kg N</t>
    </r>
    <r>
      <rPr>
        <vertAlign val="subscript"/>
        <sz val="12"/>
        <rFont val="Calibri"/>
        <family val="2"/>
        <scheme val="minor"/>
      </rPr>
      <t>2</t>
    </r>
    <r>
      <rPr>
        <sz val="12"/>
        <rFont val="Calibri"/>
        <family val="2"/>
        <scheme val="minor"/>
      </rPr>
      <t>O /ha</t>
    </r>
  </si>
  <si>
    <r>
      <t>Manure-Indirect N</t>
    </r>
    <r>
      <rPr>
        <vertAlign val="subscript"/>
        <sz val="12"/>
        <rFont val="Calibri"/>
        <family val="2"/>
        <scheme val="minor"/>
      </rPr>
      <t>2</t>
    </r>
    <r>
      <rPr>
        <sz val="12"/>
        <rFont val="Calibri"/>
        <family val="2"/>
        <scheme val="minor"/>
      </rPr>
      <t>O</t>
    </r>
  </si>
  <si>
    <r>
      <t>Soil-Direct N</t>
    </r>
    <r>
      <rPr>
        <vertAlign val="subscript"/>
        <sz val="12"/>
        <rFont val="Calibri"/>
        <family val="2"/>
        <scheme val="minor"/>
      </rPr>
      <t>2</t>
    </r>
    <r>
      <rPr>
        <sz val="12"/>
        <rFont val="Calibri"/>
        <family val="2"/>
        <scheme val="minor"/>
      </rPr>
      <t>O</t>
    </r>
  </si>
  <si>
    <r>
      <t>Soil-Indirect N</t>
    </r>
    <r>
      <rPr>
        <vertAlign val="subscript"/>
        <sz val="12"/>
        <rFont val="Calibri"/>
        <family val="2"/>
        <scheme val="minor"/>
      </rPr>
      <t>2</t>
    </r>
    <r>
      <rPr>
        <sz val="12"/>
        <rFont val="Calibri"/>
        <family val="2"/>
        <scheme val="minor"/>
      </rPr>
      <t>O</t>
    </r>
  </si>
  <si>
    <r>
      <t>OFF-Farm Soil-Direct N</t>
    </r>
    <r>
      <rPr>
        <vertAlign val="subscript"/>
        <sz val="12"/>
        <rFont val="Calibri"/>
        <family val="2"/>
        <scheme val="minor"/>
      </rPr>
      <t>2</t>
    </r>
    <r>
      <rPr>
        <sz val="12"/>
        <rFont val="Calibri"/>
        <family val="2"/>
        <scheme val="minor"/>
      </rPr>
      <t>O</t>
    </r>
  </si>
  <si>
    <r>
      <t>OFF-Farm Soil-Indirect N</t>
    </r>
    <r>
      <rPr>
        <vertAlign val="subscript"/>
        <sz val="12"/>
        <rFont val="Calibri"/>
        <family val="2"/>
        <scheme val="minor"/>
      </rPr>
      <t>2</t>
    </r>
    <r>
      <rPr>
        <sz val="12"/>
        <rFont val="Calibri"/>
        <family val="2"/>
        <scheme val="minor"/>
      </rPr>
      <t>O</t>
    </r>
  </si>
  <si>
    <t>Carbon stock changes</t>
  </si>
  <si>
    <t>LAND REQUIREMENT CALCULATIONS PER FEED ITEM</t>
  </si>
  <si>
    <t>cr yield (kg DM)</t>
  </si>
  <si>
    <t>crop yield (kg DM)</t>
  </si>
  <si>
    <t>crop removal</t>
  </si>
  <si>
    <t>area non-feed (ha) S1</t>
  </si>
  <si>
    <t>area non-feed (ha) S2</t>
  </si>
  <si>
    <t>area tot (ha) S1</t>
  </si>
  <si>
    <t>area tot (ha) S2</t>
  </si>
  <si>
    <t>area feed (ha) S1</t>
  </si>
  <si>
    <t>area feed (ha) S2</t>
  </si>
  <si>
    <t>non-feed</t>
  </si>
  <si>
    <t>protein (kg/year)</t>
  </si>
  <si>
    <t>kcal/year total</t>
  </si>
  <si>
    <t xml:space="preserve"> t CO2 eq. / ha/ year</t>
  </si>
  <si>
    <t>Total milk consumed (kg FPCM/ha/year)</t>
  </si>
  <si>
    <t>protein (kg/ha/year)</t>
  </si>
  <si>
    <t>kcal/year from milk</t>
  </si>
  <si>
    <t>kcal/year from meat</t>
  </si>
  <si>
    <t>AME days/year from milk</t>
  </si>
  <si>
    <t>AME days/year from meat</t>
  </si>
  <si>
    <t>AME days/year total</t>
  </si>
  <si>
    <t>Waste of milk and meat at various levels in value chain (%)</t>
  </si>
  <si>
    <t>meat</t>
  </si>
  <si>
    <t>Meat (kg/yr)</t>
  </si>
  <si>
    <t>Meat produced (kg/year)</t>
  </si>
  <si>
    <t>Meat consumed (kg/year)</t>
  </si>
  <si>
    <t>Meat produced (kg/ha/year)</t>
  </si>
  <si>
    <t>Meat consumed (kg/ha/year)</t>
  </si>
  <si>
    <t>kcal/ha/yr from milk</t>
  </si>
  <si>
    <t>kcal/ha/yr from meat</t>
  </si>
  <si>
    <t>kcal/ha/yr total</t>
  </si>
  <si>
    <t>AME days/ha from milk</t>
  </si>
  <si>
    <t>AME days/ha from meat</t>
  </si>
  <si>
    <t>Water use (m3/kg meat)</t>
  </si>
  <si>
    <t>Energy requirement grazing (ME, MJ/km)</t>
  </si>
  <si>
    <t>Energy requirement pregnancy (ME, MJ/day)</t>
  </si>
  <si>
    <t>Energy requirement growth (ME, MJ/kg LWG)</t>
  </si>
  <si>
    <t>Crude Protein requirement grazing (kg/km)</t>
  </si>
  <si>
    <t>Nbaltot (kg N)</t>
  </si>
  <si>
    <t>Nbal (kg N/ha)</t>
  </si>
  <si>
    <t>GHGtot (t CO2eq/yr))</t>
  </si>
  <si>
    <t>GHGmilk (kg CO2eq/kg milk)</t>
  </si>
  <si>
    <t>GHGmeat  (kg CO2eq/kg meat)</t>
  </si>
  <si>
    <t>GHGprotein (kg CO2eq/kg protein)</t>
  </si>
  <si>
    <t xml:space="preserve"> kg CO2 eq. /kg protein</t>
  </si>
  <si>
    <t xml:space="preserve"> kg CO2 eq. /kg meat</t>
  </si>
  <si>
    <t>land requirement (ha)</t>
  </si>
  <si>
    <t>milk (kg)</t>
  </si>
  <si>
    <t>meat (kg)</t>
  </si>
  <si>
    <t>protein (kg)</t>
  </si>
  <si>
    <t>watermilk (m3/kg milk)</t>
  </si>
  <si>
    <t>watermeat (m3/kg meat)</t>
  </si>
  <si>
    <t>animalha (TLU/ha)</t>
  </si>
  <si>
    <t>GHGha (t CO2eq/ha)</t>
  </si>
  <si>
    <t>waterha (m3/ha)</t>
  </si>
  <si>
    <t>Water impacts</t>
  </si>
  <si>
    <t>m3/year</t>
  </si>
  <si>
    <t>m3/ha/year</t>
  </si>
  <si>
    <t>Water impact</t>
  </si>
  <si>
    <t>m3/kg meat</t>
  </si>
  <si>
    <t>m3/kg FPCM</t>
  </si>
  <si>
    <t>m3/kg protein</t>
  </si>
  <si>
    <t>Allocations feed/non-feed</t>
  </si>
  <si>
    <t>erosion (t/yr)</t>
  </si>
  <si>
    <t>LIVESTOCK ENERGY AND PROTEIN REQUIREMENTS</t>
  </si>
  <si>
    <t>Energy Requirement Maintenance (MJ/day)</t>
  </si>
  <si>
    <t>waste - prod</t>
  </si>
  <si>
    <t xml:space="preserve">Additional cost for maintaining baseline herd </t>
  </si>
  <si>
    <t xml:space="preserve">All cost associated with new animals </t>
  </si>
  <si>
    <t>One-off cost
(USD/animal)</t>
  </si>
  <si>
    <t>Operational cost 
USD/animal/year</t>
  </si>
  <si>
    <t>One off Cost</t>
  </si>
  <si>
    <t>Operational costs</t>
  </si>
  <si>
    <t>Total extra costs (USD)</t>
  </si>
  <si>
    <t>One-off / establishment cost 
(USD/ha)</t>
  </si>
  <si>
    <t>waterprotein (m3/kg protein)</t>
  </si>
  <si>
    <t>Average annual milk (kg)</t>
  </si>
  <si>
    <t>Average annual growth per animal (kg)</t>
  </si>
  <si>
    <t>Lucerne (Medicago sativa) - hay</t>
  </si>
  <si>
    <t>Lucerne (Medicago sativa) - meal</t>
  </si>
  <si>
    <t>Lucerne (Medicago sativa) - silage</t>
  </si>
  <si>
    <t>Lupins (Lupinus angustifolius) - crop residue</t>
  </si>
  <si>
    <t>Lupins (Lupinus angustifolius) - grain</t>
  </si>
  <si>
    <t>Lupins (Lupinus angustifolius) - pods</t>
  </si>
  <si>
    <t>Maize (Zea mays) - cobs ground</t>
  </si>
  <si>
    <t>Maize (Zea mays) - cracked grains</t>
  </si>
  <si>
    <t>Maize (Zea mays) - silage</t>
  </si>
  <si>
    <t>Maize (Zea mays) - stover</t>
  </si>
  <si>
    <t>Maize (Zea mays) - whole grain</t>
  </si>
  <si>
    <t>Mucuna (Mucuna pruriens) - green fodder</t>
  </si>
  <si>
    <t>Mucuna (Mucuna pruriens) - seed</t>
  </si>
  <si>
    <t>Mulberry (Morus alba)</t>
  </si>
  <si>
    <t>Naturally occuring pasture - grazing</t>
  </si>
  <si>
    <t xml:space="preserve">Naturally occuring pasture - green fodder </t>
  </si>
  <si>
    <t>Oats (Avena sativa) - straw</t>
  </si>
  <si>
    <t>Orchard grass (Dactylis glomerata) - green fodder</t>
  </si>
  <si>
    <t>Orchard grass (Dactylis glomerata) - hay</t>
  </si>
  <si>
    <t>Orchard tree (Bauhinia variegata) - green leaves</t>
  </si>
  <si>
    <t>Panicum maximum (green fodder)</t>
  </si>
  <si>
    <t>Pearl Millet (Pennisetum glaucum) - crop residue</t>
  </si>
  <si>
    <t>Pearl Millet (Pennisetum glaucum) - grain</t>
  </si>
  <si>
    <t>Pearl Millet (Pennisetum glaucum) - green fodder</t>
  </si>
  <si>
    <t>Pigeon Pea (Cajanus cajan) - meal</t>
  </si>
  <si>
    <t>Pigeon Pea (Cajanus cajan) - seed</t>
  </si>
  <si>
    <t>Pineapple (Ananas comosus) - leaf silage</t>
  </si>
  <si>
    <t>Potato (Solanum tuberosum) - peelings</t>
  </si>
  <si>
    <t>Potato (Solanum tuberosum) - tuber</t>
  </si>
  <si>
    <t>Pumpkin (Cucurbita maxima) - fruit</t>
  </si>
  <si>
    <t>Red clover (Trifolium pratense) - green fodder</t>
  </si>
  <si>
    <t>Red clover (Trifolium pratense) - hay</t>
  </si>
  <si>
    <t>Sesbania (Sesbania sesban) - green fodder</t>
  </si>
  <si>
    <t>Smooth Broome (Bromus inermis) - green fodder</t>
  </si>
  <si>
    <t>Smooth Broome (Bromus inermis) - hay</t>
  </si>
  <si>
    <t>Sorghum (Sorghum bicolor) - grain</t>
  </si>
  <si>
    <t>Soybean (Glycine max) - crop residue</t>
  </si>
  <si>
    <t>Soybean (Glycine max) - meal</t>
  </si>
  <si>
    <t>Soybean (Glycine max) - seed coats</t>
  </si>
  <si>
    <t>Soybean (Glycine max) - whole seed</t>
  </si>
  <si>
    <t>Sugarcane (Saccharum officinarum) - BOUGHT</t>
  </si>
  <si>
    <t>Sunflower (Helianthus annuus) - seed cake</t>
  </si>
  <si>
    <t>Sweet potato (Ipomoea batatas) -  leaves</t>
  </si>
  <si>
    <t>Sweet potato (Ipomoea batatas) -  tubers (fresh)</t>
  </si>
  <si>
    <t>Sweet potato (Ipomoea batatas) -  tubers meal (dried)</t>
  </si>
  <si>
    <t>Sweet potato (Ipomoea batatas) -  vines</t>
  </si>
  <si>
    <t>Tomato (Lycopersicon esculentum) - waste fruits</t>
  </si>
  <si>
    <t>White sweet clover (Melilotus alba) - green fodder</t>
  </si>
  <si>
    <t>Lucerne</t>
  </si>
  <si>
    <t>Lupins</t>
  </si>
  <si>
    <t>Oats</t>
  </si>
  <si>
    <t>Orchard grass</t>
  </si>
  <si>
    <t>Pearl Millet</t>
  </si>
  <si>
    <t>Potato</t>
  </si>
  <si>
    <t>Pumpkin</t>
  </si>
  <si>
    <t>Red clover</t>
  </si>
  <si>
    <t>Sesbania</t>
  </si>
  <si>
    <t>Smooth Broome</t>
  </si>
  <si>
    <t>Soybean</t>
  </si>
  <si>
    <t>Sweet potato</t>
  </si>
  <si>
    <t>Tomato</t>
  </si>
  <si>
    <t>White sweet clover</t>
  </si>
  <si>
    <t>Mulberry</t>
  </si>
  <si>
    <r>
      <t xml:space="preserve">Fraction of manure collected in the </t>
    </r>
    <r>
      <rPr>
        <i/>
        <sz val="11"/>
        <color rgb="FFFF0000"/>
        <rFont val="Calibri"/>
        <family val="2"/>
        <scheme val="minor"/>
      </rPr>
      <t>non-roofed enclosure</t>
    </r>
  </si>
  <si>
    <r>
      <t xml:space="preserve">Annual </t>
    </r>
    <r>
      <rPr>
        <sz val="12"/>
        <rFont val="Calibri"/>
        <family val="2"/>
        <scheme val="minor"/>
      </rPr>
      <t>Manure produced (kgDM/yr)</t>
    </r>
  </si>
  <si>
    <r>
      <t xml:space="preserve">Manure available (kg DM/yr) </t>
    </r>
    <r>
      <rPr>
        <sz val="12"/>
        <color rgb="FFFF0000"/>
        <rFont val="Calibri"/>
        <family val="2"/>
        <scheme val="minor"/>
      </rPr>
      <t>from on-farm</t>
    </r>
    <r>
      <rPr>
        <sz val="12"/>
        <rFont val="Calibri"/>
        <family val="2"/>
        <scheme val="minor"/>
      </rPr>
      <t xml:space="preserve">
grazing </t>
    </r>
    <r>
      <rPr>
        <sz val="12"/>
        <color rgb="FFFF0000"/>
        <rFont val="Calibri"/>
        <family val="2"/>
        <scheme val="minor"/>
      </rPr>
      <t>and not collected</t>
    </r>
  </si>
  <si>
    <t>Total N available from on-farm manure</t>
  </si>
  <si>
    <t>Organic N imported</t>
  </si>
  <si>
    <r>
      <rPr>
        <sz val="10"/>
        <color rgb="FFFF0000"/>
        <rFont val="Arial"/>
        <family val="2"/>
      </rPr>
      <t>Organic N</t>
    </r>
    <r>
      <rPr>
        <sz val="10"/>
        <color theme="1"/>
        <rFont val="Arial"/>
        <family val="2"/>
      </rPr>
      <t xml:space="preserve"> </t>
    </r>
    <r>
      <rPr>
        <b/>
        <sz val="10"/>
        <color theme="1"/>
        <rFont val="Arial"/>
        <family val="2"/>
      </rPr>
      <t>(kg N)
total</t>
    </r>
  </si>
  <si>
    <r>
      <rPr>
        <sz val="10"/>
        <color rgb="FFFF0000"/>
        <rFont val="Arial"/>
        <family val="2"/>
      </rPr>
      <t>Organic N</t>
    </r>
    <r>
      <rPr>
        <sz val="10"/>
        <color theme="1"/>
        <rFont val="Arial"/>
        <family val="2"/>
      </rPr>
      <t xml:space="preserve"> </t>
    </r>
    <r>
      <rPr>
        <b/>
        <sz val="10"/>
        <color theme="1"/>
        <rFont val="Arial"/>
        <family val="2"/>
      </rPr>
      <t>(kg N/ha)
total</t>
    </r>
  </si>
  <si>
    <t>Annual production and purchase of compost</t>
  </si>
  <si>
    <t xml:space="preserve">Time spent in non-roofed enclosure  (fraction of day) </t>
  </si>
  <si>
    <t>Collection of manure in non-roofed enclosure (fraction)</t>
  </si>
  <si>
    <t>Quantity (N/year)</t>
  </si>
  <si>
    <t>Numbers</t>
  </si>
  <si>
    <t>LWG/animal</t>
  </si>
  <si>
    <t>Total LWG</t>
  </si>
  <si>
    <r>
      <t>·</t>
    </r>
    <r>
      <rPr>
        <i/>
        <sz val="7"/>
        <color rgb="FF1F497D"/>
        <rFont val="Times New Roman"/>
        <family val="1"/>
      </rPr>
      <t xml:space="preserve">         </t>
    </r>
    <r>
      <rPr>
        <i/>
        <sz val="11"/>
        <color rgb="FF1F497D"/>
        <rFont val="Calibri"/>
        <family val="2"/>
        <scheme val="minor"/>
      </rPr>
      <t>Adult animals do not grow anymore</t>
    </r>
  </si>
  <si>
    <t>Milk production/animal</t>
  </si>
  <si>
    <t>Protein (kg/yr)</t>
  </si>
  <si>
    <t>Total milk (kg FPCM/year)</t>
  </si>
  <si>
    <t>TOTAL Energy from Meat (kcal/year)</t>
  </si>
  <si>
    <t>TOTAL Energy from Milk (kcal/year)</t>
  </si>
  <si>
    <t>RESULTS</t>
  </si>
  <si>
    <t xml:space="preserve">Meat   </t>
  </si>
  <si>
    <t>Feed per milk unit (kg / kg FPCM)</t>
  </si>
  <si>
    <t>Area per milk unit (ha / MT FPCM)</t>
  </si>
  <si>
    <t>Meat product</t>
  </si>
  <si>
    <t>beef</t>
  </si>
  <si>
    <t>Total land required (ha/MT FPCM)</t>
  </si>
  <si>
    <t>/</t>
  </si>
  <si>
    <t>% of precipitation used for feed production</t>
  </si>
  <si>
    <t>number of AME/ha that could be fed on calories produced for a year</t>
  </si>
  <si>
    <t>Total Carbon balance</t>
  </si>
  <si>
    <t>Value of Production (USD/year)</t>
  </si>
  <si>
    <t>Value of Production (USD/ha/yr)</t>
  </si>
  <si>
    <t xml:space="preserve">Baseline </t>
  </si>
  <si>
    <t>Cattle and buffaloes feed  primarily low quality feed</t>
  </si>
  <si>
    <t>Distance stable / enclosure to pasture (km)</t>
  </si>
  <si>
    <t>Grazing displacement (km/day)</t>
  </si>
  <si>
    <t>Energy requirement pregnancy (ME, MJ)</t>
  </si>
  <si>
    <r>
      <t xml:space="preserve">Crop areas and residue </t>
    </r>
    <r>
      <rPr>
        <sz val="14"/>
        <rFont val="Calibri"/>
        <family val="2"/>
        <scheme val="minor"/>
      </rPr>
      <t>management</t>
    </r>
  </si>
  <si>
    <t>Manure management system of collected manure</t>
  </si>
  <si>
    <t>Select</t>
  </si>
  <si>
    <t>Andropogon gayanus</t>
  </si>
  <si>
    <t xml:space="preserve">Brachiaria brizantha </t>
  </si>
  <si>
    <t>Canavalia brasiliensis</t>
  </si>
  <si>
    <t>Cassava</t>
  </si>
  <si>
    <t>Cratylia</t>
  </si>
  <si>
    <t>Gliricidia</t>
  </si>
  <si>
    <t>Guava</t>
  </si>
  <si>
    <t>Hyparrhenia rufa</t>
  </si>
  <si>
    <t>Natural trees</t>
  </si>
  <si>
    <t>Andropogon gayanus (forage)</t>
  </si>
  <si>
    <t>Bermuda grass (Cynodon dactylon) - forage</t>
  </si>
  <si>
    <t>Bermuda grass (Cynodon dactylon) - hay</t>
  </si>
  <si>
    <t>Brachiaria brizantha (forage)</t>
  </si>
  <si>
    <t>Canavalia brasiliensis (forage)</t>
  </si>
  <si>
    <t>Cassava (Manihot esculenta) - crop residue</t>
  </si>
  <si>
    <t>Cassava (Manihot esculenta) - fresh peelings</t>
  </si>
  <si>
    <t>Cassava (Manihot esculenta) - tubers</t>
  </si>
  <si>
    <t>Concentrate (commercial)</t>
  </si>
  <si>
    <t>Cowpea (Vigna unguiculata) - forage</t>
  </si>
  <si>
    <t>Cratylia argentea (forage)</t>
  </si>
  <si>
    <t>Gliricidia sepium (forage)</t>
  </si>
  <si>
    <t>Hyparrhenia rufa  (forage)</t>
  </si>
  <si>
    <t>Lablab (Lablab purpureus) - forage</t>
  </si>
  <si>
    <t>Lablab</t>
  </si>
  <si>
    <t>Leucaena (Leucaena leucocephala) - forage</t>
  </si>
  <si>
    <t>Mucuna (Mucuna pruriens) - forage</t>
  </si>
  <si>
    <t>Panicum maximum (forage)</t>
  </si>
  <si>
    <t>Paspalum notatum (forage)</t>
  </si>
  <si>
    <t>Poultry litter</t>
  </si>
  <si>
    <t>Rhodes grass (Chloris gayana) - forage</t>
  </si>
  <si>
    <t>Rice (Oryza sativa) - bran (with germs)</t>
  </si>
  <si>
    <t>Rice (Oryza sativa) - hulls</t>
  </si>
  <si>
    <t>Rice (Oryza sativa) - straw</t>
  </si>
  <si>
    <t>Sorghum (Sorghum bicolor) - forage</t>
  </si>
  <si>
    <t>Stylo (Stylosanthes guianensis) - forage</t>
  </si>
  <si>
    <t>Sugarcane (Saccharum officinarum) - tops (forage)</t>
  </si>
  <si>
    <t>Energy Requirement Grazing (MJ/day)</t>
  </si>
  <si>
    <t>Fraction of collected manure used for fertilization</t>
  </si>
  <si>
    <t>LATIN AMERICA</t>
  </si>
  <si>
    <t>pasture</t>
  </si>
  <si>
    <t>AI and vet care</t>
  </si>
  <si>
    <t>extra vet</t>
  </si>
  <si>
    <t>Additional cost for maintaining Feed items that are also in baseline</t>
  </si>
  <si>
    <t>Operational cost (USD/ha/year)</t>
  </si>
  <si>
    <t>One-off</t>
  </si>
  <si>
    <t>Operational</t>
  </si>
  <si>
    <r>
      <rPr>
        <b/>
        <sz val="12"/>
        <color rgb="FFC00000"/>
        <rFont val="Calibri"/>
        <family val="2"/>
        <scheme val="minor"/>
      </rPr>
      <t xml:space="preserve">Extra </t>
    </r>
    <r>
      <rPr>
        <sz val="12"/>
        <color theme="9" tint="-0.249977111117893"/>
        <rFont val="Calibri"/>
        <family val="2"/>
        <scheme val="minor"/>
      </rPr>
      <t>Value Production</t>
    </r>
  </si>
  <si>
    <r>
      <rPr>
        <b/>
        <sz val="12"/>
        <color rgb="FFFF0000"/>
        <rFont val="Calibri"/>
        <family val="2"/>
        <scheme val="minor"/>
      </rPr>
      <t>Extra</t>
    </r>
    <r>
      <rPr>
        <b/>
        <sz val="12"/>
        <color theme="1"/>
        <rFont val="Calibri"/>
        <family val="2"/>
        <scheme val="minor"/>
      </rPr>
      <t xml:space="preserve"> Cash Flow</t>
    </r>
  </si>
  <si>
    <t xml:space="preserve">Initial Investment </t>
  </si>
  <si>
    <r>
      <t>if</t>
    </r>
    <r>
      <rPr>
        <b/>
        <i/>
        <sz val="12"/>
        <color theme="1"/>
        <rFont val="Calibri"/>
        <family val="2"/>
        <scheme val="minor"/>
      </rPr>
      <t xml:space="preserve"> #N/A or  #REF </t>
    </r>
    <r>
      <rPr>
        <i/>
        <sz val="12"/>
        <color theme="1"/>
        <rFont val="Calibri"/>
        <family val="2"/>
        <scheme val="minor"/>
      </rPr>
      <t>payback period is greater than 10 years</t>
    </r>
  </si>
  <si>
    <t>Initial ivestment</t>
  </si>
  <si>
    <t xml:space="preserve">can also use Table 10.20 </t>
  </si>
  <si>
    <t>equation 10.33</t>
  </si>
  <si>
    <t>Total Extra Value of Production (USD) per/ha</t>
  </si>
  <si>
    <t>Maintenance of Animals</t>
  </si>
  <si>
    <t>Maintenance of Forages</t>
  </si>
  <si>
    <t>Pigs</t>
  </si>
  <si>
    <t>Swine</t>
  </si>
  <si>
    <t>sources: NRC (1998), Mc Donald et al. (1985)</t>
  </si>
  <si>
    <t>pigs ME</t>
  </si>
  <si>
    <t>gestation: 1.1*0.12*2.3*0.11*#piglets (kg/gestation) (NRC, 1998)</t>
  </si>
  <si>
    <t>growth: 1.1*0.12*0.39/LWG (kg)  (NRC, 1998)</t>
  </si>
  <si>
    <t>lactation: (1.1*0.022*growth/day*#piglets-0.0064)*lactation length* proportion growth covered by milk (kg/lactation) (NRC, 1998)</t>
  </si>
  <si>
    <t>Pork</t>
  </si>
  <si>
    <t>pigs</t>
  </si>
  <si>
    <t>Table 10A.4 +</t>
  </si>
  <si>
    <t>Pigs - growers</t>
  </si>
  <si>
    <t>Pigs - dry sows/boars</t>
  </si>
  <si>
    <t>Pigs - lactating/pregnant sows</t>
  </si>
  <si>
    <t>Energy requirement maintenance (ME, MJ/day)</t>
  </si>
  <si>
    <t>maintenance: 2*0.00028*BW^0.75 (kg/day), losses 50% (Van Milgen and Dourmad, 2015)</t>
  </si>
  <si>
    <r>
      <t>Crude Protein/</t>
    </r>
    <r>
      <rPr>
        <sz val="10"/>
        <color rgb="FFFF0000"/>
        <rFont val="Arial"/>
        <family val="2"/>
      </rPr>
      <t>Lysine</t>
    </r>
    <r>
      <rPr>
        <sz val="10"/>
        <rFont val="Arial"/>
        <family val="2"/>
      </rPr>
      <t xml:space="preserve"> requirement maintenance (kg/day)</t>
    </r>
  </si>
  <si>
    <r>
      <t xml:space="preserve">Crude Protein/ </t>
    </r>
    <r>
      <rPr>
        <sz val="10"/>
        <color rgb="FFFF0000"/>
        <rFont val="Arial"/>
        <family val="2"/>
      </rPr>
      <t>Lysine</t>
    </r>
    <r>
      <rPr>
        <sz val="10"/>
        <rFont val="Arial"/>
        <family val="2"/>
      </rPr>
      <t xml:space="preserve"> requirement pregnancy (kg)</t>
    </r>
  </si>
  <si>
    <r>
      <t xml:space="preserve">Crude Protein/ </t>
    </r>
    <r>
      <rPr>
        <sz val="10"/>
        <color rgb="FFFF0000"/>
        <rFont val="Arial"/>
        <family val="2"/>
      </rPr>
      <t>Lysine</t>
    </r>
    <r>
      <rPr>
        <sz val="10"/>
        <rFont val="Arial"/>
        <family val="2"/>
      </rPr>
      <t xml:space="preserve"> requirement growth (kg/kg LWG)</t>
    </r>
  </si>
  <si>
    <t>Crude Protein requirement growth (kg/kg LWG)</t>
  </si>
  <si>
    <t>pork</t>
  </si>
  <si>
    <t>Parturition interval</t>
  </si>
  <si>
    <t>Moringa oleifera</t>
  </si>
  <si>
    <t>Guazuma ulmifolia</t>
  </si>
  <si>
    <t>Guazuma ulmifolia (forage)</t>
  </si>
  <si>
    <t>Dichanthium aristatum</t>
  </si>
  <si>
    <t>USDvalha</t>
  </si>
  <si>
    <t>USDcostha</t>
  </si>
  <si>
    <t>USDbalha</t>
  </si>
  <si>
    <t>costs</t>
  </si>
  <si>
    <t>Partial producton costs (USD/year)</t>
  </si>
  <si>
    <t>Partial producton costs (USD/ha/year)</t>
  </si>
  <si>
    <t>tot stock cha</t>
  </si>
  <si>
    <t>Moringa oleifera (forage)</t>
  </si>
  <si>
    <t>Ischaemum ciliare</t>
  </si>
  <si>
    <t>Ischaemum ciliare  (forage)</t>
  </si>
  <si>
    <t>Sugarcane (Saccharum officinarum) - forage</t>
  </si>
  <si>
    <t>Maize-silage</t>
  </si>
  <si>
    <t>Swazi</t>
  </si>
  <si>
    <t>Main product Fresh Yield (t FW/ha)</t>
  </si>
  <si>
    <t>Maize (Zea mays) - forage</t>
  </si>
  <si>
    <t>Maize (Zea mays) - bought stover</t>
  </si>
  <si>
    <t>Oats (Avena sativa) - grain</t>
  </si>
  <si>
    <t>Oats (Avena sativa) - green fodder</t>
  </si>
  <si>
    <t>Oats (Avena sativa) - hay</t>
  </si>
  <si>
    <t>Oats (Avena sativa) - hulls</t>
  </si>
  <si>
    <t>Oats (Avena sativa) - meal/cereal by-product</t>
  </si>
  <si>
    <t>Oats (Avena sativa) - silage</t>
  </si>
  <si>
    <t>Digitaria swazilandensis (forage)</t>
  </si>
  <si>
    <t>hectares/kg</t>
  </si>
  <si>
    <t>USD/day</t>
  </si>
  <si>
    <t>USD/kg</t>
  </si>
  <si>
    <t>Cynodon nlemfuensis</t>
  </si>
  <si>
    <t>Labour (days/animal/year)</t>
  </si>
  <si>
    <t>One-off costs (USD/animal)</t>
  </si>
  <si>
    <t>Labour one-off per animal (days/yr)</t>
  </si>
  <si>
    <t>Establishment cost (USD/ha)</t>
  </si>
  <si>
    <t>Operational costs (USD/yr/ha)</t>
  </si>
  <si>
    <t>Establishment labour (days/ha)</t>
  </si>
  <si>
    <t>Operational labour (days/yr/ha)</t>
  </si>
  <si>
    <t>Cynodon nlemfuensis (forage)</t>
  </si>
  <si>
    <t>Pennisetum purpureum - forage</t>
  </si>
  <si>
    <t>Pennisetum purpureum - silage</t>
  </si>
  <si>
    <t>Pennisetum purpureum</t>
  </si>
  <si>
    <t>Pennisetum purpureum-silage</t>
  </si>
  <si>
    <t>Dichanthium aristatum (forage)</t>
  </si>
  <si>
    <r>
      <t>Fertilizer rate per crop (</t>
    </r>
    <r>
      <rPr>
        <b/>
        <sz val="12"/>
        <color theme="1"/>
        <rFont val="Calibri"/>
        <family val="2"/>
        <scheme val="minor"/>
      </rPr>
      <t>kg N/ha</t>
    </r>
    <r>
      <rPr>
        <sz val="12"/>
        <color theme="1"/>
        <rFont val="Calibri"/>
        <family val="2"/>
        <scheme val="minor"/>
      </rPr>
      <t>)</t>
    </r>
  </si>
  <si>
    <t>pigs lysine</t>
  </si>
  <si>
    <t>NRC: 0.00036*BW^0.75 (NRC 1998, page 32 .. citing Wang and Fulller, 1989)</t>
  </si>
  <si>
    <t>maintenance: 0.44*BW^0.75 (MJ/day) (NRC 1998, page 6)</t>
  </si>
  <si>
    <t>growth: 45 MJ/kg LWG (NRC, 1998, page 6)</t>
  </si>
  <si>
    <t>gestation: 1.5*#days (MJ/gestation) (NRC, 1998, page 7)</t>
  </si>
  <si>
    <t>Litter size  (pigs)</t>
  </si>
  <si>
    <t>Proportion growth piglets covered by milk (%)</t>
  </si>
  <si>
    <t>LW gain piglets (kg/day)</t>
  </si>
  <si>
    <t>lactation: (proportion requirements covered by milk*lactation length*(6.83*#piglets*growth/day-0.125*#piglets))*4.2 (MJ/lactation) (NRC 1998, page 7, equation 1-19)</t>
  </si>
  <si>
    <t>Perennial/ Tree crop</t>
  </si>
  <si>
    <t>Management grassland</t>
  </si>
  <si>
    <t>below ground</t>
  </si>
  <si>
    <t>Δ C Soils (trees)</t>
  </si>
  <si>
    <t>Δ C Soils (total)</t>
  </si>
  <si>
    <t>area (ha)</t>
  </si>
  <si>
    <t>nb trees per ha</t>
  </si>
  <si>
    <t>nb trees total</t>
  </si>
  <si>
    <t>years</t>
  </si>
  <si>
    <t>DBH year 0</t>
  </si>
  <si>
    <t>DBH increase per year</t>
  </si>
  <si>
    <t>DBH year N</t>
  </si>
  <si>
    <t>Biomass year 0 per tree</t>
  </si>
  <si>
    <t>Biomass year N per tree</t>
  </si>
  <si>
    <t>Biomass increase total (t)</t>
  </si>
  <si>
    <t>Biomass increase (t/year)</t>
  </si>
  <si>
    <t>C-content Biomass</t>
  </si>
  <si>
    <t>C-increase (t/year)</t>
  </si>
  <si>
    <t>CO2e-increase (t/year)</t>
  </si>
  <si>
    <t>C-increase SOC (t/year)</t>
  </si>
  <si>
    <t>CO2e-increase SOC (t/year)</t>
  </si>
  <si>
    <t>C-increase total (t/year)</t>
  </si>
  <si>
    <t>CO2e-increase total (t/year)</t>
  </si>
  <si>
    <t>legume</t>
  </si>
  <si>
    <t>year</t>
  </si>
  <si>
    <t>Height</t>
  </si>
  <si>
    <t>Volume</t>
  </si>
  <si>
    <t>Biomass</t>
  </si>
  <si>
    <t>carbon stock changes (t CO2eq/ha)</t>
  </si>
  <si>
    <t>Buffalo steers/heifers</t>
  </si>
  <si>
    <t>Buffalo calves</t>
  </si>
  <si>
    <t>Musa spp.</t>
  </si>
  <si>
    <t>Sheep/Goats - Ewes/Does</t>
  </si>
  <si>
    <t>Sheep/Goats - Fattening Rams/Bucks</t>
  </si>
  <si>
    <t>Sheep/Goats - Breeding Rams/Bucks</t>
  </si>
  <si>
    <t>Sheep/Goats - Lambs/Kids</t>
  </si>
  <si>
    <t>sheep/goats ME</t>
  </si>
  <si>
    <t>growth: 46 MJ/kg LWG (NRC, 2007)</t>
  </si>
  <si>
    <t>maintenance: 0.44*BW^0.75 (MJ/day) (Salah et al., 2014, NRC, 2007, page 41)</t>
  </si>
  <si>
    <t>activity: Maintenance + 25% (light), +50% (semi-arid rangelands) +75% transhumance (NRC 2007, page 44)</t>
  </si>
  <si>
    <t>Lactation length (small ruminants/pigs, days)</t>
  </si>
  <si>
    <t>lactation:maintenance*2.5*lactation length+5.5 MJ/kg milk non-lamb/kid (based on NRC, 2007)</t>
  </si>
  <si>
    <t>gestation: maintenance*0.25 (0-50 days); maintenance*0.35 (51-105 days); maintenance*0.55 (106-150 days) (based on NRC, 2007)</t>
  </si>
  <si>
    <t>sheep/goats CP</t>
  </si>
  <si>
    <t>gestation: maintenance*0.3 (0-50 days); maintenance*0.5 (51-105 days); maintenance*0.7 (106-150 days) (kg/day) (based on NRC, 2007)</t>
  </si>
  <si>
    <t>maintenance: 0.002*BW (kg/day) (modified from NRC, 2007)</t>
  </si>
  <si>
    <t>lactation: maintenance*2*lactation length+0.09 kg/kg milk non-lamb/kid (kg/day) (based on NRC, 2007)</t>
  </si>
  <si>
    <t>growth: 0.45 kg/kg LWG (based on NRC, 2007)</t>
  </si>
  <si>
    <t>Energy requirement lactation (ME, MJ/kg milk)</t>
  </si>
  <si>
    <t>Energy requirement lactation (ME, MJ/lactation)</t>
  </si>
  <si>
    <r>
      <t xml:space="preserve">Crude Protein/ </t>
    </r>
    <r>
      <rPr>
        <sz val="10"/>
        <color rgb="FFFF0000"/>
        <rFont val="Arial"/>
        <family val="2"/>
      </rPr>
      <t>Lysine</t>
    </r>
    <r>
      <rPr>
        <sz val="10"/>
        <rFont val="Arial"/>
        <family val="2"/>
      </rPr>
      <t xml:space="preserve"> requirement lactation (kg/</t>
    </r>
    <r>
      <rPr>
        <sz val="10"/>
        <color rgb="FFFF0000"/>
        <rFont val="Arial"/>
        <family val="2"/>
      </rPr>
      <t xml:space="preserve"> </t>
    </r>
    <r>
      <rPr>
        <sz val="10"/>
        <color theme="1"/>
        <rFont val="Arial"/>
        <family val="2"/>
      </rPr>
      <t>lactation</t>
    </r>
    <r>
      <rPr>
        <sz val="10"/>
        <rFont val="Arial"/>
        <family val="2"/>
      </rPr>
      <t>)</t>
    </r>
  </si>
  <si>
    <t>Crude Protein requirement  (kg/kg milk)</t>
  </si>
  <si>
    <t>1.1: factor FALSE digestible lysine to lysine feed content, 0.12: lysine proportion of protein (NRC, 1998, Fig 3-5 page 35), 2.3: weight gain per foetus, 0.11: protein content weight gain per foetus (NRC, 1998, page 37)</t>
  </si>
  <si>
    <t>1.1: factor FALSE digestible lysine to lysine feed content, 0.022: requirement per kg of litter weight gain  (NRC, 1998, page 39), 0.0064: contribution sow (NRC, 1998, page 40)</t>
  </si>
  <si>
    <t>1.1: factor FALSE digestible lysine to lysine feed content, 0.12: lysine proportion of protein, 0.39: proportion protein in BW gain (NRC, 1998, page 32)</t>
  </si>
  <si>
    <t>TOTAL GHG Emissions</t>
  </si>
  <si>
    <t>cattle ME</t>
  </si>
  <si>
    <t>buffalo ME</t>
  </si>
  <si>
    <t>maintenance: 0.5*BW^0.75 (MJ/day) NRC, 2001</t>
  </si>
  <si>
    <t>grazing (locomotion): 2 MJ/km</t>
  </si>
  <si>
    <t>pregnancy: requirements during the last 4 months are 4, 6, 12 and 20 MJ respectively for local cows: this corresponds to a total of 1260 MJ for the pregnancy period</t>
  </si>
  <si>
    <t>170 MJ</t>
  </si>
  <si>
    <t>lactation: 5.5 MJ/kg of milk</t>
  </si>
  <si>
    <t>growth: 50 MJ/kg of liveweight gain</t>
  </si>
  <si>
    <t>cattle CP</t>
  </si>
  <si>
    <t>maintenance: 0.001*BW (kg/day) NRC, 2001</t>
  </si>
  <si>
    <t>pregnancy: Daily Metabolisable Protein (MP) local cows’ requirements during the last 4 months are 20, 35, 60 and 110 g respectively: with a conversion factor of 0.7 from CP to MP this corresponds to a total of 9.64 kg of CP for the pregnancy period</t>
  </si>
  <si>
    <t>lactation: 0.09 kg/kg of milk</t>
  </si>
  <si>
    <t>growth: 0.4 kg/kg of liveweight gain</t>
  </si>
  <si>
    <t>buffalo CP</t>
  </si>
  <si>
    <r>
      <t>Crude Protein/</t>
    </r>
    <r>
      <rPr>
        <sz val="11"/>
        <color rgb="FFFF0000"/>
        <rFont val="Calibri"/>
        <family val="2"/>
        <scheme val="minor"/>
      </rPr>
      <t>lysine</t>
    </r>
    <r>
      <rPr>
        <sz val="11"/>
        <rFont val="Calibri"/>
        <family val="2"/>
        <scheme val="minor"/>
      </rPr>
      <t xml:space="preserve"> requirement pregnancy (kg/day)</t>
    </r>
  </si>
  <si>
    <r>
      <t>Crude Protein/</t>
    </r>
    <r>
      <rPr>
        <sz val="11"/>
        <color rgb="FFFF0000"/>
        <rFont val="Calibri"/>
        <family val="2"/>
        <scheme val="minor"/>
      </rPr>
      <t>lysine</t>
    </r>
    <r>
      <rPr>
        <sz val="11"/>
        <rFont val="Calibri"/>
        <family val="2"/>
        <scheme val="minor"/>
      </rPr>
      <t xml:space="preserve"> requirement lactation (kg/kg milk)</t>
    </r>
  </si>
  <si>
    <r>
      <t xml:space="preserve">Energy requirement lactation (ME,  </t>
    </r>
    <r>
      <rPr>
        <sz val="11"/>
        <color rgb="FFFF0000"/>
        <rFont val="Calibri"/>
        <family val="2"/>
        <scheme val="minor"/>
      </rPr>
      <t>MJ/day</t>
    </r>
    <r>
      <rPr>
        <sz val="11"/>
        <rFont val="Calibri"/>
        <family val="2"/>
        <scheme val="minor"/>
      </rPr>
      <t>)</t>
    </r>
  </si>
  <si>
    <r>
      <t>Crude Protein/</t>
    </r>
    <r>
      <rPr>
        <sz val="11"/>
        <color rgb="FFFF0000"/>
        <rFont val="Calibri"/>
        <family val="2"/>
        <scheme val="minor"/>
      </rPr>
      <t>lysine</t>
    </r>
    <r>
      <rPr>
        <sz val="11"/>
        <rFont val="Calibri"/>
        <family val="2"/>
        <scheme val="minor"/>
      </rPr>
      <t xml:space="preserve"> requirement lactation (kg/day)</t>
    </r>
  </si>
  <si>
    <t>A paved or unpaved open confinement area without any significant vegetative cover where accumulating manure may be removed periodically</t>
  </si>
  <si>
    <t>Cows (local)</t>
  </si>
  <si>
    <t>Cows (improved)</t>
  </si>
  <si>
    <t>Buffalo (dairy)</t>
  </si>
  <si>
    <t>Days</t>
  </si>
  <si>
    <t>Buffalo</t>
  </si>
  <si>
    <t>ASIA</t>
  </si>
  <si>
    <t xml:space="preserve">Almost all livestock manure is managed as a solid on pastures and ranges. Buffalo manure is
deposited on pastures and ranges
</t>
  </si>
  <si>
    <t xml:space="preserve">Almost all livestock manure is managed as a solid on pastures and ranges. Buffalo manure is deposited on pastures and ranges
</t>
  </si>
  <si>
    <t>About half of cattle manure is used for fuel with the remainder managed in dry systems. Almost 40% of swine manure is managed as a liquid. Buffalo manure is managed in drylots and deposited in pastures and ranges.</t>
  </si>
  <si>
    <t>Developing Countries</t>
  </si>
  <si>
    <t xml:space="preserve">REGION </t>
  </si>
  <si>
    <t>ANIMAL CATEGORY IPCC</t>
  </si>
  <si>
    <t>Other Cattle and Buffaloes that are primarily fed low quality crop residues and byproducts</t>
  </si>
  <si>
    <t>Table 10.12</t>
  </si>
  <si>
    <t>Other Cattle or Buffalo – grazing</t>
  </si>
  <si>
    <t>emission factor for manure management</t>
  </si>
  <si>
    <t>IPCC Category - methane emissions manure - Tier 1</t>
  </si>
  <si>
    <t>IPCC Category - methane emissions enteric fermentation - Tier 2</t>
  </si>
  <si>
    <t>IPCC Category - methane emissions enteric fermentation - Tier 1</t>
  </si>
  <si>
    <t>VLOOKUP(VLOOKUP(B8,'Livestock parameters'!$A$20:$AO$34,38,FALSE),'GHG Parameters'!$A$10:$D$16,MATCH(INPUTS!$E$3,'GHG Parameters'!$A$8:$D$8,0),FALSE)</t>
  </si>
  <si>
    <t>IPCC-Category - Default N-excretion rates Tier 1</t>
  </si>
  <si>
    <t>Cows (high productive)</t>
  </si>
  <si>
    <t>Season 1 - feedbasket</t>
  </si>
  <si>
    <t>Season 2 - feedbasket</t>
  </si>
  <si>
    <t>Season 1</t>
  </si>
  <si>
    <t>Season 3 - feedbasket</t>
  </si>
  <si>
    <t>Season 3</t>
  </si>
  <si>
    <t>SEASON 1</t>
  </si>
  <si>
    <t>Average 3 seasons</t>
  </si>
  <si>
    <t>Energy req. season 3 (MJ)</t>
  </si>
  <si>
    <t>Fresh Intake required (Kg FW/yr) season 3 - energy</t>
  </si>
  <si>
    <t>DMI required season 3 (kg DM/yr) - energy</t>
  </si>
  <si>
    <t>Protein req. season 3 (kg)</t>
  </si>
  <si>
    <t>Fresh intake required season 3 (kg DM/yr) - cp</t>
  </si>
  <si>
    <t>DMI required season 3 (kg DM/yr) - cp</t>
  </si>
  <si>
    <t>DMI (Energy) (S3)</t>
  </si>
  <si>
    <t>DMI (Protein S3)</t>
  </si>
  <si>
    <t>DMI S3</t>
  </si>
  <si>
    <t>limiting S3</t>
  </si>
  <si>
    <t>DMI required season 3 (kg DM/yr)</t>
  </si>
  <si>
    <t>Feed item DM req S3</t>
  </si>
  <si>
    <t>area tot (ha) S3</t>
  </si>
  <si>
    <t>area non-feed (ha) S3</t>
  </si>
  <si>
    <t>area feed (ha) S3</t>
  </si>
  <si>
    <t>Total Area DM S3</t>
  </si>
  <si>
    <t>cereal</t>
  </si>
  <si>
    <t>tree legume</t>
  </si>
  <si>
    <t>Legume</t>
  </si>
  <si>
    <t>Non-legume</t>
  </si>
  <si>
    <t>Tree</t>
  </si>
  <si>
    <t>trees non-feed</t>
  </si>
  <si>
    <t>trees feed</t>
  </si>
  <si>
    <t>(t C.yr-1)</t>
  </si>
  <si>
    <t>t CO2 eq yr-1</t>
  </si>
  <si>
    <t>Δ C Biomass (total)</t>
  </si>
  <si>
    <t>Δ CO2 eq Soils (total)</t>
  </si>
  <si>
    <t>Δ CO2 eq Biomass (total)</t>
  </si>
  <si>
    <t>Steers/heifers (improved)</t>
  </si>
  <si>
    <t>Calves (improved)</t>
  </si>
  <si>
    <t>Parturition interval (years)</t>
  </si>
  <si>
    <t>Operational costs (USD per animal year)</t>
  </si>
  <si>
    <t>Labour for feeding (days /animal /day)</t>
  </si>
  <si>
    <t xml:space="preserve">length of  feeding season 1 (ratio) </t>
  </si>
  <si>
    <t>length of feeding season 2 (ratio)</t>
  </si>
  <si>
    <t>length of feeding season 3 (ratio)</t>
  </si>
  <si>
    <t>Crude Protein  requirement maintenance (kg/day)</t>
  </si>
  <si>
    <t>trees-feed</t>
  </si>
  <si>
    <t>biomass (C) (t)</t>
  </si>
  <si>
    <t>Operational Cost
(USD/year)</t>
  </si>
  <si>
    <t>Extra one-off / establishment cost 
(USD)</t>
  </si>
  <si>
    <t xml:space="preserve">Extra labour - one-off 
(days) </t>
  </si>
  <si>
    <t>Extra labour 
(days /year)</t>
  </si>
  <si>
    <t>Table 11.1</t>
  </si>
  <si>
    <t>OFF FARM-Total N on pasture excreted from Cattle</t>
  </si>
  <si>
    <t>OFF FARM-Total N on pasture excreted from sheep and others</t>
  </si>
  <si>
    <t>Protein (kg/year)</t>
  </si>
  <si>
    <t>N Balance total (Kg N/year)</t>
  </si>
  <si>
    <t>N Balance total (Kg N/ha/year)</t>
  </si>
  <si>
    <t>Water use per feed item (m3)</t>
  </si>
  <si>
    <t>Global warming potential (CO2 eq)</t>
  </si>
  <si>
    <t>Kc: Initial</t>
  </si>
  <si>
    <t>Buffalo milk</t>
  </si>
  <si>
    <t>Buffalo meat</t>
  </si>
  <si>
    <t>Meat price (USD/kg)</t>
  </si>
  <si>
    <t>Milk price (USD/kg)</t>
  </si>
  <si>
    <t>Goat/Lamb/Mutton</t>
  </si>
  <si>
    <t>Goat/sheep milk</t>
  </si>
  <si>
    <t>Milk product</t>
  </si>
  <si>
    <t>mutton/goat</t>
  </si>
  <si>
    <t>cow milk</t>
  </si>
  <si>
    <t>buffalo meat</t>
  </si>
  <si>
    <t>buffalo milk</t>
  </si>
  <si>
    <t>goat/sheep milk</t>
  </si>
  <si>
    <t>production</t>
  </si>
  <si>
    <t xml:space="preserve">GRASSLAND REMAINING GRASSLAND </t>
  </si>
  <si>
    <t>Guatemala</t>
  </si>
  <si>
    <t>Guatemala (Tripsacum andersonii) - forage</t>
  </si>
  <si>
    <t>T23</t>
  </si>
  <si>
    <t>Dairy_Mufindi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</si>
</sst>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6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  <numFmt numFmtId="165" formatCode="0.0"/>
    <numFmt numFmtId="166" formatCode="0.000"/>
    <numFmt numFmtId="167" formatCode="0.0000"/>
    <numFmt numFmtId="168" formatCode="_(* #,##0_);_(* \(#,##0\);_(* &quot;-&quot;??_);_(@_)"/>
    <numFmt numFmtId="169" formatCode="_-* #,##0.0_-;\-* #,##0.0_-;_-* &quot;-&quot;??_-;_-@_-"/>
    <numFmt numFmtId="170" formatCode="_-* #,##0_-;\-* #,##0_-;_-* &quot;-&quot;??_-;_-@_-"/>
    <numFmt numFmtId="171" formatCode="_(&quot;$&quot;* #,##0_);_(&quot;$&quot;* \(#,##0\);_(&quot;$&quot;* &quot;-&quot;??_);_(@_)"/>
    <numFmt numFmtId="172" formatCode="_(* #,##0.0_);_(* \(#,##0.0\);_(* &quot;-&quot;??_);_(@_)"/>
    <numFmt numFmtId="173" formatCode="_(&quot;$&quot;* #,##0.0_);_(&quot;$&quot;* \(#,##0.0\);_(&quot;$&quot;* &quot;-&quot;??_);_(@_)"/>
    <numFmt numFmtId="174" formatCode="_(* #,##0.000_);_(* \(#,##0.000\);_(* &quot;-&quot;??_);_(@_)"/>
    <numFmt numFmtId="175" formatCode="#,##0.0"/>
    <numFmt numFmtId="176" formatCode="0.0%"/>
  </numFmts>
  <fonts count="114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61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0"/>
      <name val="Arial"/>
      <family val="2"/>
    </font>
    <font>
      <i/>
      <sz val="10"/>
      <name val="Arial"/>
      <family val="2"/>
    </font>
    <font>
      <sz val="12"/>
      <name val="Calibri"/>
      <family val="2"/>
      <scheme val="minor"/>
    </font>
    <font>
      <sz val="12"/>
      <color theme="1"/>
      <name val="ＭＳ ゴシック"/>
      <family val="2"/>
    </font>
    <font>
      <sz val="8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vertAlign val="subscript"/>
      <sz val="12"/>
      <name val="Calibri"/>
      <family val="2"/>
      <scheme val="minor"/>
    </font>
    <font>
      <vertAlign val="superscript"/>
      <sz val="12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sz val="14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2"/>
      <name val="Calibri"/>
      <family val="2"/>
      <scheme val="minor"/>
    </font>
    <font>
      <sz val="11"/>
      <color rgb="FF9C6500"/>
      <name val="Calibri"/>
      <family val="2"/>
      <scheme val="minor"/>
    </font>
    <font>
      <sz val="1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20"/>
      <name val="Calibri"/>
      <family val="2"/>
      <scheme val="minor"/>
    </font>
    <font>
      <sz val="7.5"/>
      <name val="Times New Roman"/>
      <family val="1"/>
    </font>
    <font>
      <sz val="11"/>
      <name val="Consolas"/>
      <family val="3"/>
    </font>
    <font>
      <sz val="10"/>
      <name val="Verdana"/>
      <family val="2"/>
    </font>
    <font>
      <b/>
      <sz val="7.5"/>
      <name val="Times New Roman"/>
      <family val="1"/>
    </font>
    <font>
      <b/>
      <sz val="7.5"/>
      <name val="Verdana"/>
      <family val="2"/>
    </font>
    <font>
      <sz val="10"/>
      <color rgb="FFFF0000"/>
      <name val="Arial"/>
      <family val="2"/>
    </font>
    <font>
      <i/>
      <sz val="11"/>
      <color rgb="FF7F7F7F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sz val="11"/>
      <color rgb="FF1F497D"/>
      <name val="Calibri"/>
      <family val="2"/>
      <scheme val="minor"/>
    </font>
    <font>
      <sz val="11"/>
      <color rgb="FF1F497D"/>
      <name val="Symbol"/>
      <family val="1"/>
      <charset val="2"/>
    </font>
    <font>
      <sz val="7"/>
      <color rgb="FF1F497D"/>
      <name val="Times New Roman"/>
      <family val="1"/>
    </font>
    <font>
      <sz val="12"/>
      <color theme="5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5"/>
      <name val="Arial"/>
      <family val="2"/>
    </font>
    <font>
      <b/>
      <i/>
      <sz val="12"/>
      <color theme="1"/>
      <name val="Calibri"/>
      <family val="2"/>
      <scheme val="minor"/>
    </font>
    <font>
      <b/>
      <sz val="12"/>
      <color theme="3"/>
      <name val="Calibri"/>
      <family val="2"/>
      <scheme val="minor"/>
    </font>
    <font>
      <i/>
      <sz val="11"/>
      <color theme="0" tint="-0.14999847407452621"/>
      <name val="Calibri"/>
      <family val="2"/>
      <scheme val="minor"/>
    </font>
    <font>
      <sz val="13"/>
      <color rgb="FF242729"/>
      <name val="Consolas"/>
      <family val="3"/>
    </font>
    <font>
      <sz val="12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i/>
      <sz val="12"/>
      <color theme="0" tint="-0.1499984740745262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2"/>
      <color theme="9" tint="-0.249977111117893"/>
      <name val="Calibri"/>
      <family val="2"/>
      <scheme val="minor"/>
    </font>
    <font>
      <i/>
      <sz val="12"/>
      <color theme="9" tint="-0.249977111117893"/>
      <name val="Calibri"/>
      <family val="2"/>
      <scheme val="minor"/>
    </font>
    <font>
      <b/>
      <sz val="12"/>
      <color theme="9" tint="-0.249977111117893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i/>
      <sz val="12"/>
      <color theme="0" tint="-4.9989318521683403E-2"/>
      <name val="Calibri"/>
      <family val="2"/>
      <scheme val="minor"/>
    </font>
    <font>
      <sz val="10"/>
      <color rgb="FF242729"/>
      <name val="Consolas"/>
      <family val="3"/>
    </font>
    <font>
      <b/>
      <i/>
      <sz val="12"/>
      <color theme="0" tint="-0.249977111117893"/>
      <name val="Calibri"/>
      <family val="2"/>
      <scheme val="minor"/>
    </font>
    <font>
      <b/>
      <sz val="12"/>
      <color theme="0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0"/>
      <color theme="1"/>
      <name val="Arial"/>
      <family val="2"/>
    </font>
    <font>
      <u/>
      <sz val="10"/>
      <name val="Arial"/>
      <family val="2"/>
    </font>
    <font>
      <u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2"/>
      <color theme="0" tint="-0.499984740745262"/>
      <name val="Calibri"/>
      <family val="2"/>
      <scheme val="minor"/>
    </font>
    <font>
      <i/>
      <sz val="11"/>
      <color rgb="FF1F497D"/>
      <name val="Symbol"/>
      <family val="1"/>
      <charset val="2"/>
    </font>
    <font>
      <i/>
      <sz val="7"/>
      <color rgb="FF1F497D"/>
      <name val="Times New Roman"/>
      <family val="1"/>
    </font>
    <font>
      <i/>
      <sz val="11"/>
      <color rgb="FF1F497D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  <scheme val="minor"/>
    </font>
    <font>
      <sz val="14"/>
      <name val="Calibri"/>
      <family val="2"/>
      <scheme val="minor"/>
    </font>
    <font>
      <b/>
      <sz val="12"/>
      <color rgb="FFC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242729"/>
      <name val="Calibri"/>
      <family val="2"/>
    </font>
    <font>
      <sz val="17"/>
      <color rgb="FF20303C"/>
      <name val="Georgia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7CE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C4D79B"/>
        <bgColor rgb="FF000000"/>
      </patternFill>
    </fill>
    <fill>
      <patternFill patternType="solid">
        <fgColor theme="1"/>
        <bgColor indexed="64"/>
      </patternFill>
    </fill>
  </fills>
  <borders count="8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double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/>
      <top style="thin">
        <color indexed="64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</borders>
  <cellStyleXfs count="1842">
    <xf numFmtId="0" fontId="0" fillId="0" borderId="0"/>
    <xf numFmtId="0" fontId="25" fillId="2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7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3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49" fillId="1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52" fillId="15" borderId="0" applyNumberFormat="0" applyBorder="0" applyAlignment="0" applyProtection="0"/>
    <xf numFmtId="9" fontId="23" fillId="0" borderId="0" applyFont="0" applyFill="0" applyBorder="0" applyAlignment="0" applyProtection="0"/>
    <xf numFmtId="0" fontId="54" fillId="16" borderId="62" applyNumberFormat="0" applyAlignment="0" applyProtection="0"/>
    <xf numFmtId="0" fontId="62" fillId="0" borderId="0" applyNumberFormat="0" applyFill="0" applyBorder="0" applyAlignment="0" applyProtection="0"/>
    <xf numFmtId="0" fontId="22" fillId="0" borderId="0"/>
    <xf numFmtId="0" fontId="3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43" fontId="23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44" fontId="23" fillId="0" borderId="0" applyFont="0" applyFill="0" applyBorder="0" applyAlignment="0" applyProtection="0"/>
    <xf numFmtId="0" fontId="20" fillId="0" borderId="0"/>
    <xf numFmtId="164" fontId="23" fillId="0" borderId="0" applyFont="0" applyFill="0" applyBorder="0" applyAlignment="0" applyProtection="0"/>
  </cellStyleXfs>
  <cellXfs count="1683">
    <xf numFmtId="0" fontId="0" fillId="0" borderId="0" xfId="0"/>
    <xf numFmtId="0" fontId="26" fillId="0" borderId="0" xfId="0" applyFont="1"/>
    <xf numFmtId="0" fontId="0" fillId="0" borderId="0" xfId="0" applyAlignment="1">
      <alignment vertical="center"/>
    </xf>
    <xf numFmtId="0" fontId="0" fillId="0" borderId="12" xfId="0" applyBorder="1"/>
    <xf numFmtId="0" fontId="0" fillId="0" borderId="13" xfId="0" applyBorder="1"/>
    <xf numFmtId="0" fontId="31" fillId="0" borderId="0" xfId="0" applyFont="1"/>
    <xf numFmtId="0" fontId="32" fillId="0" borderId="0" xfId="0" applyFont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wrapText="1"/>
    </xf>
    <xf numFmtId="0" fontId="27" fillId="0" borderId="0" xfId="6"/>
    <xf numFmtId="0" fontId="0" fillId="0" borderId="0" xfId="0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vertical="center"/>
    </xf>
    <xf numFmtId="0" fontId="0" fillId="0" borderId="1" xfId="0" applyBorder="1" applyAlignment="1">
      <alignment vertical="top" wrapText="1"/>
    </xf>
    <xf numFmtId="0" fontId="0" fillId="0" borderId="19" xfId="0" applyBorder="1" applyAlignment="1">
      <alignment vertical="center"/>
    </xf>
    <xf numFmtId="0" fontId="0" fillId="0" borderId="1" xfId="0" applyBorder="1" applyAlignment="1">
      <alignment wrapText="1"/>
    </xf>
    <xf numFmtId="0" fontId="0" fillId="3" borderId="1" xfId="0" applyFill="1" applyBorder="1" applyAlignment="1">
      <alignment vertical="top" wrapText="1"/>
    </xf>
    <xf numFmtId="0" fontId="0" fillId="5" borderId="1" xfId="0" applyFill="1" applyBorder="1"/>
    <xf numFmtId="0" fontId="0" fillId="0" borderId="1" xfId="0" applyBorder="1" applyAlignment="1">
      <alignment vertical="center" wrapText="1"/>
    </xf>
    <xf numFmtId="0" fontId="0" fillId="5" borderId="1" xfId="0" applyFill="1" applyBorder="1" applyAlignment="1">
      <alignment wrapText="1"/>
    </xf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5" borderId="1" xfId="0" applyFill="1" applyBorder="1" applyAlignment="1">
      <alignment vertical="center"/>
    </xf>
    <xf numFmtId="0" fontId="0" fillId="5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26" fillId="0" borderId="1" xfId="0" applyFont="1" applyBorder="1" applyAlignment="1">
      <alignment horizontal="center" vertical="center" wrapText="1"/>
    </xf>
    <xf numFmtId="0" fontId="30" fillId="6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0" fillId="0" borderId="1" xfId="0" applyFont="1" applyBorder="1" applyAlignment="1">
      <alignment horizontal="center" vertical="center" wrapText="1"/>
    </xf>
    <xf numFmtId="0" fontId="33" fillId="5" borderId="1" xfId="1" applyFont="1" applyFill="1" applyBorder="1" applyAlignment="1">
      <alignment horizontal="center" vertical="center"/>
    </xf>
    <xf numFmtId="0" fontId="33" fillId="6" borderId="1" xfId="1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6" borderId="12" xfId="0" applyFill="1" applyBorder="1" applyAlignment="1">
      <alignment horizontal="center" vertical="center"/>
    </xf>
    <xf numFmtId="0" fontId="33" fillId="5" borderId="1" xfId="1" applyFont="1" applyFill="1" applyBorder="1" applyAlignment="1">
      <alignment horizontal="center" vertical="center" wrapText="1"/>
    </xf>
    <xf numFmtId="0" fontId="30" fillId="0" borderId="0" xfId="0" applyFont="1"/>
    <xf numFmtId="0" fontId="34" fillId="0" borderId="1" xfId="0" applyFont="1" applyBorder="1" applyAlignment="1">
      <alignment vertical="center" wrapText="1"/>
    </xf>
    <xf numFmtId="2" fontId="0" fillId="0" borderId="0" xfId="0" applyNumberFormat="1"/>
    <xf numFmtId="2" fontId="0" fillId="0" borderId="1" xfId="0" applyNumberFormat="1" applyBorder="1"/>
    <xf numFmtId="0" fontId="0" fillId="0" borderId="23" xfId="0" applyBorder="1"/>
    <xf numFmtId="0" fontId="0" fillId="4" borderId="0" xfId="0" applyFill="1"/>
    <xf numFmtId="0" fontId="37" fillId="6" borderId="1" xfId="1" applyFont="1" applyFill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 wrapText="1"/>
    </xf>
    <xf numFmtId="0" fontId="30" fillId="5" borderId="1" xfId="0" applyFont="1" applyFill="1" applyBorder="1" applyAlignment="1">
      <alignment horizontal="center" vertical="center" wrapText="1"/>
    </xf>
    <xf numFmtId="2" fontId="30" fillId="0" borderId="1" xfId="0" applyNumberFormat="1" applyFont="1" applyBorder="1" applyAlignment="1">
      <alignment horizontal="center" vertical="center" wrapText="1"/>
    </xf>
    <xf numFmtId="0" fontId="37" fillId="6" borderId="21" xfId="1" applyFont="1" applyFill="1" applyBorder="1" applyAlignment="1">
      <alignment horizontal="center" vertical="center"/>
    </xf>
    <xf numFmtId="0" fontId="38" fillId="5" borderId="1" xfId="1" applyFont="1" applyFill="1" applyBorder="1" applyAlignment="1">
      <alignment horizontal="center" vertical="center"/>
    </xf>
    <xf numFmtId="166" fontId="37" fillId="5" borderId="1" xfId="1" applyNumberFormat="1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 wrapText="1"/>
    </xf>
    <xf numFmtId="0" fontId="38" fillId="6" borderId="1" xfId="1" applyFont="1" applyFill="1" applyBorder="1" applyAlignment="1">
      <alignment horizontal="center" vertical="center" wrapText="1"/>
    </xf>
    <xf numFmtId="2" fontId="38" fillId="6" borderId="1" xfId="1" applyNumberFormat="1" applyFont="1" applyFill="1" applyBorder="1" applyAlignment="1">
      <alignment horizontal="center" vertical="center" wrapText="1"/>
    </xf>
    <xf numFmtId="0" fontId="37" fillId="6" borderId="1" xfId="1" applyFont="1" applyFill="1" applyBorder="1" applyAlignment="1">
      <alignment horizontal="center" vertical="center" wrapText="1"/>
    </xf>
    <xf numFmtId="2" fontId="37" fillId="6" borderId="1" xfId="1" applyNumberFormat="1" applyFont="1" applyFill="1" applyBorder="1" applyAlignment="1">
      <alignment horizontal="center" vertical="center" wrapText="1"/>
    </xf>
    <xf numFmtId="0" fontId="37" fillId="6" borderId="19" xfId="1" applyFont="1" applyFill="1" applyBorder="1" applyAlignment="1">
      <alignment horizontal="center" vertical="center" wrapText="1"/>
    </xf>
    <xf numFmtId="2" fontId="37" fillId="6" borderId="19" xfId="1" applyNumberFormat="1" applyFont="1" applyFill="1" applyBorder="1" applyAlignment="1">
      <alignment horizontal="center" vertical="center" wrapText="1"/>
    </xf>
    <xf numFmtId="0" fontId="38" fillId="6" borderId="1" xfId="0" applyFont="1" applyFill="1" applyBorder="1" applyAlignment="1">
      <alignment horizontal="center" vertical="center" wrapText="1"/>
    </xf>
    <xf numFmtId="0" fontId="38" fillId="6" borderId="1" xfId="0" applyFont="1" applyFill="1" applyBorder="1" applyAlignment="1">
      <alignment horizontal="center" vertical="center"/>
    </xf>
    <xf numFmtId="0" fontId="37" fillId="6" borderId="1" xfId="0" applyFont="1" applyFill="1" applyBorder="1" applyAlignment="1">
      <alignment horizontal="center" vertical="center"/>
    </xf>
    <xf numFmtId="2" fontId="38" fillId="6" borderId="1" xfId="1" applyNumberFormat="1" applyFont="1" applyFill="1" applyBorder="1" applyAlignment="1">
      <alignment horizontal="center" vertical="center"/>
    </xf>
    <xf numFmtId="0" fontId="38" fillId="5" borderId="1" xfId="1" applyFont="1" applyFill="1" applyBorder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0" fontId="30" fillId="0" borderId="1" xfId="0" applyFont="1" applyBorder="1" applyAlignment="1">
      <alignment vertical="top"/>
    </xf>
    <xf numFmtId="0" fontId="30" fillId="0" borderId="1" xfId="0" applyFont="1" applyBorder="1" applyAlignment="1">
      <alignment vertical="top" wrapText="1"/>
    </xf>
    <xf numFmtId="2" fontId="37" fillId="6" borderId="1" xfId="1" applyNumberFormat="1" applyFont="1" applyFill="1" applyBorder="1" applyAlignment="1">
      <alignment horizontal="center" vertical="center"/>
    </xf>
    <xf numFmtId="0" fontId="30" fillId="5" borderId="1" xfId="0" applyFon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30" fillId="0" borderId="1" xfId="0" applyNumberFormat="1" applyFont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2" fontId="0" fillId="5" borderId="1" xfId="0" applyNumberFormat="1" applyFill="1" applyBorder="1" applyAlignment="1">
      <alignment horizontal="center" vertical="center"/>
    </xf>
    <xf numFmtId="0" fontId="0" fillId="6" borderId="0" xfId="0" applyFill="1"/>
    <xf numFmtId="2" fontId="30" fillId="6" borderId="1" xfId="0" applyNumberFormat="1" applyFont="1" applyFill="1" applyBorder="1" applyAlignment="1">
      <alignment horizontal="center" vertical="center" wrapText="1"/>
    </xf>
    <xf numFmtId="2" fontId="27" fillId="6" borderId="1" xfId="6" applyNumberFormat="1" applyFill="1" applyBorder="1"/>
    <xf numFmtId="0" fontId="0" fillId="5" borderId="19" xfId="0" applyFill="1" applyBorder="1" applyAlignment="1">
      <alignment vertical="center" wrapText="1"/>
    </xf>
    <xf numFmtId="2" fontId="0" fillId="6" borderId="1" xfId="0" applyNumberFormat="1" applyFill="1" applyBorder="1" applyAlignment="1">
      <alignment horizontal="center" vertical="center" wrapText="1"/>
    </xf>
    <xf numFmtId="2" fontId="27" fillId="6" borderId="1" xfId="6" applyNumberFormat="1" applyFill="1" applyBorder="1" applyAlignment="1">
      <alignment horizontal="center" vertical="center"/>
    </xf>
    <xf numFmtId="0" fontId="27" fillId="5" borderId="1" xfId="6" applyFill="1" applyBorder="1" applyAlignment="1">
      <alignment horizontal="center" vertical="center"/>
    </xf>
    <xf numFmtId="2" fontId="30" fillId="6" borderId="1" xfId="0" applyNumberFormat="1" applyFont="1" applyFill="1" applyBorder="1" applyAlignment="1">
      <alignment horizontal="center" vertical="center"/>
    </xf>
    <xf numFmtId="0" fontId="35" fillId="0" borderId="0" xfId="0" applyFont="1"/>
    <xf numFmtId="0" fontId="0" fillId="0" borderId="13" xfId="0" applyBorder="1" applyAlignment="1">
      <alignment horizontal="center"/>
    </xf>
    <xf numFmtId="0" fontId="43" fillId="0" borderId="1" xfId="0" applyFont="1" applyBorder="1" applyAlignment="1">
      <alignment horizontal="center" vertical="center" wrapText="1"/>
    </xf>
    <xf numFmtId="0" fontId="43" fillId="0" borderId="12" xfId="0" applyFont="1" applyBorder="1"/>
    <xf numFmtId="0" fontId="0" fillId="0" borderId="19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2" fontId="0" fillId="0" borderId="12" xfId="0" applyNumberFormat="1" applyBorder="1" applyAlignment="1">
      <alignment horizontal="center" vertical="center"/>
    </xf>
    <xf numFmtId="0" fontId="0" fillId="5" borderId="19" xfId="0" applyFill="1" applyBorder="1" applyAlignment="1">
      <alignment horizontal="center" vertical="center" wrapText="1"/>
    </xf>
    <xf numFmtId="0" fontId="0" fillId="5" borderId="12" xfId="0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38" fillId="6" borderId="1" xfId="1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0" fontId="39" fillId="5" borderId="1" xfId="0" applyFont="1" applyFill="1" applyBorder="1" applyAlignment="1">
      <alignment horizontal="center" vertical="center" wrapText="1"/>
    </xf>
    <xf numFmtId="2" fontId="0" fillId="0" borderId="12" xfId="0" applyNumberFormat="1" applyBorder="1" applyAlignment="1">
      <alignment horizontal="center" vertical="center" wrapText="1"/>
    </xf>
    <xf numFmtId="0" fontId="0" fillId="0" borderId="20" xfId="0" applyBorder="1" applyAlignment="1">
      <alignment horizontal="center" vertical="center"/>
    </xf>
    <xf numFmtId="0" fontId="0" fillId="5" borderId="20" xfId="0" applyFill="1" applyBorder="1" applyAlignment="1">
      <alignment horizontal="center" vertical="center" wrapText="1"/>
    </xf>
    <xf numFmtId="2" fontId="0" fillId="0" borderId="20" xfId="0" applyNumberFormat="1" applyBorder="1" applyAlignment="1">
      <alignment horizontal="center" vertical="center"/>
    </xf>
    <xf numFmtId="2" fontId="0" fillId="0" borderId="20" xfId="0" applyNumberFormat="1" applyBorder="1" applyAlignment="1">
      <alignment horizontal="center" vertical="center" wrapText="1"/>
    </xf>
    <xf numFmtId="2" fontId="0" fillId="6" borderId="12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center" vertical="top" wrapText="1"/>
    </xf>
    <xf numFmtId="0" fontId="30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wrapText="1"/>
    </xf>
    <xf numFmtId="0" fontId="0" fillId="0" borderId="8" xfId="0" applyBorder="1" applyAlignment="1">
      <alignment horizontal="center" vertical="top" wrapText="1"/>
    </xf>
    <xf numFmtId="0" fontId="30" fillId="0" borderId="8" xfId="0" applyFont="1" applyBorder="1" applyAlignment="1">
      <alignment horizontal="center" vertical="top" wrapText="1"/>
    </xf>
    <xf numFmtId="0" fontId="0" fillId="0" borderId="20" xfId="0" applyBorder="1" applyAlignment="1">
      <alignment horizontal="center" vertical="center" wrapText="1"/>
    </xf>
    <xf numFmtId="0" fontId="0" fillId="0" borderId="20" xfId="0" applyBorder="1" applyAlignment="1">
      <alignment horizontal="center" wrapText="1"/>
    </xf>
    <xf numFmtId="0" fontId="30" fillId="0" borderId="20" xfId="0" applyFont="1" applyBorder="1" applyAlignment="1">
      <alignment horizontal="center" wrapText="1"/>
    </xf>
    <xf numFmtId="0" fontId="0" fillId="0" borderId="8" xfId="0" applyBorder="1" applyAlignment="1">
      <alignment vertical="center" wrapText="1"/>
    </xf>
    <xf numFmtId="0" fontId="0" fillId="0" borderId="17" xfId="0" applyBorder="1" applyAlignment="1">
      <alignment vertical="center" wrapText="1"/>
    </xf>
    <xf numFmtId="0" fontId="0" fillId="0" borderId="46" xfId="0" applyBorder="1" applyAlignment="1">
      <alignment vertical="center" wrapText="1"/>
    </xf>
    <xf numFmtId="0" fontId="0" fillId="0" borderId="47" xfId="0" applyBorder="1" applyAlignment="1">
      <alignment vertical="top" wrapText="1"/>
    </xf>
    <xf numFmtId="0" fontId="0" fillId="6" borderId="1" xfId="0" applyFill="1" applyBorder="1" applyAlignment="1">
      <alignment horizontal="center" vertical="center" wrapText="1"/>
    </xf>
    <xf numFmtId="2" fontId="0" fillId="5" borderId="1" xfId="0" applyNumberFormat="1" applyFill="1" applyBorder="1"/>
    <xf numFmtId="0" fontId="0" fillId="6" borderId="21" xfId="0" applyFill="1" applyBorder="1" applyAlignment="1">
      <alignment horizontal="center" vertical="center" wrapText="1"/>
    </xf>
    <xf numFmtId="2" fontId="30" fillId="0" borderId="1" xfId="0" applyNumberFormat="1" applyFont="1" applyBorder="1" applyAlignment="1">
      <alignment horizontal="center"/>
    </xf>
    <xf numFmtId="0" fontId="30" fillId="6" borderId="0" xfId="0" applyFont="1" applyFill="1" applyAlignment="1">
      <alignment horizontal="center" vertical="center" wrapText="1"/>
    </xf>
    <xf numFmtId="2" fontId="43" fillId="6" borderId="1" xfId="0" applyNumberFormat="1" applyFont="1" applyFill="1" applyBorder="1" applyAlignment="1">
      <alignment horizontal="center" vertical="center" wrapText="1"/>
    </xf>
    <xf numFmtId="167" fontId="0" fillId="0" borderId="1" xfId="0" applyNumberFormat="1" applyBorder="1" applyAlignment="1">
      <alignment horizontal="center" vertical="center" wrapText="1"/>
    </xf>
    <xf numFmtId="2" fontId="0" fillId="0" borderId="1" xfId="0" applyNumberFormat="1" applyBorder="1" applyAlignment="1">
      <alignment vertical="center"/>
    </xf>
    <xf numFmtId="1" fontId="0" fillId="0" borderId="1" xfId="0" applyNumberFormat="1" applyBorder="1" applyAlignment="1">
      <alignment horizontal="center" vertical="center"/>
    </xf>
    <xf numFmtId="0" fontId="0" fillId="0" borderId="8" xfId="0" applyBorder="1"/>
    <xf numFmtId="0" fontId="0" fillId="0" borderId="17" xfId="0" applyBorder="1"/>
    <xf numFmtId="0" fontId="0" fillId="0" borderId="22" xfId="0" applyBorder="1" applyAlignment="1">
      <alignment vertical="center"/>
    </xf>
    <xf numFmtId="0" fontId="0" fillId="0" borderId="8" xfId="0" applyBorder="1" applyAlignment="1">
      <alignment horizontal="center" vertical="center"/>
    </xf>
    <xf numFmtId="0" fontId="0" fillId="8" borderId="0" xfId="0" applyFill="1"/>
    <xf numFmtId="0" fontId="0" fillId="8" borderId="19" xfId="0" applyFill="1" applyBorder="1" applyAlignment="1">
      <alignment vertical="center"/>
    </xf>
    <xf numFmtId="2" fontId="0" fillId="8" borderId="1" xfId="0" applyNumberFormat="1" applyFill="1" applyBorder="1"/>
    <xf numFmtId="0" fontId="0" fillId="8" borderId="1" xfId="0" applyFill="1" applyBorder="1" applyAlignment="1">
      <alignment wrapText="1"/>
    </xf>
    <xf numFmtId="0" fontId="0" fillId="8" borderId="1" xfId="0" applyFill="1" applyBorder="1"/>
    <xf numFmtId="166" fontId="0" fillId="0" borderId="1" xfId="0" applyNumberFormat="1" applyBorder="1" applyAlignment="1">
      <alignment horizontal="center" vertical="center"/>
    </xf>
    <xf numFmtId="2" fontId="0" fillId="0" borderId="12" xfId="0" applyNumberFormat="1" applyBorder="1"/>
    <xf numFmtId="2" fontId="30" fillId="0" borderId="12" xfId="0" applyNumberFormat="1" applyFont="1" applyBorder="1"/>
    <xf numFmtId="2" fontId="30" fillId="0" borderId="1" xfId="0" applyNumberFormat="1" applyFont="1" applyBorder="1"/>
    <xf numFmtId="0" fontId="0" fillId="0" borderId="12" xfId="0" applyBorder="1" applyAlignment="1">
      <alignment wrapText="1"/>
    </xf>
    <xf numFmtId="0" fontId="0" fillId="8" borderId="1" xfId="0" applyFill="1" applyBorder="1" applyAlignment="1">
      <alignment shrinkToFit="1"/>
    </xf>
    <xf numFmtId="0" fontId="27" fillId="4" borderId="0" xfId="0" applyFont="1" applyFill="1" applyAlignment="1">
      <alignment horizontal="center" wrapText="1"/>
    </xf>
    <xf numFmtId="0" fontId="27" fillId="11" borderId="0" xfId="0" applyFont="1" applyFill="1" applyAlignment="1">
      <alignment horizontal="center" wrapText="1"/>
    </xf>
    <xf numFmtId="0" fontId="26" fillId="0" borderId="0" xfId="0" applyFont="1" applyAlignment="1">
      <alignment horizontal="left" wrapText="1"/>
    </xf>
    <xf numFmtId="0" fontId="0" fillId="0" borderId="0" xfId="0" applyAlignment="1">
      <alignment vertical="top" wrapText="1"/>
    </xf>
    <xf numFmtId="0" fontId="27" fillId="0" borderId="0" xfId="0" applyFont="1" applyAlignment="1">
      <alignment vertical="top" wrapText="1"/>
    </xf>
    <xf numFmtId="0" fontId="0" fillId="10" borderId="0" xfId="0" applyFill="1"/>
    <xf numFmtId="0" fontId="27" fillId="0" borderId="0" xfId="0" applyFont="1"/>
    <xf numFmtId="0" fontId="27" fillId="10" borderId="0" xfId="0" applyFont="1" applyFill="1" applyAlignment="1">
      <alignment horizontal="center" wrapText="1"/>
    </xf>
    <xf numFmtId="0" fontId="33" fillId="0" borderId="0" xfId="0" applyFont="1"/>
    <xf numFmtId="0" fontId="37" fillId="0" borderId="0" xfId="0" applyFont="1" applyAlignment="1">
      <alignment wrapText="1"/>
    </xf>
    <xf numFmtId="0" fontId="37" fillId="0" borderId="1" xfId="0" applyFont="1" applyBorder="1" applyAlignment="1">
      <alignment horizontal="center" vertical="center" wrapText="1"/>
    </xf>
    <xf numFmtId="0" fontId="26" fillId="9" borderId="12" xfId="0" applyFont="1" applyFill="1" applyBorder="1"/>
    <xf numFmtId="0" fontId="30" fillId="0" borderId="1" xfId="0" applyFont="1" applyBorder="1" applyAlignment="1">
      <alignment horizontal="left" wrapText="1"/>
    </xf>
    <xf numFmtId="0" fontId="0" fillId="5" borderId="8" xfId="0" applyFill="1" applyBorder="1"/>
    <xf numFmtId="0" fontId="33" fillId="4" borderId="1" xfId="0" applyFont="1" applyFill="1" applyBorder="1"/>
    <xf numFmtId="2" fontId="37" fillId="4" borderId="1" xfId="0" applyNumberFormat="1" applyFont="1" applyFill="1" applyBorder="1" applyAlignment="1">
      <alignment horizontal="center"/>
    </xf>
    <xf numFmtId="0" fontId="33" fillId="0" borderId="1" xfId="0" applyFont="1" applyBorder="1" applyAlignment="1">
      <alignment horizontal="center" vertical="center" wrapText="1"/>
    </xf>
    <xf numFmtId="0" fontId="33" fillId="0" borderId="0" xfId="0" applyFont="1" applyAlignment="1">
      <alignment horizontal="center" vertical="center" wrapText="1"/>
    </xf>
    <xf numFmtId="2" fontId="33" fillId="0" borderId="1" xfId="1" applyNumberFormat="1" applyFont="1" applyFill="1" applyBorder="1" applyAlignment="1">
      <alignment horizontal="center" vertical="center"/>
    </xf>
    <xf numFmtId="0" fontId="36" fillId="7" borderId="1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2" fontId="0" fillId="10" borderId="1" xfId="0" applyNumberFormat="1" applyFill="1" applyBorder="1" applyAlignment="1">
      <alignment horizontal="center" vertical="center" wrapText="1"/>
    </xf>
    <xf numFmtId="0" fontId="0" fillId="0" borderId="19" xfId="0" applyBorder="1"/>
    <xf numFmtId="2" fontId="0" fillId="0" borderId="21" xfId="0" applyNumberFormat="1" applyBorder="1"/>
    <xf numFmtId="2" fontId="38" fillId="0" borderId="1" xfId="1" applyNumberFormat="1" applyFont="1" applyFill="1" applyBorder="1" applyAlignment="1">
      <alignment horizontal="center" vertical="center" wrapText="1"/>
    </xf>
    <xf numFmtId="0" fontId="38" fillId="0" borderId="1" xfId="1" applyFont="1" applyFill="1" applyBorder="1" applyAlignment="1">
      <alignment horizontal="center" vertical="center" wrapText="1"/>
    </xf>
    <xf numFmtId="0" fontId="33" fillId="0" borderId="1" xfId="0" applyFont="1" applyBorder="1" applyAlignment="1">
      <alignment horizontal="left" vertical="center"/>
    </xf>
    <xf numFmtId="2" fontId="51" fillId="0" borderId="1" xfId="0" applyNumberFormat="1" applyFont="1" applyBorder="1" applyAlignment="1">
      <alignment horizontal="center" vertical="center"/>
    </xf>
    <xf numFmtId="0" fontId="33" fillId="0" borderId="1" xfId="1" applyFont="1" applyFill="1" applyBorder="1" applyAlignment="1">
      <alignment horizontal="center" vertical="center"/>
    </xf>
    <xf numFmtId="0" fontId="49" fillId="13" borderId="1" xfId="996" applyBorder="1" applyAlignment="1">
      <alignment horizontal="center" vertical="center" wrapText="1"/>
    </xf>
    <xf numFmtId="2" fontId="0" fillId="6" borderId="20" xfId="0" applyNumberFormat="1" applyFill="1" applyBorder="1" applyAlignment="1">
      <alignment horizontal="center" vertical="center"/>
    </xf>
    <xf numFmtId="0" fontId="33" fillId="0" borderId="0" xfId="0" applyFont="1" applyAlignment="1">
      <alignment horizontal="left" vertical="center"/>
    </xf>
    <xf numFmtId="2" fontId="49" fillId="13" borderId="1" xfId="996" applyNumberFormat="1" applyBorder="1" applyAlignment="1">
      <alignment horizontal="center" vertical="center"/>
    </xf>
    <xf numFmtId="0" fontId="0" fillId="0" borderId="0" xfId="0" applyAlignment="1">
      <alignment horizontal="right"/>
    </xf>
    <xf numFmtId="0" fontId="30" fillId="5" borderId="15" xfId="0" applyFont="1" applyFill="1" applyBorder="1" applyAlignment="1">
      <alignment horizontal="center" vertical="center"/>
    </xf>
    <xf numFmtId="0" fontId="30" fillId="0" borderId="0" xfId="0" applyFont="1" applyAlignment="1">
      <alignment wrapText="1"/>
    </xf>
    <xf numFmtId="0" fontId="0" fillId="0" borderId="1" xfId="0" applyBorder="1" applyAlignment="1">
      <alignment horizontal="right"/>
    </xf>
    <xf numFmtId="0" fontId="33" fillId="0" borderId="1" xfId="0" applyFont="1" applyBorder="1"/>
    <xf numFmtId="0" fontId="37" fillId="0" borderId="1" xfId="0" applyFont="1" applyBorder="1"/>
    <xf numFmtId="49" fontId="33" fillId="0" borderId="1" xfId="0" applyNumberFormat="1" applyFont="1" applyBorder="1"/>
    <xf numFmtId="0" fontId="49" fillId="13" borderId="0" xfId="996"/>
    <xf numFmtId="2" fontId="49" fillId="13" borderId="0" xfId="996" applyNumberFormat="1" applyAlignment="1">
      <alignment horizontal="center" vertical="center"/>
    </xf>
    <xf numFmtId="2" fontId="27" fillId="0" borderId="0" xfId="6" applyNumberFormat="1" applyAlignment="1">
      <alignment horizontal="center" vertical="center"/>
    </xf>
    <xf numFmtId="0" fontId="50" fillId="0" borderId="9" xfId="0" applyFont="1" applyBorder="1" applyAlignment="1">
      <alignment vertical="center"/>
    </xf>
    <xf numFmtId="0" fontId="50" fillId="0" borderId="10" xfId="0" applyFont="1" applyBorder="1" applyAlignment="1">
      <alignment vertical="center"/>
    </xf>
    <xf numFmtId="0" fontId="50" fillId="0" borderId="13" xfId="0" applyFont="1" applyBorder="1" applyAlignment="1">
      <alignment vertical="center"/>
    </xf>
    <xf numFmtId="0" fontId="50" fillId="0" borderId="14" xfId="0" applyFont="1" applyBorder="1" applyAlignment="1">
      <alignment vertical="center"/>
    </xf>
    <xf numFmtId="0" fontId="26" fillId="5" borderId="1" xfId="0" applyFont="1" applyFill="1" applyBorder="1" applyAlignment="1">
      <alignment horizontal="left" vertical="center" wrapText="1"/>
    </xf>
    <xf numFmtId="0" fontId="26" fillId="5" borderId="1" xfId="0" applyFont="1" applyFill="1" applyBorder="1" applyAlignment="1">
      <alignment horizontal="center" vertical="center"/>
    </xf>
    <xf numFmtId="2" fontId="33" fillId="0" borderId="0" xfId="0" applyNumberFormat="1" applyFont="1"/>
    <xf numFmtId="2" fontId="0" fillId="10" borderId="0" xfId="0" applyNumberFormat="1" applyFill="1"/>
    <xf numFmtId="2" fontId="45" fillId="0" borderId="0" xfId="0" applyNumberFormat="1" applyFont="1"/>
    <xf numFmtId="0" fontId="0" fillId="0" borderId="59" xfId="0" applyBorder="1"/>
    <xf numFmtId="2" fontId="0" fillId="0" borderId="59" xfId="0" applyNumberFormat="1" applyBorder="1"/>
    <xf numFmtId="2" fontId="40" fillId="0" borderId="59" xfId="0" applyNumberFormat="1" applyFont="1" applyBorder="1"/>
    <xf numFmtId="0" fontId="48" fillId="12" borderId="0" xfId="0" applyFont="1" applyFill="1" applyAlignment="1">
      <alignment horizontal="center" vertical="center" wrapText="1"/>
    </xf>
    <xf numFmtId="2" fontId="40" fillId="0" borderId="59" xfId="996" applyNumberFormat="1" applyFont="1" applyFill="1" applyBorder="1"/>
    <xf numFmtId="2" fontId="33" fillId="0" borderId="0" xfId="996" applyNumberFormat="1" applyFont="1" applyFill="1"/>
    <xf numFmtId="2" fontId="40" fillId="0" borderId="59" xfId="0" applyNumberFormat="1" applyFont="1" applyBorder="1" applyAlignment="1">
      <alignment horizontal="center" vertical="center"/>
    </xf>
    <xf numFmtId="2" fontId="40" fillId="0" borderId="0" xfId="0" applyNumberFormat="1" applyFont="1" applyAlignment="1">
      <alignment horizontal="center" vertical="center"/>
    </xf>
    <xf numFmtId="0" fontId="27" fillId="9" borderId="0" xfId="0" applyFont="1" applyFill="1" applyAlignment="1">
      <alignment horizontal="center" vertical="center" wrapText="1"/>
    </xf>
    <xf numFmtId="0" fontId="27" fillId="0" borderId="10" xfId="0" applyFont="1" applyBorder="1" applyAlignment="1">
      <alignment horizontal="center" vertical="center" wrapText="1"/>
    </xf>
    <xf numFmtId="0" fontId="27" fillId="0" borderId="0" xfId="0" applyFont="1" applyAlignment="1">
      <alignment horizontal="center" vertical="center" wrapText="1"/>
    </xf>
    <xf numFmtId="0" fontId="0" fillId="10" borderId="0" xfId="0" applyFill="1" applyAlignment="1">
      <alignment horizontal="center" vertical="center" wrapText="1"/>
    </xf>
    <xf numFmtId="0" fontId="27" fillId="10" borderId="0" xfId="0" applyFont="1" applyFill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26" fillId="10" borderId="0" xfId="0" applyFont="1" applyFill="1" applyAlignment="1">
      <alignment horizontal="center" vertical="center" wrapText="1"/>
    </xf>
    <xf numFmtId="2" fontId="26" fillId="0" borderId="0" xfId="0" applyNumberFormat="1" applyFont="1" applyAlignment="1">
      <alignment horizontal="center" vertical="center" wrapText="1"/>
    </xf>
    <xf numFmtId="0" fontId="27" fillId="9" borderId="14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7" fillId="0" borderId="14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0" fontId="0" fillId="0" borderId="19" xfId="0" applyBorder="1" applyAlignment="1">
      <alignment horizontal="center" vertical="center"/>
    </xf>
    <xf numFmtId="2" fontId="30" fillId="0" borderId="12" xfId="0" applyNumberFormat="1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2" fontId="0" fillId="0" borderId="19" xfId="0" applyNumberFormat="1" applyBorder="1" applyAlignment="1">
      <alignment horizontal="center" vertical="center"/>
    </xf>
    <xf numFmtId="2" fontId="0" fillId="0" borderId="8" xfId="0" applyNumberFormat="1" applyBorder="1"/>
    <xf numFmtId="0" fontId="39" fillId="0" borderId="0" xfId="0" applyFont="1"/>
    <xf numFmtId="0" fontId="39" fillId="0" borderId="0" xfId="0" applyFont="1" applyAlignment="1">
      <alignment vertical="center"/>
    </xf>
    <xf numFmtId="0" fontId="26" fillId="0" borderId="1" xfId="0" applyFont="1" applyBorder="1" applyAlignment="1">
      <alignment horizontal="center" wrapText="1"/>
    </xf>
    <xf numFmtId="0" fontId="27" fillId="0" borderId="1" xfId="0" applyFont="1" applyBorder="1" applyAlignment="1">
      <alignment horizontal="center" wrapText="1"/>
    </xf>
    <xf numFmtId="0" fontId="0" fillId="0" borderId="0" xfId="0" applyAlignment="1">
      <alignment horizontal="right" wrapText="1"/>
    </xf>
    <xf numFmtId="2" fontId="33" fillId="0" borderId="1" xfId="0" applyNumberFormat="1" applyFont="1" applyBorder="1" applyAlignment="1">
      <alignment horizontal="center" vertical="center" wrapText="1"/>
    </xf>
    <xf numFmtId="0" fontId="27" fillId="17" borderId="0" xfId="0" applyFont="1" applyFill="1" applyAlignment="1">
      <alignment horizontal="center" wrapText="1"/>
    </xf>
    <xf numFmtId="0" fontId="33" fillId="0" borderId="0" xfId="0" applyFont="1" applyAlignment="1">
      <alignment wrapText="1"/>
    </xf>
    <xf numFmtId="2" fontId="33" fillId="0" borderId="1" xfId="0" applyNumberFormat="1" applyFont="1" applyBorder="1" applyAlignment="1">
      <alignment horizontal="center" vertical="center"/>
    </xf>
    <xf numFmtId="166" fontId="33" fillId="0" borderId="1" xfId="0" applyNumberFormat="1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/>
    </xf>
    <xf numFmtId="0" fontId="33" fillId="0" borderId="0" xfId="0" applyFont="1" applyAlignment="1">
      <alignment horizontal="center" vertical="center"/>
    </xf>
    <xf numFmtId="166" fontId="33" fillId="0" borderId="0" xfId="0" applyNumberFormat="1" applyFont="1"/>
    <xf numFmtId="0" fontId="33" fillId="0" borderId="0" xfId="0" applyFont="1" applyAlignment="1">
      <alignment horizontal="center"/>
    </xf>
    <xf numFmtId="0" fontId="33" fillId="0" borderId="25" xfId="0" applyFont="1" applyBorder="1" applyAlignment="1">
      <alignment horizontal="center" vertical="center" wrapText="1"/>
    </xf>
    <xf numFmtId="0" fontId="33" fillId="0" borderId="26" xfId="0" applyFont="1" applyBorder="1" applyAlignment="1">
      <alignment horizontal="center" vertical="center" wrapText="1"/>
    </xf>
    <xf numFmtId="0" fontId="33" fillId="0" borderId="28" xfId="0" applyFont="1" applyBorder="1" applyAlignment="1">
      <alignment horizontal="center" vertical="center" wrapText="1"/>
    </xf>
    <xf numFmtId="0" fontId="33" fillId="0" borderId="15" xfId="0" applyFont="1" applyBorder="1" applyAlignment="1">
      <alignment horizontal="left" vertical="center"/>
    </xf>
    <xf numFmtId="0" fontId="33" fillId="0" borderId="28" xfId="0" applyFont="1" applyBorder="1" applyAlignment="1">
      <alignment horizontal="center" vertical="center"/>
    </xf>
    <xf numFmtId="0" fontId="33" fillId="0" borderId="34" xfId="0" applyFont="1" applyBorder="1" applyAlignment="1">
      <alignment horizontal="center" vertical="center" wrapText="1"/>
    </xf>
    <xf numFmtId="0" fontId="33" fillId="0" borderId="26" xfId="0" applyFont="1" applyBorder="1" applyAlignment="1">
      <alignment horizontal="center" vertical="center"/>
    </xf>
    <xf numFmtId="0" fontId="33" fillId="0" borderId="34" xfId="0" applyFont="1" applyBorder="1" applyAlignment="1">
      <alignment horizontal="center" vertical="center"/>
    </xf>
    <xf numFmtId="0" fontId="33" fillId="0" borderId="31" xfId="0" applyFont="1" applyBorder="1" applyAlignment="1">
      <alignment horizontal="center" vertical="center"/>
    </xf>
    <xf numFmtId="0" fontId="33" fillId="0" borderId="30" xfId="0" applyFont="1" applyBorder="1" applyAlignment="1">
      <alignment horizontal="center" vertical="center"/>
    </xf>
    <xf numFmtId="0" fontId="33" fillId="0" borderId="1" xfId="0" applyFont="1" applyBorder="1" applyAlignment="1">
      <alignment wrapText="1"/>
    </xf>
    <xf numFmtId="1" fontId="33" fillId="0" borderId="1" xfId="0" applyNumberFormat="1" applyFont="1" applyBorder="1" applyAlignment="1">
      <alignment horizontal="center" vertical="top" wrapText="1"/>
    </xf>
    <xf numFmtId="0" fontId="56" fillId="0" borderId="1" xfId="0" applyFont="1" applyBorder="1" applyAlignment="1">
      <alignment horizontal="center" vertical="center" wrapText="1"/>
    </xf>
    <xf numFmtId="0" fontId="33" fillId="0" borderId="1" xfId="0" quotePrefix="1" applyFont="1" applyBorder="1" applyAlignment="1">
      <alignment horizontal="center" vertical="center"/>
    </xf>
    <xf numFmtId="1" fontId="33" fillId="0" borderId="1" xfId="0" applyNumberFormat="1" applyFont="1" applyBorder="1"/>
    <xf numFmtId="0" fontId="33" fillId="0" borderId="0" xfId="0" applyFont="1" applyAlignment="1">
      <alignment horizontal="left" vertical="top"/>
    </xf>
    <xf numFmtId="0" fontId="37" fillId="0" borderId="0" xfId="0" applyFont="1"/>
    <xf numFmtId="0" fontId="33" fillId="0" borderId="1" xfId="0" applyFont="1" applyBorder="1" applyAlignment="1">
      <alignment horizontal="left" vertical="center" wrapText="1"/>
    </xf>
    <xf numFmtId="166" fontId="33" fillId="0" borderId="0" xfId="0" applyNumberFormat="1" applyFont="1" applyAlignment="1">
      <alignment wrapText="1"/>
    </xf>
    <xf numFmtId="0" fontId="33" fillId="0" borderId="0" xfId="0" applyFont="1" applyAlignment="1">
      <alignment horizontal="center" wrapText="1"/>
    </xf>
    <xf numFmtId="0" fontId="33" fillId="0" borderId="11" xfId="0" applyFont="1" applyBorder="1" applyAlignment="1">
      <alignment horizontal="center" vertical="center" wrapText="1"/>
    </xf>
    <xf numFmtId="0" fontId="33" fillId="0" borderId="38" xfId="0" applyFont="1" applyBorder="1" applyAlignment="1">
      <alignment horizontal="center" vertical="center" wrapText="1"/>
    </xf>
    <xf numFmtId="0" fontId="37" fillId="0" borderId="41" xfId="0" applyFont="1" applyBorder="1" applyAlignment="1">
      <alignment horizontal="center" vertical="center" wrapText="1"/>
    </xf>
    <xf numFmtId="0" fontId="33" fillId="0" borderId="42" xfId="0" applyFont="1" applyBorder="1" applyAlignment="1">
      <alignment horizontal="center" vertical="center"/>
    </xf>
    <xf numFmtId="2" fontId="33" fillId="0" borderId="42" xfId="0" applyNumberFormat="1" applyFont="1" applyBorder="1" applyAlignment="1">
      <alignment horizontal="center" vertical="center"/>
    </xf>
    <xf numFmtId="2" fontId="33" fillId="0" borderId="40" xfId="0" applyNumberFormat="1" applyFont="1" applyBorder="1" applyAlignment="1">
      <alignment horizontal="center" vertical="center"/>
    </xf>
    <xf numFmtId="2" fontId="33" fillId="0" borderId="8" xfId="0" applyNumberFormat="1" applyFont="1" applyBorder="1" applyAlignment="1">
      <alignment horizontal="center" vertical="center"/>
    </xf>
    <xf numFmtId="0" fontId="33" fillId="0" borderId="19" xfId="0" applyFont="1" applyBorder="1" applyAlignment="1">
      <alignment vertical="center"/>
    </xf>
    <xf numFmtId="0" fontId="33" fillId="0" borderId="1" xfId="0" applyFont="1" applyBorder="1" applyAlignment="1">
      <alignment shrinkToFit="1"/>
    </xf>
    <xf numFmtId="0" fontId="45" fillId="0" borderId="0" xfId="0" applyFont="1" applyAlignment="1">
      <alignment vertical="center"/>
    </xf>
    <xf numFmtId="0" fontId="33" fillId="0" borderId="0" xfId="0" applyFont="1" applyAlignment="1">
      <alignment horizontal="right"/>
    </xf>
    <xf numFmtId="2" fontId="33" fillId="0" borderId="0" xfId="723" applyNumberFormat="1" applyFont="1" applyAlignment="1">
      <alignment horizontal="center" vertical="center" wrapText="1"/>
    </xf>
    <xf numFmtId="2" fontId="33" fillId="0" borderId="0" xfId="723" applyNumberFormat="1" applyFont="1"/>
    <xf numFmtId="166" fontId="27" fillId="0" borderId="0" xfId="6" applyNumberFormat="1"/>
    <xf numFmtId="0" fontId="27" fillId="0" borderId="0" xfId="6" applyAlignment="1">
      <alignment horizontal="center"/>
    </xf>
    <xf numFmtId="0" fontId="27" fillId="0" borderId="0" xfId="6" applyAlignment="1">
      <alignment horizontal="center" vertical="center"/>
    </xf>
    <xf numFmtId="0" fontId="55" fillId="0" borderId="1" xfId="0" applyFont="1" applyBorder="1" applyAlignment="1">
      <alignment horizontal="left" vertical="center"/>
    </xf>
    <xf numFmtId="0" fontId="53" fillId="0" borderId="0" xfId="6" applyFont="1"/>
    <xf numFmtId="0" fontId="37" fillId="0" borderId="1" xfId="0" applyFont="1" applyBorder="1" applyAlignment="1">
      <alignment horizontal="center"/>
    </xf>
    <xf numFmtId="0" fontId="33" fillId="0" borderId="1" xfId="0" applyFont="1" applyBorder="1" applyAlignment="1">
      <alignment horizontal="center" wrapText="1"/>
    </xf>
    <xf numFmtId="1" fontId="33" fillId="0" borderId="0" xfId="0" applyNumberFormat="1" applyFont="1" applyAlignment="1">
      <alignment horizontal="center"/>
    </xf>
    <xf numFmtId="1" fontId="33" fillId="0" borderId="1" xfId="0" applyNumberFormat="1" applyFont="1" applyBorder="1" applyAlignment="1">
      <alignment horizontal="center"/>
    </xf>
    <xf numFmtId="1" fontId="33" fillId="0" borderId="0" xfId="0" applyNumberFormat="1" applyFont="1" applyAlignment="1">
      <alignment horizontal="center" vertical="center"/>
    </xf>
    <xf numFmtId="0" fontId="57" fillId="0" borderId="63" xfId="0" applyFont="1" applyBorder="1" applyAlignment="1">
      <alignment vertical="center"/>
    </xf>
    <xf numFmtId="0" fontId="59" fillId="0" borderId="10" xfId="0" applyFont="1" applyBorder="1" applyAlignment="1">
      <alignment horizontal="center" vertical="center" wrapText="1"/>
    </xf>
    <xf numFmtId="0" fontId="33" fillId="0" borderId="0" xfId="0" applyFont="1" applyAlignment="1">
      <alignment vertical="top" wrapText="1"/>
    </xf>
    <xf numFmtId="0" fontId="60" fillId="0" borderId="0" xfId="0" applyFont="1" applyAlignment="1">
      <alignment horizontal="center" vertical="center" wrapText="1"/>
    </xf>
    <xf numFmtId="0" fontId="59" fillId="0" borderId="0" xfId="0" applyFont="1" applyAlignment="1">
      <alignment horizontal="center" vertical="center" wrapText="1"/>
    </xf>
    <xf numFmtId="3" fontId="59" fillId="0" borderId="0" xfId="0" applyNumberFormat="1" applyFont="1" applyAlignment="1">
      <alignment horizontal="center" vertical="center" wrapText="1"/>
    </xf>
    <xf numFmtId="1" fontId="33" fillId="0" borderId="0" xfId="0" applyNumberFormat="1" applyFont="1" applyAlignment="1">
      <alignment horizontal="center" vertical="top" wrapText="1"/>
    </xf>
    <xf numFmtId="0" fontId="59" fillId="0" borderId="14" xfId="0" applyFont="1" applyBorder="1" applyAlignment="1">
      <alignment horizontal="center" vertical="center" wrapText="1"/>
    </xf>
    <xf numFmtId="0" fontId="33" fillId="0" borderId="14" xfId="0" applyFont="1" applyBorder="1" applyAlignment="1">
      <alignment vertical="top" wrapText="1"/>
    </xf>
    <xf numFmtId="0" fontId="56" fillId="0" borderId="0" xfId="0" applyFont="1" applyAlignment="1">
      <alignment horizontal="center" vertical="center" wrapText="1"/>
    </xf>
    <xf numFmtId="0" fontId="56" fillId="0" borderId="14" xfId="0" applyFont="1" applyBorder="1" applyAlignment="1">
      <alignment horizontal="center" vertical="center" wrapText="1"/>
    </xf>
    <xf numFmtId="167" fontId="33" fillId="0" borderId="0" xfId="0" applyNumberFormat="1" applyFont="1"/>
    <xf numFmtId="167" fontId="30" fillId="0" borderId="1" xfId="0" applyNumberFormat="1" applyFont="1" applyBorder="1"/>
    <xf numFmtId="167" fontId="30" fillId="0" borderId="0" xfId="0" applyNumberFormat="1" applyFont="1"/>
    <xf numFmtId="0" fontId="63" fillId="0" borderId="0" xfId="0" applyFont="1"/>
    <xf numFmtId="2" fontId="63" fillId="0" borderId="0" xfId="0" applyNumberFormat="1" applyFont="1"/>
    <xf numFmtId="0" fontId="63" fillId="0" borderId="1" xfId="0" applyFont="1" applyBorder="1"/>
    <xf numFmtId="0" fontId="63" fillId="0" borderId="1" xfId="0" applyFont="1" applyBorder="1" applyAlignment="1">
      <alignment vertical="top" wrapText="1"/>
    </xf>
    <xf numFmtId="0" fontId="63" fillId="0" borderId="8" xfId="0" applyFont="1" applyBorder="1"/>
    <xf numFmtId="0" fontId="33" fillId="0" borderId="0" xfId="1556" applyFont="1"/>
    <xf numFmtId="2" fontId="33" fillId="0" borderId="0" xfId="1556" applyNumberFormat="1" applyFont="1"/>
    <xf numFmtId="0" fontId="22" fillId="0" borderId="0" xfId="1557"/>
    <xf numFmtId="0" fontId="44" fillId="0" borderId="0" xfId="1557" applyFont="1"/>
    <xf numFmtId="0" fontId="65" fillId="0" borderId="0" xfId="0" applyFont="1" applyAlignment="1">
      <alignment vertical="center" wrapText="1"/>
    </xf>
    <xf numFmtId="0" fontId="66" fillId="0" borderId="0" xfId="0" applyFont="1" applyAlignment="1">
      <alignment horizontal="left" vertical="center" wrapText="1"/>
    </xf>
    <xf numFmtId="0" fontId="0" fillId="6" borderId="1" xfId="0" applyFill="1" applyBorder="1" applyAlignment="1">
      <alignment horizontal="left" vertical="center" wrapText="1"/>
    </xf>
    <xf numFmtId="0" fontId="50" fillId="0" borderId="0" xfId="0" applyFont="1" applyAlignment="1">
      <alignment vertical="center"/>
    </xf>
    <xf numFmtId="2" fontId="26" fillId="0" borderId="0" xfId="0" applyNumberFormat="1" applyFont="1" applyAlignment="1">
      <alignment vertical="top" wrapText="1"/>
    </xf>
    <xf numFmtId="0" fontId="69" fillId="9" borderId="0" xfId="0" applyFont="1" applyFill="1" applyAlignment="1">
      <alignment horizontal="center" vertical="center" wrapText="1"/>
    </xf>
    <xf numFmtId="0" fontId="0" fillId="18" borderId="0" xfId="0" applyFill="1" applyAlignment="1">
      <alignment horizontal="center" vertical="center" wrapText="1"/>
    </xf>
    <xf numFmtId="0" fontId="27" fillId="18" borderId="0" xfId="0" applyFont="1" applyFill="1" applyAlignment="1">
      <alignment horizontal="center" vertical="center" wrapText="1"/>
    </xf>
    <xf numFmtId="2" fontId="0" fillId="18" borderId="0" xfId="0" applyNumberFormat="1" applyFill="1"/>
    <xf numFmtId="2" fontId="33" fillId="18" borderId="0" xfId="996" applyNumberFormat="1" applyFont="1" applyFill="1"/>
    <xf numFmtId="0" fontId="40" fillId="0" borderId="0" xfId="0" applyFont="1"/>
    <xf numFmtId="2" fontId="40" fillId="0" borderId="0" xfId="0" applyNumberFormat="1" applyFont="1"/>
    <xf numFmtId="2" fontId="0" fillId="6" borderId="0" xfId="0" applyNumberFormat="1" applyFill="1" applyAlignment="1">
      <alignment horizontal="center" vertical="center"/>
    </xf>
    <xf numFmtId="0" fontId="0" fillId="0" borderId="4" xfId="0" applyBorder="1"/>
    <xf numFmtId="2" fontId="0" fillId="0" borderId="5" xfId="0" applyNumberFormat="1" applyBorder="1"/>
    <xf numFmtId="0" fontId="0" fillId="6" borderId="45" xfId="0" applyFill="1" applyBorder="1" applyAlignment="1">
      <alignment horizontal="center" vertical="center"/>
    </xf>
    <xf numFmtId="9" fontId="64" fillId="0" borderId="0" xfId="1554" applyFont="1" applyAlignment="1">
      <alignment horizontal="left"/>
    </xf>
    <xf numFmtId="0" fontId="0" fillId="0" borderId="0" xfId="0" applyAlignment="1">
      <alignment horizontal="left"/>
    </xf>
    <xf numFmtId="0" fontId="30" fillId="5" borderId="2" xfId="0" applyFont="1" applyFill="1" applyBorder="1"/>
    <xf numFmtId="0" fontId="0" fillId="5" borderId="50" xfId="0" applyFill="1" applyBorder="1"/>
    <xf numFmtId="0" fontId="0" fillId="5" borderId="3" xfId="0" applyFill="1" applyBorder="1"/>
    <xf numFmtId="0" fontId="30" fillId="18" borderId="4" xfId="0" applyFont="1" applyFill="1" applyBorder="1" applyAlignment="1">
      <alignment horizontal="left"/>
    </xf>
    <xf numFmtId="0" fontId="0" fillId="18" borderId="0" xfId="0" applyFill="1" applyAlignment="1">
      <alignment horizontal="left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4" xfId="0" applyBorder="1" applyAlignment="1">
      <alignment horizontal="left" wrapText="1"/>
    </xf>
    <xf numFmtId="0" fontId="0" fillId="0" borderId="0" xfId="0" applyAlignment="1">
      <alignment horizontal="left" wrapText="1"/>
    </xf>
    <xf numFmtId="0" fontId="30" fillId="0" borderId="4" xfId="0" applyFont="1" applyBorder="1" applyAlignment="1">
      <alignment horizontal="left" wrapText="1"/>
    </xf>
    <xf numFmtId="0" fontId="0" fillId="18" borderId="5" xfId="0" applyFill="1" applyBorder="1"/>
    <xf numFmtId="0" fontId="37" fillId="0" borderId="6" xfId="0" applyFont="1" applyBorder="1" applyAlignment="1">
      <alignment horizontal="left" wrapText="1"/>
    </xf>
    <xf numFmtId="0" fontId="0" fillId="5" borderId="2" xfId="0" applyFill="1" applyBorder="1" applyAlignment="1">
      <alignment horizontal="left"/>
    </xf>
    <xf numFmtId="0" fontId="30" fillId="5" borderId="50" xfId="0" applyFont="1" applyFill="1" applyBorder="1" applyAlignment="1">
      <alignment horizontal="left" wrapText="1"/>
    </xf>
    <xf numFmtId="0" fontId="30" fillId="5" borderId="3" xfId="0" applyFont="1" applyFill="1" applyBorder="1" applyAlignment="1">
      <alignment horizontal="left" wrapText="1"/>
    </xf>
    <xf numFmtId="0" fontId="37" fillId="6" borderId="2" xfId="0" applyFont="1" applyFill="1" applyBorder="1" applyAlignment="1">
      <alignment horizontal="center" vertical="center"/>
    </xf>
    <xf numFmtId="0" fontId="37" fillId="6" borderId="50" xfId="0" applyFont="1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37" fillId="6" borderId="2" xfId="0" applyFont="1" applyFill="1" applyBorder="1" applyAlignment="1">
      <alignment horizontal="center" vertical="center" wrapText="1"/>
    </xf>
    <xf numFmtId="0" fontId="0" fillId="6" borderId="50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2" fontId="0" fillId="6" borderId="5" xfId="0" applyNumberFormat="1" applyFill="1" applyBorder="1" applyAlignment="1">
      <alignment horizontal="center" vertical="center"/>
    </xf>
    <xf numFmtId="0" fontId="0" fillId="6" borderId="6" xfId="0" applyFill="1" applyBorder="1" applyAlignment="1">
      <alignment horizontal="left" vertical="center" wrapText="1"/>
    </xf>
    <xf numFmtId="0" fontId="0" fillId="6" borderId="45" xfId="0" applyFill="1" applyBorder="1" applyAlignment="1">
      <alignment horizontal="left" vertical="center"/>
    </xf>
    <xf numFmtId="0" fontId="0" fillId="6" borderId="4" xfId="0" applyFill="1" applyBorder="1" applyAlignment="1">
      <alignment horizontal="left" vertical="center" wrapText="1"/>
    </xf>
    <xf numFmtId="0" fontId="0" fillId="6" borderId="0" xfId="0" applyFill="1" applyAlignment="1">
      <alignment horizontal="left" vertical="center"/>
    </xf>
    <xf numFmtId="2" fontId="33" fillId="6" borderId="0" xfId="6" applyNumberFormat="1" applyFont="1" applyFill="1" applyAlignment="1">
      <alignment horizontal="center" vertical="center"/>
    </xf>
    <xf numFmtId="0" fontId="40" fillId="6" borderId="57" xfId="0" applyFont="1" applyFill="1" applyBorder="1" applyAlignment="1">
      <alignment horizontal="center" vertical="center"/>
    </xf>
    <xf numFmtId="0" fontId="40" fillId="6" borderId="53" xfId="0" applyFont="1" applyFill="1" applyBorder="1" applyAlignment="1">
      <alignment horizontal="center" vertical="center"/>
    </xf>
    <xf numFmtId="0" fontId="73" fillId="6" borderId="52" xfId="0" applyFont="1" applyFill="1" applyBorder="1" applyAlignment="1">
      <alignment horizontal="center" vertical="center"/>
    </xf>
    <xf numFmtId="0" fontId="37" fillId="6" borderId="71" xfId="0" applyFont="1" applyFill="1" applyBorder="1" applyAlignment="1">
      <alignment horizontal="center" vertical="center"/>
    </xf>
    <xf numFmtId="0" fontId="0" fillId="6" borderId="71" xfId="0" applyFill="1" applyBorder="1" applyAlignment="1">
      <alignment horizontal="center" vertical="center"/>
    </xf>
    <xf numFmtId="0" fontId="40" fillId="6" borderId="70" xfId="0" applyFont="1" applyFill="1" applyBorder="1" applyAlignment="1">
      <alignment horizontal="center" vertical="center"/>
    </xf>
    <xf numFmtId="0" fontId="0" fillId="6" borderId="66" xfId="0" applyFill="1" applyBorder="1" applyAlignment="1">
      <alignment horizontal="center" vertical="center"/>
    </xf>
    <xf numFmtId="0" fontId="0" fillId="6" borderId="69" xfId="0" applyFill="1" applyBorder="1" applyAlignment="1">
      <alignment horizontal="center" vertical="center"/>
    </xf>
    <xf numFmtId="0" fontId="33" fillId="6" borderId="45" xfId="0" applyFont="1" applyFill="1" applyBorder="1" applyAlignment="1">
      <alignment horizontal="center" vertical="center"/>
    </xf>
    <xf numFmtId="0" fontId="37" fillId="6" borderId="4" xfId="0" applyFont="1" applyFill="1" applyBorder="1" applyAlignment="1">
      <alignment horizontal="left" vertical="center" wrapText="1"/>
    </xf>
    <xf numFmtId="0" fontId="0" fillId="14" borderId="28" xfId="0" applyFill="1" applyBorder="1" applyAlignment="1" applyProtection="1">
      <alignment horizontal="center" vertical="center" wrapText="1"/>
      <protection locked="0"/>
    </xf>
    <xf numFmtId="0" fontId="0" fillId="14" borderId="26" xfId="0" applyFill="1" applyBorder="1" applyAlignment="1" applyProtection="1">
      <alignment horizontal="center" vertical="center"/>
      <protection locked="0"/>
    </xf>
    <xf numFmtId="1" fontId="0" fillId="14" borderId="1" xfId="0" applyNumberFormat="1" applyFill="1" applyBorder="1" applyAlignment="1" applyProtection="1">
      <alignment horizontal="center" vertical="center"/>
      <protection locked="0"/>
    </xf>
    <xf numFmtId="2" fontId="0" fillId="14" borderId="28" xfId="0" applyNumberFormat="1" applyFill="1" applyBorder="1" applyAlignment="1" applyProtection="1">
      <alignment horizontal="center" vertical="center"/>
      <protection locked="0"/>
    </xf>
    <xf numFmtId="2" fontId="0" fillId="14" borderId="36" xfId="0" applyNumberFormat="1" applyFill="1" applyBorder="1" applyAlignment="1" applyProtection="1">
      <alignment horizontal="center" vertical="center"/>
      <protection locked="0"/>
    </xf>
    <xf numFmtId="2" fontId="0" fillId="14" borderId="1" xfId="0" applyNumberFormat="1" applyFill="1" applyBorder="1" applyAlignment="1" applyProtection="1">
      <alignment horizontal="center" vertical="center"/>
      <protection locked="0"/>
    </xf>
    <xf numFmtId="10" fontId="0" fillId="14" borderId="1" xfId="0" applyNumberFormat="1" applyFill="1" applyBorder="1" applyAlignment="1" applyProtection="1">
      <alignment horizontal="center" vertical="center"/>
      <protection locked="0"/>
    </xf>
    <xf numFmtId="0" fontId="0" fillId="14" borderId="1" xfId="0" applyFill="1" applyBorder="1" applyProtection="1">
      <protection locked="0"/>
    </xf>
    <xf numFmtId="0" fontId="0" fillId="19" borderId="0" xfId="0" applyFill="1"/>
    <xf numFmtId="0" fontId="33" fillId="19" borderId="0" xfId="0" applyFont="1" applyFill="1"/>
    <xf numFmtId="2" fontId="37" fillId="0" borderId="2" xfId="723" applyNumberFormat="1" applyFont="1" applyBorder="1" applyAlignment="1">
      <alignment vertical="center" wrapText="1"/>
    </xf>
    <xf numFmtId="2" fontId="37" fillId="0" borderId="50" xfId="723" applyNumberFormat="1" applyFont="1" applyBorder="1" applyAlignment="1">
      <alignment vertical="center" wrapText="1"/>
    </xf>
    <xf numFmtId="2" fontId="37" fillId="0" borderId="3" xfId="723" applyNumberFormat="1" applyFont="1" applyBorder="1" applyAlignment="1">
      <alignment vertical="center" wrapText="1"/>
    </xf>
    <xf numFmtId="2" fontId="33" fillId="0" borderId="4" xfId="1556" applyNumberFormat="1" applyFont="1" applyBorder="1"/>
    <xf numFmtId="2" fontId="33" fillId="0" borderId="5" xfId="1556" applyNumberFormat="1" applyFont="1" applyBorder="1" applyAlignment="1">
      <alignment horizontal="center"/>
    </xf>
    <xf numFmtId="2" fontId="33" fillId="0" borderId="4" xfId="723" applyNumberFormat="1" applyFont="1" applyBorder="1"/>
    <xf numFmtId="2" fontId="33" fillId="0" borderId="5" xfId="723" applyNumberFormat="1" applyFont="1" applyBorder="1" applyAlignment="1">
      <alignment horizontal="center"/>
    </xf>
    <xf numFmtId="2" fontId="33" fillId="0" borderId="4" xfId="0" applyNumberFormat="1" applyFont="1" applyBorder="1"/>
    <xf numFmtId="2" fontId="33" fillId="0" borderId="5" xfId="0" applyNumberFormat="1" applyFont="1" applyBorder="1" applyAlignment="1">
      <alignment horizontal="center"/>
    </xf>
    <xf numFmtId="2" fontId="33" fillId="0" borderId="5" xfId="723" applyNumberFormat="1" applyFont="1" applyBorder="1"/>
    <xf numFmtId="2" fontId="33" fillId="0" borderId="2" xfId="723" applyNumberFormat="1" applyFont="1" applyBorder="1" applyAlignment="1">
      <alignment horizontal="center" vertical="center" wrapText="1"/>
    </xf>
    <xf numFmtId="2" fontId="37" fillId="0" borderId="5" xfId="723" applyNumberFormat="1" applyFont="1" applyBorder="1" applyAlignment="1">
      <alignment horizontal="center" vertical="center"/>
    </xf>
    <xf numFmtId="2" fontId="33" fillId="0" borderId="5" xfId="1556" applyNumberFormat="1" applyFont="1" applyBorder="1" applyAlignment="1">
      <alignment horizontal="center" vertical="center"/>
    </xf>
    <xf numFmtId="2" fontId="33" fillId="0" borderId="5" xfId="723" applyNumberFormat="1" applyFont="1" applyBorder="1" applyAlignment="1">
      <alignment horizontal="center" vertical="center"/>
    </xf>
    <xf numFmtId="2" fontId="33" fillId="0" borderId="5" xfId="0" applyNumberFormat="1" applyFont="1" applyBorder="1" applyAlignment="1">
      <alignment horizontal="center" vertical="center"/>
    </xf>
    <xf numFmtId="2" fontId="33" fillId="6" borderId="4" xfId="723" applyNumberFormat="1" applyFont="1" applyFill="1" applyBorder="1"/>
    <xf numFmtId="0" fontId="33" fillId="6" borderId="4" xfId="0" applyFont="1" applyFill="1" applyBorder="1"/>
    <xf numFmtId="1" fontId="0" fillId="6" borderId="0" xfId="0" applyNumberFormat="1" applyFill="1"/>
    <xf numFmtId="0" fontId="72" fillId="18" borderId="4" xfId="0" applyFont="1" applyFill="1" applyBorder="1"/>
    <xf numFmtId="166" fontId="0" fillId="0" borderId="1" xfId="0" applyNumberFormat="1" applyBorder="1"/>
    <xf numFmtId="0" fontId="62" fillId="5" borderId="1" xfId="1556" applyFill="1" applyBorder="1" applyAlignment="1">
      <alignment horizontal="left" vertical="center" wrapText="1"/>
    </xf>
    <xf numFmtId="0" fontId="62" fillId="5" borderId="1" xfId="1556" applyFill="1" applyBorder="1" applyAlignment="1">
      <alignment horizontal="center" vertical="center"/>
    </xf>
    <xf numFmtId="0" fontId="62" fillId="0" borderId="0" xfId="1556" applyAlignment="1">
      <alignment vertical="center"/>
    </xf>
    <xf numFmtId="0" fontId="62" fillId="0" borderId="1" xfId="1556" applyBorder="1" applyAlignment="1">
      <alignment horizontal="center" wrapText="1"/>
    </xf>
    <xf numFmtId="0" fontId="62" fillId="0" borderId="0" xfId="1556"/>
    <xf numFmtId="0" fontId="62" fillId="0" borderId="1" xfId="1556" applyBorder="1"/>
    <xf numFmtId="2" fontId="62" fillId="0" borderId="1" xfId="1556" applyNumberFormat="1" applyBorder="1"/>
    <xf numFmtId="166" fontId="62" fillId="0" borderId="1" xfId="1556" applyNumberFormat="1" applyBorder="1"/>
    <xf numFmtId="0" fontId="43" fillId="18" borderId="4" xfId="0" applyFont="1" applyFill="1" applyBorder="1"/>
    <xf numFmtId="0" fontId="26" fillId="6" borderId="0" xfId="6" applyFont="1" applyFill="1"/>
    <xf numFmtId="0" fontId="30" fillId="18" borderId="4" xfId="0" applyFont="1" applyFill="1" applyBorder="1" applyAlignment="1">
      <alignment horizontal="left" vertical="top"/>
    </xf>
    <xf numFmtId="0" fontId="30" fillId="18" borderId="0" xfId="0" applyFont="1" applyFill="1" applyAlignment="1">
      <alignment horizontal="left" vertical="top"/>
    </xf>
    <xf numFmtId="0" fontId="0" fillId="0" borderId="4" xfId="0" applyBorder="1" applyAlignment="1">
      <alignment vertical="top"/>
    </xf>
    <xf numFmtId="0" fontId="0" fillId="0" borderId="0" xfId="0" applyAlignment="1">
      <alignment vertical="top"/>
    </xf>
    <xf numFmtId="0" fontId="30" fillId="0" borderId="0" xfId="0" applyFont="1" applyAlignment="1">
      <alignment vertical="top"/>
    </xf>
    <xf numFmtId="0" fontId="0" fillId="0" borderId="6" xfId="0" applyBorder="1" applyAlignment="1">
      <alignment vertical="top"/>
    </xf>
    <xf numFmtId="0" fontId="0" fillId="0" borderId="45" xfId="0" applyBorder="1" applyAlignment="1">
      <alignment vertical="top"/>
    </xf>
    <xf numFmtId="167" fontId="0" fillId="0" borderId="7" xfId="0" applyNumberFormat="1" applyBorder="1" applyAlignment="1">
      <alignment vertical="top"/>
    </xf>
    <xf numFmtId="168" fontId="30" fillId="0" borderId="0" xfId="1833" applyNumberFormat="1" applyFont="1" applyAlignment="1">
      <alignment horizontal="left"/>
    </xf>
    <xf numFmtId="168" fontId="30" fillId="0" borderId="5" xfId="1833" applyNumberFormat="1" applyFont="1" applyBorder="1" applyAlignment="1">
      <alignment horizontal="left"/>
    </xf>
    <xf numFmtId="168" fontId="37" fillId="0" borderId="45" xfId="1833" applyNumberFormat="1" applyFont="1" applyBorder="1" applyAlignment="1">
      <alignment horizontal="left"/>
    </xf>
    <xf numFmtId="168" fontId="30" fillId="0" borderId="7" xfId="1833" applyNumberFormat="1" applyFont="1" applyBorder="1" applyAlignment="1">
      <alignment horizontal="left"/>
    </xf>
    <xf numFmtId="168" fontId="0" fillId="0" borderId="0" xfId="1833" applyNumberFormat="1" applyFont="1" applyAlignment="1">
      <alignment horizontal="left"/>
    </xf>
    <xf numFmtId="168" fontId="0" fillId="0" borderId="5" xfId="1833" applyNumberFormat="1" applyFont="1" applyBorder="1" applyAlignment="1">
      <alignment horizontal="left"/>
    </xf>
    <xf numFmtId="168" fontId="22" fillId="0" borderId="0" xfId="1833" applyNumberFormat="1" applyFont="1" applyAlignment="1">
      <alignment horizontal="left"/>
    </xf>
    <xf numFmtId="169" fontId="0" fillId="0" borderId="7" xfId="0" applyNumberFormat="1" applyBorder="1" applyAlignment="1">
      <alignment vertical="top"/>
    </xf>
    <xf numFmtId="170" fontId="0" fillId="0" borderId="0" xfId="1833" applyNumberFormat="1" applyFont="1" applyAlignment="1">
      <alignment vertical="top"/>
    </xf>
    <xf numFmtId="170" fontId="0" fillId="0" borderId="5" xfId="1833" applyNumberFormat="1" applyFont="1" applyBorder="1"/>
    <xf numFmtId="170" fontId="72" fillId="0" borderId="0" xfId="0" applyNumberFormat="1" applyFont="1" applyAlignment="1">
      <alignment vertical="top"/>
    </xf>
    <xf numFmtId="170" fontId="72" fillId="0" borderId="5" xfId="0" applyNumberFormat="1" applyFont="1" applyBorder="1" applyAlignment="1">
      <alignment vertical="top"/>
    </xf>
    <xf numFmtId="170" fontId="0" fillId="0" borderId="45" xfId="0" applyNumberFormat="1" applyBorder="1" applyAlignment="1">
      <alignment vertical="top"/>
    </xf>
    <xf numFmtId="2" fontId="26" fillId="0" borderId="52" xfId="0" applyNumberFormat="1" applyFont="1" applyBorder="1" applyAlignment="1">
      <alignment horizontal="center" vertical="center" wrapText="1"/>
    </xf>
    <xf numFmtId="2" fontId="26" fillId="0" borderId="57" xfId="0" applyNumberFormat="1" applyFont="1" applyBorder="1" applyAlignment="1">
      <alignment horizontal="center" vertical="center" wrapText="1"/>
    </xf>
    <xf numFmtId="1" fontId="40" fillId="0" borderId="53" xfId="0" applyNumberFormat="1" applyFont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6" borderId="0" xfId="0" applyFill="1" applyAlignment="1">
      <alignment horizontal="center" vertical="center" wrapText="1"/>
    </xf>
    <xf numFmtId="0" fontId="30" fillId="5" borderId="0" xfId="0" applyFont="1" applyFill="1" applyAlignment="1">
      <alignment horizontal="center" vertical="center" wrapText="1"/>
    </xf>
    <xf numFmtId="2" fontId="0" fillId="5" borderId="0" xfId="0" applyNumberFormat="1" applyFill="1" applyAlignment="1">
      <alignment horizontal="center" vertical="center"/>
    </xf>
    <xf numFmtId="0" fontId="0" fillId="0" borderId="25" xfId="0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0" fillId="6" borderId="53" xfId="0" applyFill="1" applyBorder="1" applyAlignment="1">
      <alignment horizontal="center" vertical="center"/>
    </xf>
    <xf numFmtId="0" fontId="0" fillId="0" borderId="35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6" borderId="50" xfId="0" applyFill="1" applyBorder="1" applyAlignment="1">
      <alignment horizontal="center" vertical="center" wrapText="1"/>
    </xf>
    <xf numFmtId="0" fontId="30" fillId="6" borderId="0" xfId="0" applyFont="1" applyFill="1" applyAlignment="1">
      <alignment horizontal="center" vertical="center"/>
    </xf>
    <xf numFmtId="0" fontId="0" fillId="6" borderId="36" xfId="0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74" fillId="6" borderId="0" xfId="1556" applyFont="1" applyFill="1" applyAlignment="1">
      <alignment horizontal="center" vertical="center"/>
    </xf>
    <xf numFmtId="0" fontId="0" fillId="0" borderId="25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2" fontId="33" fillId="0" borderId="31" xfId="0" applyNumberFormat="1" applyFont="1" applyBorder="1" applyAlignment="1">
      <alignment horizontal="center" vertical="center"/>
    </xf>
    <xf numFmtId="0" fontId="0" fillId="6" borderId="57" xfId="0" applyFill="1" applyBorder="1" applyAlignment="1">
      <alignment horizontal="center" vertical="center" wrapText="1"/>
    </xf>
    <xf numFmtId="0" fontId="76" fillId="6" borderId="0" xfId="0" applyFont="1" applyFill="1" applyAlignment="1">
      <alignment horizontal="center" vertical="center"/>
    </xf>
    <xf numFmtId="0" fontId="0" fillId="0" borderId="40" xfId="0" applyBorder="1" applyAlignment="1">
      <alignment horizontal="center" vertical="center" wrapText="1"/>
    </xf>
    <xf numFmtId="0" fontId="77" fillId="6" borderId="0" xfId="1556" applyFont="1" applyFill="1"/>
    <xf numFmtId="0" fontId="77" fillId="6" borderId="0" xfId="1556" applyFont="1" applyFill="1" applyAlignment="1">
      <alignment horizontal="center" vertical="center" wrapText="1"/>
    </xf>
    <xf numFmtId="0" fontId="77" fillId="6" borderId="0" xfId="1556" applyFont="1" applyFill="1" applyAlignment="1">
      <alignment horizontal="center" vertical="center"/>
    </xf>
    <xf numFmtId="0" fontId="44" fillId="6" borderId="0" xfId="0" applyFont="1" applyFill="1" applyAlignment="1">
      <alignment horizontal="center" vertical="center"/>
    </xf>
    <xf numFmtId="0" fontId="0" fillId="4" borderId="1" xfId="0" applyFill="1" applyBorder="1"/>
    <xf numFmtId="0" fontId="33" fillId="4" borderId="21" xfId="0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8" xfId="0" applyFill="1" applyBorder="1"/>
    <xf numFmtId="0" fontId="33" fillId="4" borderId="11" xfId="0" applyFont="1" applyFill="1" applyBorder="1" applyAlignment="1">
      <alignment horizontal="center" vertical="center"/>
    </xf>
    <xf numFmtId="0" fontId="33" fillId="6" borderId="0" xfId="0" applyFont="1" applyFill="1" applyAlignment="1">
      <alignment horizontal="center" vertical="center"/>
    </xf>
    <xf numFmtId="0" fontId="76" fillId="6" borderId="0" xfId="0" applyFont="1" applyFill="1" applyAlignment="1">
      <alignment horizontal="center" vertical="center" wrapText="1"/>
    </xf>
    <xf numFmtId="0" fontId="78" fillId="6" borderId="0" xfId="0" applyFont="1" applyFill="1" applyAlignment="1">
      <alignment horizontal="center" vertical="center"/>
    </xf>
    <xf numFmtId="0" fontId="30" fillId="6" borderId="4" xfId="0" applyFont="1" applyFill="1" applyBorder="1" applyAlignment="1">
      <alignment horizontal="center" vertical="center"/>
    </xf>
    <xf numFmtId="0" fontId="33" fillId="6" borderId="0" xfId="0" applyFont="1" applyFill="1" applyAlignment="1">
      <alignment horizontal="center" vertical="center" wrapText="1"/>
    </xf>
    <xf numFmtId="0" fontId="36" fillId="6" borderId="0" xfId="0" applyFont="1" applyFill="1" applyAlignment="1">
      <alignment horizontal="center" vertical="center" wrapText="1"/>
    </xf>
    <xf numFmtId="0" fontId="33" fillId="6" borderId="1" xfId="0" applyFont="1" applyFill="1" applyBorder="1"/>
    <xf numFmtId="0" fontId="33" fillId="6" borderId="1" xfId="0" applyFont="1" applyFill="1" applyBorder="1" applyAlignment="1">
      <alignment wrapText="1"/>
    </xf>
    <xf numFmtId="0" fontId="79" fillId="6" borderId="0" xfId="0" applyFont="1" applyFill="1" applyAlignment="1">
      <alignment horizontal="center" vertical="center"/>
    </xf>
    <xf numFmtId="165" fontId="74" fillId="6" borderId="0" xfId="1556" applyNumberFormat="1" applyFont="1" applyFill="1" applyAlignment="1">
      <alignment horizontal="center" vertical="center"/>
    </xf>
    <xf numFmtId="0" fontId="33" fillId="0" borderId="0" xfId="0" applyFont="1" applyAlignment="1">
      <alignment horizontal="left"/>
    </xf>
    <xf numFmtId="0" fontId="30" fillId="5" borderId="2" xfId="0" applyFont="1" applyFill="1" applyBorder="1" applyAlignment="1">
      <alignment horizontal="left"/>
    </xf>
    <xf numFmtId="0" fontId="0" fillId="0" borderId="6" xfId="0" applyBorder="1" applyAlignment="1">
      <alignment horizontal="left" wrapText="1"/>
    </xf>
    <xf numFmtId="2" fontId="0" fillId="0" borderId="0" xfId="0" applyNumberFormat="1" applyAlignment="1">
      <alignment wrapText="1"/>
    </xf>
    <xf numFmtId="0" fontId="30" fillId="5" borderId="50" xfId="0" applyFont="1" applyFill="1" applyBorder="1" applyAlignment="1">
      <alignment horizontal="left"/>
    </xf>
    <xf numFmtId="2" fontId="0" fillId="0" borderId="4" xfId="0" applyNumberFormat="1" applyBorder="1"/>
    <xf numFmtId="2" fontId="0" fillId="0" borderId="4" xfId="0" applyNumberFormat="1" applyBorder="1" applyAlignment="1">
      <alignment wrapText="1"/>
    </xf>
    <xf numFmtId="2" fontId="0" fillId="0" borderId="6" xfId="0" applyNumberFormat="1" applyBorder="1"/>
    <xf numFmtId="2" fontId="0" fillId="0" borderId="45" xfId="0" applyNumberFormat="1" applyBorder="1"/>
    <xf numFmtId="2" fontId="0" fillId="0" borderId="7" xfId="0" applyNumberFormat="1" applyBorder="1"/>
    <xf numFmtId="0" fontId="30" fillId="0" borderId="4" xfId="0" applyFont="1" applyBorder="1" applyAlignment="1">
      <alignment horizontal="left"/>
    </xf>
    <xf numFmtId="0" fontId="0" fillId="0" borderId="5" xfId="0" applyBorder="1"/>
    <xf numFmtId="0" fontId="30" fillId="0" borderId="0" xfId="0" applyFont="1" applyAlignment="1">
      <alignment horizontal="left"/>
    </xf>
    <xf numFmtId="0" fontId="80" fillId="6" borderId="0" xfId="0" applyFont="1" applyFill="1" applyAlignment="1">
      <alignment horizontal="center" vertical="center"/>
    </xf>
    <xf numFmtId="0" fontId="39" fillId="6" borderId="0" xfId="0" applyFont="1" applyFill="1" applyAlignment="1">
      <alignment horizontal="left"/>
    </xf>
    <xf numFmtId="0" fontId="28" fillId="0" borderId="0" xfId="1838"/>
    <xf numFmtId="0" fontId="51" fillId="0" borderId="1" xfId="0" applyFont="1" applyBorder="1" applyAlignment="1">
      <alignment horizontal="center" vertical="center" wrapText="1"/>
    </xf>
    <xf numFmtId="2" fontId="33" fillId="0" borderId="1" xfId="0" applyNumberFormat="1" applyFont="1" applyBorder="1"/>
    <xf numFmtId="2" fontId="33" fillId="6" borderId="0" xfId="0" applyNumberFormat="1" applyFont="1" applyFill="1" applyAlignment="1">
      <alignment horizontal="center" vertical="center" wrapText="1"/>
    </xf>
    <xf numFmtId="0" fontId="33" fillId="6" borderId="0" xfId="0" applyFont="1" applyFill="1"/>
    <xf numFmtId="2" fontId="33" fillId="6" borderId="0" xfId="0" applyNumberFormat="1" applyFont="1" applyFill="1"/>
    <xf numFmtId="1" fontId="33" fillId="6" borderId="0" xfId="0" applyNumberFormat="1" applyFont="1" applyFill="1"/>
    <xf numFmtId="0" fontId="30" fillId="6" borderId="0" xfId="0" applyFont="1" applyFill="1" applyAlignment="1">
      <alignment horizontal="right"/>
    </xf>
    <xf numFmtId="2" fontId="30" fillId="6" borderId="0" xfId="0" applyNumberFormat="1" applyFont="1" applyFill="1" applyAlignment="1">
      <alignment horizontal="right"/>
    </xf>
    <xf numFmtId="0" fontId="30" fillId="6" borderId="0" xfId="0" applyFont="1" applyFill="1" applyAlignment="1">
      <alignment horizontal="left"/>
    </xf>
    <xf numFmtId="2" fontId="33" fillId="6" borderId="0" xfId="723" applyNumberFormat="1" applyFont="1" applyFill="1"/>
    <xf numFmtId="2" fontId="33" fillId="6" borderId="5" xfId="723" applyNumberFormat="1" applyFont="1" applyFill="1" applyBorder="1" applyAlignment="1">
      <alignment horizontal="center"/>
    </xf>
    <xf numFmtId="2" fontId="33" fillId="6" borderId="5" xfId="723" applyNumberFormat="1" applyFont="1" applyFill="1" applyBorder="1" applyAlignment="1">
      <alignment horizontal="center" vertical="center"/>
    </xf>
    <xf numFmtId="0" fontId="27" fillId="0" borderId="1" xfId="0" applyFont="1" applyBorder="1" applyAlignment="1">
      <alignment horizontal="center" vertical="center" wrapText="1"/>
    </xf>
    <xf numFmtId="2" fontId="33" fillId="0" borderId="1" xfId="723" applyNumberFormat="1" applyFont="1" applyBorder="1" applyAlignment="1">
      <alignment horizontal="center" vertical="center" wrapText="1"/>
    </xf>
    <xf numFmtId="166" fontId="33" fillId="0" borderId="1" xfId="723" applyNumberFormat="1" applyFont="1" applyBorder="1" applyAlignment="1">
      <alignment horizontal="center" vertical="center" wrapText="1"/>
    </xf>
    <xf numFmtId="1" fontId="51" fillId="0" borderId="1" xfId="1" applyNumberFormat="1" applyFont="1" applyFill="1" applyBorder="1" applyAlignment="1">
      <alignment horizontal="center"/>
    </xf>
    <xf numFmtId="1" fontId="51" fillId="0" borderId="1" xfId="723" applyNumberFormat="1" applyFont="1" applyBorder="1"/>
    <xf numFmtId="1" fontId="51" fillId="0" borderId="1" xfId="723" applyNumberFormat="1" applyFont="1" applyBorder="1" applyAlignment="1">
      <alignment horizontal="center"/>
    </xf>
    <xf numFmtId="2" fontId="33" fillId="0" borderId="2" xfId="723" applyNumberFormat="1" applyFont="1" applyBorder="1"/>
    <xf numFmtId="2" fontId="33" fillId="0" borderId="3" xfId="723" applyNumberFormat="1" applyFont="1" applyBorder="1"/>
    <xf numFmtId="2" fontId="33" fillId="6" borderId="4" xfId="1556" applyNumberFormat="1" applyFont="1" applyFill="1" applyBorder="1" applyAlignment="1">
      <alignment horizontal="right" vertical="center" wrapText="1"/>
    </xf>
    <xf numFmtId="2" fontId="33" fillId="6" borderId="5" xfId="1556" applyNumberFormat="1" applyFont="1" applyFill="1" applyBorder="1" applyAlignment="1">
      <alignment horizontal="right" vertical="center"/>
    </xf>
    <xf numFmtId="2" fontId="33" fillId="6" borderId="4" xfId="723" applyNumberFormat="1" applyFont="1" applyFill="1" applyBorder="1" applyAlignment="1">
      <alignment horizontal="right" vertical="center" wrapText="1"/>
    </xf>
    <xf numFmtId="2" fontId="33" fillId="6" borderId="5" xfId="723" applyNumberFormat="1" applyFont="1" applyFill="1" applyBorder="1" applyAlignment="1">
      <alignment horizontal="right" vertical="center"/>
    </xf>
    <xf numFmtId="0" fontId="33" fillId="6" borderId="4" xfId="1556" applyFont="1" applyFill="1" applyBorder="1" applyAlignment="1">
      <alignment horizontal="right" vertical="center" wrapText="1"/>
    </xf>
    <xf numFmtId="0" fontId="33" fillId="6" borderId="4" xfId="0" applyFont="1" applyFill="1" applyBorder="1" applyAlignment="1">
      <alignment horizontal="right" vertical="center" wrapText="1"/>
    </xf>
    <xf numFmtId="0" fontId="0" fillId="6" borderId="4" xfId="0" applyFill="1" applyBorder="1" applyAlignment="1">
      <alignment horizontal="right" vertical="center"/>
    </xf>
    <xf numFmtId="2" fontId="33" fillId="6" borderId="4" xfId="723" applyNumberFormat="1" applyFont="1" applyFill="1" applyBorder="1" applyAlignment="1">
      <alignment horizontal="right" vertical="center"/>
    </xf>
    <xf numFmtId="2" fontId="33" fillId="6" borderId="4" xfId="1556" applyNumberFormat="1" applyFont="1" applyFill="1" applyBorder="1" applyAlignment="1">
      <alignment horizontal="right" vertical="center"/>
    </xf>
    <xf numFmtId="0" fontId="33" fillId="6" borderId="4" xfId="0" applyFont="1" applyFill="1" applyBorder="1" applyAlignment="1">
      <alignment horizontal="right" vertical="center"/>
    </xf>
    <xf numFmtId="0" fontId="33" fillId="0" borderId="52" xfId="0" applyFont="1" applyBorder="1" applyAlignment="1">
      <alignment horizontal="center" vertical="center" wrapText="1"/>
    </xf>
    <xf numFmtId="0" fontId="33" fillId="0" borderId="57" xfId="0" applyFont="1" applyBorder="1"/>
    <xf numFmtId="0" fontId="33" fillId="0" borderId="57" xfId="0" applyFont="1" applyBorder="1" applyAlignment="1">
      <alignment horizontal="right" wrapText="1"/>
    </xf>
    <xf numFmtId="2" fontId="37" fillId="0" borderId="57" xfId="0" applyNumberFormat="1" applyFont="1" applyBorder="1"/>
    <xf numFmtId="166" fontId="33" fillId="0" borderId="57" xfId="0" applyNumberFormat="1" applyFont="1" applyBorder="1"/>
    <xf numFmtId="0" fontId="33" fillId="0" borderId="57" xfId="0" applyFont="1" applyBorder="1" applyAlignment="1">
      <alignment horizontal="center"/>
    </xf>
    <xf numFmtId="0" fontId="33" fillId="0" borderId="57" xfId="0" applyFont="1" applyBorder="1" applyAlignment="1">
      <alignment wrapText="1"/>
    </xf>
    <xf numFmtId="0" fontId="0" fillId="20" borderId="0" xfId="0" applyFill="1"/>
    <xf numFmtId="0" fontId="30" fillId="20" borderId="0" xfId="0" applyFont="1" applyFill="1"/>
    <xf numFmtId="2" fontId="33" fillId="0" borderId="50" xfId="723" applyNumberFormat="1" applyFont="1" applyBorder="1"/>
    <xf numFmtId="2" fontId="33" fillId="6" borderId="0" xfId="1556" applyNumberFormat="1" applyFont="1" applyFill="1" applyAlignment="1">
      <alignment horizontal="right" vertical="center" wrapText="1"/>
    </xf>
    <xf numFmtId="2" fontId="33" fillId="6" borderId="0" xfId="723" applyNumberFormat="1" applyFont="1" applyFill="1" applyAlignment="1">
      <alignment horizontal="right" vertical="center" wrapText="1"/>
    </xf>
    <xf numFmtId="0" fontId="33" fillId="6" borderId="0" xfId="1556" applyFont="1" applyFill="1" applyAlignment="1">
      <alignment horizontal="right" vertical="center" wrapText="1"/>
    </xf>
    <xf numFmtId="0" fontId="33" fillId="6" borderId="0" xfId="0" applyFont="1" applyFill="1" applyAlignment="1">
      <alignment horizontal="right" vertical="center" wrapText="1"/>
    </xf>
    <xf numFmtId="0" fontId="0" fillId="6" borderId="0" xfId="0" applyFill="1" applyAlignment="1">
      <alignment horizontal="right" vertical="center"/>
    </xf>
    <xf numFmtId="2" fontId="33" fillId="6" borderId="0" xfId="723" applyNumberFormat="1" applyFont="1" applyFill="1" applyAlignment="1">
      <alignment horizontal="right" vertical="center"/>
    </xf>
    <xf numFmtId="2" fontId="33" fillId="6" borderId="0" xfId="1556" applyNumberFormat="1" applyFont="1" applyFill="1" applyAlignment="1">
      <alignment horizontal="right" vertical="center"/>
    </xf>
    <xf numFmtId="0" fontId="33" fillId="6" borderId="0" xfId="0" applyFont="1" applyFill="1" applyAlignment="1">
      <alignment horizontal="right" vertical="center"/>
    </xf>
    <xf numFmtId="1" fontId="33" fillId="0" borderId="10" xfId="0" applyNumberFormat="1" applyFont="1" applyBorder="1"/>
    <xf numFmtId="2" fontId="30" fillId="0" borderId="0" xfId="0" applyNumberFormat="1" applyFont="1" applyAlignment="1">
      <alignment horizontal="right"/>
    </xf>
    <xf numFmtId="2" fontId="0" fillId="0" borderId="0" xfId="0" applyNumberFormat="1" applyAlignment="1">
      <alignment vertical="top"/>
    </xf>
    <xf numFmtId="2" fontId="30" fillId="0" borderId="0" xfId="0" applyNumberFormat="1" applyFont="1" applyAlignment="1">
      <alignment vertical="top"/>
    </xf>
    <xf numFmtId="0" fontId="30" fillId="0" borderId="0" xfId="0" applyFont="1" applyAlignment="1">
      <alignment horizontal="right" vertical="top"/>
    </xf>
    <xf numFmtId="167" fontId="0" fillId="0" borderId="0" xfId="0" applyNumberFormat="1" applyAlignment="1">
      <alignment vertical="top"/>
    </xf>
    <xf numFmtId="170" fontId="0" fillId="0" borderId="0" xfId="1833" applyNumberFormat="1" applyFont="1"/>
    <xf numFmtId="170" fontId="0" fillId="0" borderId="0" xfId="0" applyNumberFormat="1" applyAlignment="1">
      <alignment vertical="top"/>
    </xf>
    <xf numFmtId="169" fontId="0" fillId="0" borderId="0" xfId="0" applyNumberFormat="1" applyAlignment="1">
      <alignment vertical="top"/>
    </xf>
    <xf numFmtId="2" fontId="0" fillId="21" borderId="1" xfId="0" applyNumberFormat="1" applyFill="1" applyBorder="1" applyAlignment="1">
      <alignment horizontal="center" vertical="center"/>
    </xf>
    <xf numFmtId="2" fontId="0" fillId="21" borderId="12" xfId="0" applyNumberFormat="1" applyFill="1" applyBorder="1" applyAlignment="1">
      <alignment horizontal="center" vertical="center"/>
    </xf>
    <xf numFmtId="2" fontId="33" fillId="6" borderId="6" xfId="723" applyNumberFormat="1" applyFont="1" applyFill="1" applyBorder="1" applyAlignment="1">
      <alignment horizontal="right" vertical="center" wrapText="1"/>
    </xf>
    <xf numFmtId="2" fontId="33" fillId="6" borderId="45" xfId="723" applyNumberFormat="1" applyFont="1" applyFill="1" applyBorder="1" applyAlignment="1">
      <alignment horizontal="right" vertical="center" wrapText="1"/>
    </xf>
    <xf numFmtId="2" fontId="33" fillId="6" borderId="7" xfId="723" applyNumberFormat="1" applyFont="1" applyFill="1" applyBorder="1" applyAlignment="1">
      <alignment horizontal="right" vertical="center"/>
    </xf>
    <xf numFmtId="2" fontId="33" fillId="0" borderId="6" xfId="723" applyNumberFormat="1" applyFont="1" applyBorder="1"/>
    <xf numFmtId="2" fontId="33" fillId="0" borderId="45" xfId="723" applyNumberFormat="1" applyFont="1" applyBorder="1"/>
    <xf numFmtId="2" fontId="33" fillId="0" borderId="7" xfId="723" applyNumberFormat="1" applyFont="1" applyBorder="1" applyAlignment="1">
      <alignment horizontal="center"/>
    </xf>
    <xf numFmtId="2" fontId="33" fillId="0" borderId="7" xfId="723" applyNumberFormat="1" applyFont="1" applyBorder="1" applyAlignment="1">
      <alignment horizontal="center" vertical="center"/>
    </xf>
    <xf numFmtId="2" fontId="33" fillId="6" borderId="4" xfId="723" applyNumberFormat="1" applyFont="1" applyFill="1" applyBorder="1" applyAlignment="1">
      <alignment horizontal="left" vertical="center"/>
    </xf>
    <xf numFmtId="2" fontId="33" fillId="6" borderId="6" xfId="723" applyNumberFormat="1" applyFont="1" applyFill="1" applyBorder="1" applyAlignment="1">
      <alignment horizontal="left" vertical="center"/>
    </xf>
    <xf numFmtId="0" fontId="33" fillId="0" borderId="65" xfId="0" applyFont="1" applyBorder="1"/>
    <xf numFmtId="0" fontId="33" fillId="0" borderId="67" xfId="0" applyFont="1" applyBorder="1"/>
    <xf numFmtId="0" fontId="30" fillId="0" borderId="68" xfId="0" applyFont="1" applyBorder="1" applyAlignment="1">
      <alignment horizontal="right"/>
    </xf>
    <xf numFmtId="0" fontId="51" fillId="0" borderId="36" xfId="0" applyFont="1" applyBorder="1" applyAlignment="1">
      <alignment horizontal="center" vertical="center" wrapText="1"/>
    </xf>
    <xf numFmtId="0" fontId="51" fillId="0" borderId="28" xfId="0" applyFont="1" applyBorder="1" applyAlignment="1">
      <alignment horizontal="center" vertical="center" wrapText="1"/>
    </xf>
    <xf numFmtId="2" fontId="33" fillId="0" borderId="28" xfId="0" applyNumberFormat="1" applyFont="1" applyBorder="1"/>
    <xf numFmtId="2" fontId="62" fillId="0" borderId="36" xfId="1556" applyNumberFormat="1" applyBorder="1"/>
    <xf numFmtId="2" fontId="30" fillId="0" borderId="37" xfId="0" applyNumberFormat="1" applyFont="1" applyBorder="1" applyAlignment="1">
      <alignment horizontal="right"/>
    </xf>
    <xf numFmtId="2" fontId="30" fillId="0" borderId="30" xfId="0" applyNumberFormat="1" applyFont="1" applyBorder="1" applyAlignment="1">
      <alignment horizontal="right"/>
    </xf>
    <xf numFmtId="0" fontId="0" fillId="0" borderId="2" xfId="0" applyBorder="1"/>
    <xf numFmtId="0" fontId="0" fillId="0" borderId="3" xfId="0" applyBorder="1"/>
    <xf numFmtId="2" fontId="33" fillId="23" borderId="1" xfId="0" applyNumberFormat="1" applyFont="1" applyFill="1" applyBorder="1"/>
    <xf numFmtId="2" fontId="30" fillId="23" borderId="31" xfId="0" applyNumberFormat="1" applyFont="1" applyFill="1" applyBorder="1" applyAlignment="1">
      <alignment horizontal="right"/>
    </xf>
    <xf numFmtId="0" fontId="0" fillId="22" borderId="0" xfId="0" applyFill="1"/>
    <xf numFmtId="2" fontId="33" fillId="6" borderId="4" xfId="1556" applyNumberFormat="1" applyFont="1" applyFill="1" applyBorder="1" applyAlignment="1">
      <alignment horizontal="left" vertical="center"/>
    </xf>
    <xf numFmtId="0" fontId="33" fillId="3" borderId="1" xfId="0" applyFont="1" applyFill="1" applyBorder="1"/>
    <xf numFmtId="0" fontId="33" fillId="23" borderId="0" xfId="0" applyFont="1" applyFill="1"/>
    <xf numFmtId="2" fontId="0" fillId="23" borderId="1" xfId="0" applyNumberFormat="1" applyFill="1" applyBorder="1" applyAlignment="1">
      <alignment horizontal="center" vertical="center"/>
    </xf>
    <xf numFmtId="0" fontId="33" fillId="23" borderId="0" xfId="0" applyFont="1" applyFill="1" applyAlignment="1">
      <alignment horizontal="center" vertical="center" wrapText="1"/>
    </xf>
    <xf numFmtId="0" fontId="33" fillId="23" borderId="0" xfId="1556" applyFont="1" applyFill="1"/>
    <xf numFmtId="0" fontId="0" fillId="23" borderId="0" xfId="0" applyFill="1"/>
    <xf numFmtId="2" fontId="33" fillId="23" borderId="0" xfId="1556" applyNumberFormat="1" applyFont="1" applyFill="1"/>
    <xf numFmtId="2" fontId="33" fillId="23" borderId="0" xfId="0" applyNumberFormat="1" applyFont="1" applyFill="1"/>
    <xf numFmtId="0" fontId="37" fillId="23" borderId="0" xfId="0" applyFont="1" applyFill="1" applyAlignment="1">
      <alignment wrapText="1"/>
    </xf>
    <xf numFmtId="2" fontId="0" fillId="23" borderId="1" xfId="0" applyNumberFormat="1" applyFill="1" applyBorder="1" applyAlignment="1">
      <alignment horizontal="center" vertical="center" wrapText="1"/>
    </xf>
    <xf numFmtId="0" fontId="49" fillId="0" borderId="1" xfId="996" applyFill="1" applyBorder="1" applyAlignment="1">
      <alignment horizontal="center" vertical="center" wrapText="1"/>
    </xf>
    <xf numFmtId="0" fontId="49" fillId="0" borderId="1" xfId="996" applyFill="1" applyBorder="1" applyAlignment="1">
      <alignment horizontal="center" vertical="center"/>
    </xf>
    <xf numFmtId="2" fontId="0" fillId="24" borderId="1" xfId="0" applyNumberFormat="1" applyFill="1" applyBorder="1" applyAlignment="1">
      <alignment horizontal="center" vertical="center"/>
    </xf>
    <xf numFmtId="2" fontId="0" fillId="24" borderId="12" xfId="0" applyNumberFormat="1" applyFill="1" applyBorder="1" applyAlignment="1">
      <alignment horizontal="center" vertical="center"/>
    </xf>
    <xf numFmtId="0" fontId="0" fillId="6" borderId="35" xfId="0" applyFill="1" applyBorder="1" applyAlignment="1">
      <alignment horizontal="center" vertical="center" wrapText="1"/>
    </xf>
    <xf numFmtId="0" fontId="71" fillId="0" borderId="0" xfId="0" applyFont="1" applyAlignment="1">
      <alignment horizontal="center" vertical="center" wrapText="1"/>
    </xf>
    <xf numFmtId="0" fontId="68" fillId="0" borderId="0" xfId="0" applyFont="1" applyAlignment="1">
      <alignment horizontal="center" vertical="top" wrapText="1"/>
    </xf>
    <xf numFmtId="0" fontId="0" fillId="6" borderId="0" xfId="0" applyFill="1" applyAlignment="1">
      <alignment horizontal="left" vertical="center" wrapText="1"/>
    </xf>
    <xf numFmtId="0" fontId="0" fillId="0" borderId="1" xfId="0" applyBorder="1" applyAlignment="1">
      <alignment horizontal="left"/>
    </xf>
    <xf numFmtId="0" fontId="0" fillId="0" borderId="73" xfId="0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0" borderId="65" xfId="0" applyBorder="1" applyAlignment="1">
      <alignment horizontal="center" vertical="center" wrapText="1"/>
    </xf>
    <xf numFmtId="2" fontId="33" fillId="6" borderId="67" xfId="0" applyNumberFormat="1" applyFont="1" applyFill="1" applyBorder="1" applyAlignment="1">
      <alignment horizontal="center" vertical="center" wrapText="1"/>
    </xf>
    <xf numFmtId="0" fontId="33" fillId="14" borderId="67" xfId="0" applyFont="1" applyFill="1" applyBorder="1" applyAlignment="1" applyProtection="1">
      <alignment horizontal="center" vertical="center" wrapText="1"/>
      <protection locked="0"/>
    </xf>
    <xf numFmtId="2" fontId="33" fillId="6" borderId="68" xfId="0" applyNumberFormat="1" applyFont="1" applyFill="1" applyBorder="1" applyAlignment="1">
      <alignment horizontal="center" vertical="center" wrapText="1"/>
    </xf>
    <xf numFmtId="0" fontId="30" fillId="6" borderId="6" xfId="0" applyFont="1" applyFill="1" applyBorder="1" applyAlignment="1">
      <alignment horizontal="center" vertical="center"/>
    </xf>
    <xf numFmtId="0" fontId="0" fillId="6" borderId="25" xfId="0" applyFill="1" applyBorder="1" applyAlignment="1">
      <alignment horizontal="center" vertical="center" wrapText="1"/>
    </xf>
    <xf numFmtId="0" fontId="0" fillId="6" borderId="26" xfId="0" applyFill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/>
    </xf>
    <xf numFmtId="0" fontId="0" fillId="6" borderId="45" xfId="0" applyFill="1" applyBorder="1" applyAlignment="1">
      <alignment horizontal="center" vertical="center" wrapText="1"/>
    </xf>
    <xf numFmtId="0" fontId="0" fillId="6" borderId="35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applyNumberFormat="1"/>
    <xf numFmtId="0" fontId="33" fillId="6" borderId="1" xfId="0" applyFont="1" applyFill="1" applyBorder="1" applyAlignment="1">
      <alignment horizontal="center" vertical="center"/>
    </xf>
    <xf numFmtId="2" fontId="81" fillId="6" borderId="0" xfId="0" applyNumberFormat="1" applyFont="1" applyFill="1" applyAlignment="1">
      <alignment horizontal="center" vertical="center"/>
    </xf>
    <xf numFmtId="0" fontId="30" fillId="5" borderId="3" xfId="0" applyFont="1" applyFill="1" applyBorder="1" applyAlignment="1">
      <alignment horizontal="left"/>
    </xf>
    <xf numFmtId="168" fontId="23" fillId="0" borderId="5" xfId="1833" applyNumberFormat="1" applyBorder="1" applyAlignment="1">
      <alignment horizontal="left"/>
    </xf>
    <xf numFmtId="2" fontId="49" fillId="0" borderId="0" xfId="996" applyNumberFormat="1" applyFill="1"/>
    <xf numFmtId="1" fontId="51" fillId="0" borderId="0" xfId="0" applyNumberFormat="1" applyFont="1"/>
    <xf numFmtId="2" fontId="33" fillId="0" borderId="4" xfId="723" quotePrefix="1" applyNumberFormat="1" applyFont="1" applyBorder="1"/>
    <xf numFmtId="1" fontId="0" fillId="6" borderId="50" xfId="0" applyNumberFormat="1" applyFill="1" applyBorder="1" applyAlignment="1" applyProtection="1">
      <alignment horizontal="center" vertical="center"/>
      <protection locked="0"/>
    </xf>
    <xf numFmtId="0" fontId="0" fillId="6" borderId="57" xfId="0" applyFill="1" applyBorder="1" applyAlignment="1">
      <alignment horizontal="center" vertical="center"/>
    </xf>
    <xf numFmtId="44" fontId="0" fillId="0" borderId="0" xfId="1839" applyFont="1"/>
    <xf numFmtId="171" fontId="0" fillId="25" borderId="22" xfId="0" applyNumberFormat="1" applyFill="1" applyBorder="1"/>
    <xf numFmtId="1" fontId="0" fillId="0" borderId="1" xfId="0" applyNumberFormat="1" applyBorder="1"/>
    <xf numFmtId="3" fontId="0" fillId="0" borderId="1" xfId="0" applyNumberFormat="1" applyBorder="1"/>
    <xf numFmtId="171" fontId="0" fillId="0" borderId="1" xfId="1839" applyNumberFormat="1" applyFont="1" applyBorder="1"/>
    <xf numFmtId="0" fontId="0" fillId="0" borderId="19" xfId="0" applyBorder="1" applyAlignment="1">
      <alignment wrapText="1"/>
    </xf>
    <xf numFmtId="1" fontId="0" fillId="0" borderId="19" xfId="0" applyNumberFormat="1" applyBorder="1"/>
    <xf numFmtId="0" fontId="0" fillId="0" borderId="21" xfId="0" applyBorder="1" applyAlignment="1">
      <alignment wrapText="1"/>
    </xf>
    <xf numFmtId="171" fontId="0" fillId="0" borderId="21" xfId="1839" applyNumberFormat="1" applyFont="1" applyBorder="1"/>
    <xf numFmtId="2" fontId="37" fillId="0" borderId="5" xfId="723" applyNumberFormat="1" applyFont="1" applyBorder="1" applyAlignment="1">
      <alignment horizontal="center" wrapText="1"/>
    </xf>
    <xf numFmtId="171" fontId="0" fillId="0" borderId="0" xfId="0" applyNumberFormat="1"/>
    <xf numFmtId="44" fontId="0" fillId="25" borderId="0" xfId="1839" applyFont="1" applyFill="1"/>
    <xf numFmtId="0" fontId="0" fillId="6" borderId="22" xfId="0" applyFill="1" applyBorder="1"/>
    <xf numFmtId="44" fontId="0" fillId="6" borderId="0" xfId="0" applyNumberFormat="1" applyFill="1"/>
    <xf numFmtId="44" fontId="0" fillId="0" borderId="0" xfId="0" applyNumberFormat="1"/>
    <xf numFmtId="44" fontId="0" fillId="6" borderId="0" xfId="1839" applyFont="1" applyFill="1"/>
    <xf numFmtId="0" fontId="0" fillId="6" borderId="14" xfId="0" applyFill="1" applyBorder="1"/>
    <xf numFmtId="44" fontId="0" fillId="6" borderId="14" xfId="1839" applyFont="1" applyFill="1" applyBorder="1"/>
    <xf numFmtId="8" fontId="0" fillId="0" borderId="0" xfId="1839" applyNumberFormat="1" applyFont="1"/>
    <xf numFmtId="0" fontId="30" fillId="0" borderId="22" xfId="0" applyFont="1" applyBorder="1"/>
    <xf numFmtId="0" fontId="0" fillId="0" borderId="37" xfId="0" applyBorder="1" applyAlignment="1">
      <alignment horizontal="center" vertical="center" wrapText="1"/>
    </xf>
    <xf numFmtId="0" fontId="0" fillId="6" borderId="30" xfId="0" applyFill="1" applyBorder="1" applyAlignment="1">
      <alignment horizontal="center" vertical="center" wrapText="1"/>
    </xf>
    <xf numFmtId="166" fontId="0" fillId="0" borderId="0" xfId="0" applyNumberFormat="1" applyAlignment="1">
      <alignment vertical="top"/>
    </xf>
    <xf numFmtId="166" fontId="0" fillId="0" borderId="5" xfId="0" applyNumberFormat="1" applyBorder="1" applyAlignment="1">
      <alignment vertical="top"/>
    </xf>
    <xf numFmtId="166" fontId="30" fillId="0" borderId="0" xfId="0" applyNumberFormat="1" applyFont="1" applyAlignment="1">
      <alignment vertical="top"/>
    </xf>
    <xf numFmtId="166" fontId="30" fillId="0" borderId="5" xfId="0" applyNumberFormat="1" applyFont="1" applyBorder="1" applyAlignment="1">
      <alignment vertical="top"/>
    </xf>
    <xf numFmtId="172" fontId="0" fillId="18" borderId="5" xfId="1833" applyNumberFormat="1" applyFont="1" applyFill="1" applyBorder="1"/>
    <xf numFmtId="0" fontId="30" fillId="6" borderId="22" xfId="0" applyFont="1" applyFill="1" applyBorder="1"/>
    <xf numFmtId="44" fontId="30" fillId="6" borderId="22" xfId="0" applyNumberFormat="1" applyFont="1" applyFill="1" applyBorder="1"/>
    <xf numFmtId="9" fontId="0" fillId="0" borderId="0" xfId="1554" applyFont="1"/>
    <xf numFmtId="165" fontId="51" fillId="0" borderId="1" xfId="723" applyNumberFormat="1" applyFont="1" applyBorder="1"/>
    <xf numFmtId="173" fontId="0" fillId="0" borderId="21" xfId="1839" applyNumberFormat="1" applyFont="1" applyBorder="1"/>
    <xf numFmtId="173" fontId="0" fillId="0" borderId="1" xfId="1839" applyNumberFormat="1" applyFont="1" applyBorder="1"/>
    <xf numFmtId="44" fontId="82" fillId="6" borderId="0" xfId="1839" applyFont="1" applyFill="1"/>
    <xf numFmtId="44" fontId="84" fillId="22" borderId="22" xfId="1839" applyFont="1" applyFill="1" applyBorder="1"/>
    <xf numFmtId="164" fontId="0" fillId="0" borderId="0" xfId="0" applyNumberFormat="1"/>
    <xf numFmtId="2" fontId="83" fillId="0" borderId="1" xfId="723" applyNumberFormat="1" applyFont="1" applyBorder="1"/>
    <xf numFmtId="0" fontId="83" fillId="6" borderId="22" xfId="0" applyFont="1" applyFill="1" applyBorder="1"/>
    <xf numFmtId="0" fontId="82" fillId="0" borderId="0" xfId="0" applyFont="1"/>
    <xf numFmtId="0" fontId="82" fillId="20" borderId="0" xfId="0" applyFont="1" applyFill="1"/>
    <xf numFmtId="171" fontId="82" fillId="25" borderId="0" xfId="0" applyNumberFormat="1" applyFont="1" applyFill="1"/>
    <xf numFmtId="44" fontId="82" fillId="25" borderId="0" xfId="1839" applyFont="1" applyFill="1"/>
    <xf numFmtId="2" fontId="82" fillId="0" borderId="21" xfId="0" applyNumberFormat="1" applyFont="1" applyBorder="1" applyAlignment="1">
      <alignment horizontal="center" vertical="center" wrapText="1"/>
    </xf>
    <xf numFmtId="0" fontId="0" fillId="6" borderId="2" xfId="0" applyFill="1" applyBorder="1" applyAlignment="1">
      <alignment horizontal="center" vertical="center" wrapText="1"/>
    </xf>
    <xf numFmtId="2" fontId="0" fillId="0" borderId="0" xfId="1839" applyNumberFormat="1" applyFont="1"/>
    <xf numFmtId="8" fontId="0" fillId="0" borderId="0" xfId="0" applyNumberFormat="1"/>
    <xf numFmtId="44" fontId="30" fillId="0" borderId="0" xfId="1839" applyFont="1"/>
    <xf numFmtId="171" fontId="0" fillId="0" borderId="0" xfId="1839" applyNumberFormat="1" applyFont="1"/>
    <xf numFmtId="0" fontId="43" fillId="0" borderId="0" xfId="0" applyFont="1"/>
    <xf numFmtId="1" fontId="0" fillId="0" borderId="0" xfId="0" applyNumberFormat="1"/>
    <xf numFmtId="2" fontId="82" fillId="0" borderId="0" xfId="0" applyNumberFormat="1" applyFont="1" applyAlignment="1">
      <alignment horizontal="center" vertical="center"/>
    </xf>
    <xf numFmtId="2" fontId="82" fillId="6" borderId="0" xfId="0" applyNumberFormat="1" applyFont="1" applyFill="1" applyAlignment="1">
      <alignment horizontal="center" vertical="center" wrapText="1"/>
    </xf>
    <xf numFmtId="174" fontId="0" fillId="18" borderId="5" xfId="1833" applyNumberFormat="1" applyFont="1" applyFill="1" applyBorder="1"/>
    <xf numFmtId="0" fontId="0" fillId="14" borderId="28" xfId="0" applyFill="1" applyBorder="1" applyAlignment="1" applyProtection="1">
      <alignment horizontal="center" vertical="center"/>
      <protection locked="0"/>
    </xf>
    <xf numFmtId="0" fontId="0" fillId="6" borderId="0" xfId="0" applyFill="1" applyAlignment="1">
      <alignment horizontal="right" vertical="top" wrapText="1"/>
    </xf>
    <xf numFmtId="0" fontId="85" fillId="6" borderId="0" xfId="0" applyFont="1" applyFill="1" applyAlignment="1">
      <alignment horizontal="center" vertical="center"/>
    </xf>
    <xf numFmtId="44" fontId="0" fillId="19" borderId="0" xfId="0" applyNumberFormat="1" applyFill="1"/>
    <xf numFmtId="0" fontId="43" fillId="4" borderId="0" xfId="0" applyFont="1" applyFill="1"/>
    <xf numFmtId="0" fontId="84" fillId="6" borderId="22" xfId="0" applyFont="1" applyFill="1" applyBorder="1"/>
    <xf numFmtId="164" fontId="84" fillId="6" borderId="22" xfId="0" applyNumberFormat="1" applyFont="1" applyFill="1" applyBorder="1"/>
    <xf numFmtId="44" fontId="30" fillId="25" borderId="22" xfId="0" applyNumberFormat="1" applyFont="1" applyFill="1" applyBorder="1"/>
    <xf numFmtId="44" fontId="30" fillId="0" borderId="0" xfId="0" applyNumberFormat="1" applyFont="1"/>
    <xf numFmtId="0" fontId="33" fillId="0" borderId="0" xfId="0" applyFont="1" applyAlignment="1">
      <alignment horizontal="left" vertical="top" wrapText="1"/>
    </xf>
    <xf numFmtId="0" fontId="37" fillId="14" borderId="0" xfId="0" applyFont="1" applyFill="1"/>
    <xf numFmtId="0" fontId="33" fillId="14" borderId="0" xfId="0" applyFont="1" applyFill="1"/>
    <xf numFmtId="0" fontId="84" fillId="0" borderId="0" xfId="0" applyFont="1"/>
    <xf numFmtId="164" fontId="84" fillId="0" borderId="22" xfId="0" applyNumberFormat="1" applyFont="1" applyBorder="1"/>
    <xf numFmtId="173" fontId="0" fillId="0" borderId="0" xfId="0" applyNumberFormat="1"/>
    <xf numFmtId="171" fontId="30" fillId="0" borderId="0" xfId="0" applyNumberFormat="1" applyFont="1"/>
    <xf numFmtId="9" fontId="30" fillId="0" borderId="22" xfId="1554" applyFont="1" applyBorder="1"/>
    <xf numFmtId="0" fontId="87" fillId="6" borderId="0" xfId="0" applyFont="1" applyFill="1" applyAlignment="1">
      <alignment horizontal="center" vertical="center"/>
    </xf>
    <xf numFmtId="0" fontId="72" fillId="6" borderId="0" xfId="0" applyFont="1" applyFill="1" applyAlignment="1">
      <alignment horizontal="center" vertical="center"/>
    </xf>
    <xf numFmtId="0" fontId="89" fillId="6" borderId="0" xfId="0" applyFont="1" applyFill="1" applyAlignment="1">
      <alignment horizontal="left" vertical="center"/>
    </xf>
    <xf numFmtId="0" fontId="89" fillId="6" borderId="0" xfId="0" applyFont="1" applyFill="1" applyAlignment="1">
      <alignment horizontal="center" vertical="center"/>
    </xf>
    <xf numFmtId="0" fontId="90" fillId="6" borderId="0" xfId="0" applyFont="1" applyFill="1" applyAlignment="1">
      <alignment horizontal="center" vertical="center"/>
    </xf>
    <xf numFmtId="0" fontId="0" fillId="14" borderId="1" xfId="0" applyFill="1" applyBorder="1" applyAlignment="1" applyProtection="1">
      <alignment horizontal="center" vertical="center"/>
      <protection locked="0"/>
    </xf>
    <xf numFmtId="0" fontId="0" fillId="0" borderId="37" xfId="0" applyBorder="1"/>
    <xf numFmtId="0" fontId="0" fillId="0" borderId="30" xfId="0" applyBorder="1" applyAlignment="1">
      <alignment horizontal="center" vertical="center"/>
    </xf>
    <xf numFmtId="9" fontId="0" fillId="14" borderId="0" xfId="0" applyNumberFormat="1" applyFill="1" applyProtection="1">
      <protection locked="0"/>
    </xf>
    <xf numFmtId="0" fontId="0" fillId="14" borderId="0" xfId="0" applyFill="1" applyProtection="1">
      <protection locked="0"/>
    </xf>
    <xf numFmtId="0" fontId="82" fillId="14" borderId="0" xfId="0" applyFont="1" applyFill="1" applyProtection="1">
      <protection locked="0"/>
    </xf>
    <xf numFmtId="0" fontId="0" fillId="6" borderId="25" xfId="0" applyFill="1" applyBorder="1" applyAlignment="1" applyProtection="1">
      <alignment horizontal="center" vertical="center" wrapText="1"/>
      <protection locked="0"/>
    </xf>
    <xf numFmtId="0" fontId="0" fillId="6" borderId="26" xfId="0" applyFill="1" applyBorder="1" applyAlignment="1" applyProtection="1">
      <alignment horizontal="center" vertical="center" wrapText="1"/>
      <protection locked="0"/>
    </xf>
    <xf numFmtId="0" fontId="0" fillId="14" borderId="30" xfId="0" applyFill="1" applyBorder="1" applyAlignment="1" applyProtection="1">
      <alignment horizontal="center" vertical="center"/>
      <protection locked="0"/>
    </xf>
    <xf numFmtId="0" fontId="0" fillId="14" borderId="31" xfId="0" applyFill="1" applyBorder="1" applyAlignment="1" applyProtection="1">
      <alignment horizontal="center" vertical="center"/>
      <protection locked="0"/>
    </xf>
    <xf numFmtId="0" fontId="0" fillId="14" borderId="36" xfId="0" applyFill="1" applyBorder="1" applyAlignment="1" applyProtection="1">
      <alignment horizontal="center" vertical="center" wrapText="1"/>
      <protection locked="0"/>
    </xf>
    <xf numFmtId="0" fontId="0" fillId="14" borderId="37" xfId="0" applyFill="1" applyBorder="1" applyAlignment="1" applyProtection="1">
      <alignment horizontal="center" vertical="center" wrapText="1"/>
      <protection locked="0"/>
    </xf>
    <xf numFmtId="0" fontId="19" fillId="6" borderId="25" xfId="0" applyFont="1" applyFill="1" applyBorder="1" applyAlignment="1">
      <alignment horizontal="center" vertical="center" wrapText="1"/>
    </xf>
    <xf numFmtId="0" fontId="19" fillId="6" borderId="3" xfId="0" applyFont="1" applyFill="1" applyBorder="1" applyAlignment="1">
      <alignment horizontal="center" vertical="center" wrapText="1"/>
    </xf>
    <xf numFmtId="0" fontId="19" fillId="6" borderId="65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9" fillId="6" borderId="0" xfId="0" applyFont="1" applyFill="1" applyAlignment="1">
      <alignment horizontal="center" vertical="center" wrapText="1"/>
    </xf>
    <xf numFmtId="0" fontId="19" fillId="6" borderId="0" xfId="0" applyFont="1" applyFill="1" applyAlignment="1">
      <alignment horizontal="center" vertical="center"/>
    </xf>
    <xf numFmtId="0" fontId="19" fillId="6" borderId="1" xfId="0" applyFont="1" applyFill="1" applyBorder="1" applyAlignment="1">
      <alignment horizontal="center" vertical="center" wrapText="1"/>
    </xf>
    <xf numFmtId="2" fontId="19" fillId="14" borderId="28" xfId="0" applyNumberFormat="1" applyFont="1" applyFill="1" applyBorder="1" applyAlignment="1" applyProtection="1">
      <alignment horizontal="center" vertical="center"/>
      <protection locked="0"/>
    </xf>
    <xf numFmtId="0" fontId="19" fillId="6" borderId="30" xfId="0" applyFont="1" applyFill="1" applyBorder="1" applyAlignment="1">
      <alignment horizontal="center" vertical="center" wrapText="1"/>
    </xf>
    <xf numFmtId="2" fontId="19" fillId="14" borderId="31" xfId="0" applyNumberFormat="1" applyFont="1" applyFill="1" applyBorder="1" applyAlignment="1" applyProtection="1">
      <alignment horizontal="center" vertical="center"/>
      <protection locked="0"/>
    </xf>
    <xf numFmtId="2" fontId="19" fillId="6" borderId="0" xfId="0" applyNumberFormat="1" applyFont="1" applyFill="1" applyAlignment="1">
      <alignment horizontal="center" vertical="center"/>
    </xf>
    <xf numFmtId="2" fontId="0" fillId="14" borderId="1" xfId="0" applyNumberFormat="1" applyFill="1" applyBorder="1" applyAlignment="1" applyProtection="1">
      <alignment horizontal="center"/>
      <protection locked="0"/>
    </xf>
    <xf numFmtId="2" fontId="19" fillId="14" borderId="1" xfId="0" applyNumberFormat="1" applyFont="1" applyFill="1" applyBorder="1" applyAlignment="1" applyProtection="1">
      <alignment horizontal="center" vertical="center"/>
      <protection locked="0"/>
    </xf>
    <xf numFmtId="49" fontId="19" fillId="14" borderId="1" xfId="0" applyNumberFormat="1" applyFont="1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horizontal="center" vertical="center"/>
    </xf>
    <xf numFmtId="0" fontId="19" fillId="0" borderId="56" xfId="0" applyFont="1" applyBorder="1" applyAlignment="1">
      <alignment horizontal="center" vertical="center" wrapText="1"/>
    </xf>
    <xf numFmtId="2" fontId="33" fillId="6" borderId="1" xfId="0" applyNumberFormat="1" applyFont="1" applyFill="1" applyBorder="1" applyAlignment="1">
      <alignment horizontal="center" vertical="center"/>
    </xf>
    <xf numFmtId="2" fontId="33" fillId="6" borderId="1" xfId="0" applyNumberFormat="1" applyFont="1" applyFill="1" applyBorder="1" applyAlignment="1">
      <alignment horizontal="center" vertical="center" wrapText="1"/>
    </xf>
    <xf numFmtId="0" fontId="33" fillId="6" borderId="1" xfId="0" applyFont="1" applyFill="1" applyBorder="1" applyAlignment="1">
      <alignment horizontal="center" vertical="center" wrapText="1"/>
    </xf>
    <xf numFmtId="2" fontId="33" fillId="6" borderId="1" xfId="1553" applyNumberFormat="1" applyFont="1" applyFill="1" applyBorder="1" applyAlignment="1">
      <alignment horizontal="center" vertical="center" wrapText="1"/>
    </xf>
    <xf numFmtId="0" fontId="62" fillId="0" borderId="1" xfId="1556" applyBorder="1" applyAlignment="1">
      <alignment horizontal="center" vertical="center" wrapText="1"/>
    </xf>
    <xf numFmtId="2" fontId="62" fillId="0" borderId="1" xfId="1556" applyNumberFormat="1" applyBorder="1" applyAlignment="1">
      <alignment horizontal="center" vertical="center"/>
    </xf>
    <xf numFmtId="1" fontId="33" fillId="0" borderId="1" xfId="723" applyNumberFormat="1" applyFont="1" applyBorder="1" applyAlignment="1">
      <alignment horizontal="center" vertical="center" wrapText="1"/>
    </xf>
    <xf numFmtId="1" fontId="51" fillId="0" borderId="1" xfId="0" applyNumberFormat="1" applyFont="1" applyBorder="1" applyAlignment="1">
      <alignment horizontal="center"/>
    </xf>
    <xf numFmtId="0" fontId="18" fillId="0" borderId="0" xfId="1557" applyFont="1"/>
    <xf numFmtId="2" fontId="33" fillId="4" borderId="0" xfId="723" applyNumberFormat="1" applyFont="1" applyFill="1"/>
    <xf numFmtId="2" fontId="33" fillId="23" borderId="56" xfId="0" applyNumberFormat="1" applyFont="1" applyFill="1" applyBorder="1"/>
    <xf numFmtId="0" fontId="51" fillId="0" borderId="60" xfId="0" applyFont="1" applyBorder="1" applyAlignment="1">
      <alignment horizontal="center" vertical="center" wrapText="1"/>
    </xf>
    <xf numFmtId="2" fontId="33" fillId="0" borderId="60" xfId="0" applyNumberFormat="1" applyFont="1" applyBorder="1"/>
    <xf numFmtId="0" fontId="51" fillId="0" borderId="56" xfId="0" applyFont="1" applyBorder="1" applyAlignment="1">
      <alignment horizontal="center" vertical="center" wrapText="1"/>
    </xf>
    <xf numFmtId="2" fontId="62" fillId="0" borderId="56" xfId="1556" applyNumberFormat="1" applyBorder="1"/>
    <xf numFmtId="3" fontId="33" fillId="0" borderId="0" xfId="0" applyNumberFormat="1" applyFont="1"/>
    <xf numFmtId="3" fontId="33" fillId="23" borderId="1" xfId="0" applyNumberFormat="1" applyFont="1" applyFill="1" applyBorder="1"/>
    <xf numFmtId="1" fontId="89" fillId="6" borderId="0" xfId="0" applyNumberFormat="1" applyFont="1" applyFill="1" applyAlignment="1">
      <alignment horizontal="center" vertical="center"/>
    </xf>
    <xf numFmtId="1" fontId="82" fillId="6" borderId="21" xfId="0" applyNumberFormat="1" applyFont="1" applyFill="1" applyBorder="1" applyAlignment="1">
      <alignment horizontal="center" vertical="center" wrapText="1"/>
    </xf>
    <xf numFmtId="0" fontId="72" fillId="6" borderId="4" xfId="0" applyFont="1" applyFill="1" applyBorder="1"/>
    <xf numFmtId="0" fontId="17" fillId="0" borderId="0" xfId="1557" applyFont="1"/>
    <xf numFmtId="166" fontId="33" fillId="0" borderId="0" xfId="0" applyNumberFormat="1" applyFont="1" applyAlignment="1">
      <alignment horizontal="right" vertical="top"/>
    </xf>
    <xf numFmtId="1" fontId="0" fillId="0" borderId="45" xfId="0" applyNumberFormat="1" applyBorder="1"/>
    <xf numFmtId="0" fontId="69" fillId="0" borderId="0" xfId="0" applyFont="1"/>
    <xf numFmtId="166" fontId="27" fillId="0" borderId="0" xfId="0" applyNumberFormat="1" applyFont="1"/>
    <xf numFmtId="0" fontId="27" fillId="0" borderId="55" xfId="0" applyFont="1" applyBorder="1" applyAlignment="1">
      <alignment horizontal="center" vertical="center" wrapText="1"/>
    </xf>
    <xf numFmtId="0" fontId="27" fillId="0" borderId="73" xfId="0" applyFont="1" applyBorder="1" applyAlignment="1">
      <alignment horizontal="center" vertical="center" wrapText="1"/>
    </xf>
    <xf numFmtId="0" fontId="69" fillId="0" borderId="73" xfId="1557" applyFont="1" applyBorder="1" applyAlignment="1">
      <alignment vertical="center" wrapText="1"/>
    </xf>
    <xf numFmtId="0" fontId="27" fillId="0" borderId="54" xfId="0" applyFont="1" applyBorder="1" applyAlignment="1">
      <alignment horizontal="center" vertical="center" wrapText="1"/>
    </xf>
    <xf numFmtId="1" fontId="27" fillId="14" borderId="45" xfId="0" applyNumberFormat="1" applyFont="1" applyFill="1" applyBorder="1" applyAlignment="1" applyProtection="1">
      <alignment horizontal="center" vertical="center"/>
      <protection locked="0"/>
    </xf>
    <xf numFmtId="0" fontId="16" fillId="0" borderId="0" xfId="1557" applyFont="1"/>
    <xf numFmtId="1" fontId="33" fillId="0" borderId="0" xfId="0" applyNumberFormat="1" applyFont="1"/>
    <xf numFmtId="2" fontId="30" fillId="6" borderId="0" xfId="0" applyNumberFormat="1" applyFont="1" applyFill="1" applyAlignment="1">
      <alignment horizontal="left"/>
    </xf>
    <xf numFmtId="1" fontId="37" fillId="0" borderId="4" xfId="723" applyNumberFormat="1" applyFont="1" applyBorder="1" applyAlignment="1">
      <alignment horizontal="left" vertical="center" wrapText="1"/>
    </xf>
    <xf numFmtId="175" fontId="0" fillId="0" borderId="0" xfId="0" applyNumberFormat="1" applyAlignment="1">
      <alignment horizontal="right"/>
    </xf>
    <xf numFmtId="0" fontId="27" fillId="0" borderId="0" xfId="0" applyFont="1" applyAlignment="1">
      <alignment horizontal="center" wrapText="1"/>
    </xf>
    <xf numFmtId="2" fontId="40" fillId="0" borderId="0" xfId="0" applyNumberFormat="1" applyFont="1" applyAlignment="1">
      <alignment vertical="center"/>
    </xf>
    <xf numFmtId="0" fontId="91" fillId="0" borderId="0" xfId="0" applyFont="1" applyAlignment="1">
      <alignment horizontal="center" wrapText="1"/>
    </xf>
    <xf numFmtId="0" fontId="91" fillId="0" borderId="0" xfId="0" applyFont="1" applyAlignment="1">
      <alignment wrapText="1"/>
    </xf>
    <xf numFmtId="4" fontId="0" fillId="6" borderId="0" xfId="0" applyNumberFormat="1" applyFill="1"/>
    <xf numFmtId="0" fontId="30" fillId="5" borderId="2" xfId="0" applyFont="1" applyFill="1" applyBorder="1" applyAlignment="1">
      <alignment horizontal="left" vertical="center"/>
    </xf>
    <xf numFmtId="0" fontId="30" fillId="5" borderId="3" xfId="0" applyFont="1" applyFill="1" applyBorder="1" applyAlignment="1">
      <alignment horizontal="left" vertical="center"/>
    </xf>
    <xf numFmtId="0" fontId="69" fillId="0" borderId="10" xfId="0" applyFont="1" applyBorder="1" applyAlignment="1">
      <alignment horizontal="center" vertical="center" wrapText="1"/>
    </xf>
    <xf numFmtId="0" fontId="37" fillId="6" borderId="0" xfId="0" applyFont="1" applyFill="1"/>
    <xf numFmtId="0" fontId="0" fillId="6" borderId="0" xfId="0" applyFill="1" applyAlignment="1">
      <alignment wrapText="1"/>
    </xf>
    <xf numFmtId="165" fontId="0" fillId="6" borderId="0" xfId="0" applyNumberFormat="1" applyFill="1"/>
    <xf numFmtId="0" fontId="75" fillId="6" borderId="0" xfId="0" applyFont="1" applyFill="1"/>
    <xf numFmtId="0" fontId="32" fillId="0" borderId="4" xfId="0" applyFont="1" applyBorder="1" applyAlignment="1">
      <alignment horizontal="left" vertical="center" wrapText="1"/>
    </xf>
    <xf numFmtId="0" fontId="30" fillId="5" borderId="4" xfId="0" applyFont="1" applyFill="1" applyBorder="1"/>
    <xf numFmtId="0" fontId="0" fillId="5" borderId="0" xfId="0" applyFill="1"/>
    <xf numFmtId="0" fontId="0" fillId="5" borderId="5" xfId="0" applyFill="1" applyBorder="1"/>
    <xf numFmtId="4" fontId="33" fillId="0" borderId="0" xfId="1554" applyNumberFormat="1" applyFont="1" applyAlignment="1">
      <alignment horizontal="right" vertical="top"/>
    </xf>
    <xf numFmtId="3" fontId="33" fillId="0" borderId="0" xfId="0" applyNumberFormat="1" applyFont="1" applyAlignment="1">
      <alignment horizontal="right" vertical="top"/>
    </xf>
    <xf numFmtId="4" fontId="33" fillId="0" borderId="0" xfId="0" applyNumberFormat="1" applyFont="1" applyAlignment="1">
      <alignment horizontal="right" vertical="top"/>
    </xf>
    <xf numFmtId="1" fontId="33" fillId="0" borderId="0" xfId="0" applyNumberFormat="1" applyFont="1" applyAlignment="1">
      <alignment horizontal="right" vertical="top"/>
    </xf>
    <xf numFmtId="166" fontId="0" fillId="0" borderId="0" xfId="0" applyNumberFormat="1"/>
    <xf numFmtId="0" fontId="30" fillId="5" borderId="0" xfId="0" applyFont="1" applyFill="1" applyAlignment="1">
      <alignment horizontal="left"/>
    </xf>
    <xf numFmtId="0" fontId="0" fillId="0" borderId="45" xfId="0" applyBorder="1"/>
    <xf numFmtId="0" fontId="27" fillId="11" borderId="10" xfId="0" applyFont="1" applyFill="1" applyBorder="1" applyAlignment="1">
      <alignment horizontal="center" wrapText="1"/>
    </xf>
    <xf numFmtId="0" fontId="0" fillId="11" borderId="0" xfId="0" applyFill="1" applyAlignment="1">
      <alignment horizontal="center"/>
    </xf>
    <xf numFmtId="1" fontId="0" fillId="6" borderId="59" xfId="0" applyNumberFormat="1" applyFill="1" applyBorder="1"/>
    <xf numFmtId="166" fontId="0" fillId="0" borderId="59" xfId="0" applyNumberFormat="1" applyBorder="1"/>
    <xf numFmtId="0" fontId="14" fillId="0" borderId="0" xfId="0" applyFont="1" applyAlignment="1">
      <alignment horizontal="left" vertical="center"/>
    </xf>
    <xf numFmtId="0" fontId="36" fillId="0" borderId="0" xfId="0" applyFont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4" fillId="14" borderId="28" xfId="0" applyFont="1" applyFill="1" applyBorder="1" applyAlignment="1">
      <alignment horizontal="center" vertical="center" wrapText="1"/>
    </xf>
    <xf numFmtId="0" fontId="14" fillId="6" borderId="1" xfId="0" applyFont="1" applyFill="1" applyBorder="1" applyAlignment="1">
      <alignment horizontal="center" vertical="center" wrapText="1"/>
    </xf>
    <xf numFmtId="0" fontId="14" fillId="6" borderId="30" xfId="0" applyFont="1" applyFill="1" applyBorder="1" applyAlignment="1">
      <alignment horizontal="center" vertical="center" wrapText="1"/>
    </xf>
    <xf numFmtId="0" fontId="30" fillId="0" borderId="17" xfId="0" applyFont="1" applyBorder="1" applyAlignment="1">
      <alignment horizontal="center" vertical="center"/>
    </xf>
    <xf numFmtId="0" fontId="0" fillId="0" borderId="28" xfId="0" applyBorder="1" applyAlignment="1">
      <alignment horizontal="center" vertical="center" wrapText="1"/>
    </xf>
    <xf numFmtId="0" fontId="0" fillId="0" borderId="15" xfId="0" applyBorder="1" applyAlignment="1">
      <alignment horizontal="left" vertical="center"/>
    </xf>
    <xf numFmtId="0" fontId="0" fillId="0" borderId="28" xfId="0" applyBorder="1" applyAlignment="1">
      <alignment horizontal="center" vertical="center"/>
    </xf>
    <xf numFmtId="0" fontId="0" fillId="0" borderId="34" xfId="0" applyBorder="1" applyAlignment="1">
      <alignment horizontal="center" vertical="center" wrapText="1"/>
    </xf>
    <xf numFmtId="0" fontId="0" fillId="6" borderId="8" xfId="0" applyFill="1" applyBorder="1" applyAlignment="1">
      <alignment horizontal="center" vertical="center" wrapText="1"/>
    </xf>
    <xf numFmtId="0" fontId="0" fillId="0" borderId="34" xfId="0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0" fontId="0" fillId="0" borderId="38" xfId="0" applyBorder="1" applyAlignment="1">
      <alignment horizontal="center" vertical="center" wrapText="1"/>
    </xf>
    <xf numFmtId="0" fontId="0" fillId="0" borderId="31" xfId="0" applyBorder="1" applyAlignment="1">
      <alignment horizontal="center" vertical="center"/>
    </xf>
    <xf numFmtId="0" fontId="30" fillId="0" borderId="41" xfId="0" applyFont="1" applyBorder="1" applyAlignment="1">
      <alignment horizontal="center" vertical="center" wrapText="1"/>
    </xf>
    <xf numFmtId="0" fontId="0" fillId="0" borderId="42" xfId="0" applyBorder="1" applyAlignment="1">
      <alignment horizontal="center" vertical="center"/>
    </xf>
    <xf numFmtId="2" fontId="0" fillId="0" borderId="42" xfId="0" applyNumberFormat="1" applyBorder="1" applyAlignment="1">
      <alignment horizontal="center" vertical="center"/>
    </xf>
    <xf numFmtId="2" fontId="0" fillId="0" borderId="40" xfId="0" applyNumberFormat="1" applyBorder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0" fillId="0" borderId="49" xfId="0" applyBorder="1"/>
    <xf numFmtId="0" fontId="0" fillId="0" borderId="76" xfId="0" applyBorder="1"/>
    <xf numFmtId="0" fontId="14" fillId="14" borderId="31" xfId="0" applyFont="1" applyFill="1" applyBorder="1" applyAlignment="1">
      <alignment horizontal="center" vertical="center" wrapText="1"/>
    </xf>
    <xf numFmtId="0" fontId="0" fillId="6" borderId="22" xfId="0" applyFill="1" applyBorder="1" applyAlignment="1">
      <alignment vertical="center"/>
    </xf>
    <xf numFmtId="0" fontId="0" fillId="0" borderId="17" xfId="0" applyBorder="1" applyAlignment="1">
      <alignment horizontal="center" vertical="center"/>
    </xf>
    <xf numFmtId="0" fontId="0" fillId="6" borderId="0" xfId="0" applyFill="1" applyAlignment="1">
      <alignment horizontal="left"/>
    </xf>
    <xf numFmtId="0" fontId="33" fillId="6" borderId="4" xfId="0" applyFont="1" applyFill="1" applyBorder="1" applyAlignment="1">
      <alignment horizontal="left" vertical="center" wrapText="1"/>
    </xf>
    <xf numFmtId="0" fontId="33" fillId="6" borderId="0" xfId="0" applyFont="1" applyFill="1" applyAlignment="1">
      <alignment horizontal="left" vertical="center"/>
    </xf>
    <xf numFmtId="2" fontId="33" fillId="6" borderId="5" xfId="0" applyNumberFormat="1" applyFont="1" applyFill="1" applyBorder="1" applyAlignment="1">
      <alignment horizontal="center" vertical="center"/>
    </xf>
    <xf numFmtId="2" fontId="33" fillId="6" borderId="0" xfId="0" applyNumberFormat="1" applyFont="1" applyFill="1" applyAlignment="1">
      <alignment horizontal="center" vertical="center"/>
    </xf>
    <xf numFmtId="1" fontId="33" fillId="6" borderId="66" xfId="6" applyNumberFormat="1" applyFont="1" applyFill="1" applyBorder="1" applyAlignment="1">
      <alignment horizontal="center" vertical="center"/>
    </xf>
    <xf numFmtId="0" fontId="37" fillId="6" borderId="77" xfId="0" applyFont="1" applyFill="1" applyBorder="1" applyAlignment="1">
      <alignment horizontal="left" vertical="center" wrapText="1"/>
    </xf>
    <xf numFmtId="0" fontId="0" fillId="6" borderId="59" xfId="0" applyFill="1" applyBorder="1" applyAlignment="1">
      <alignment horizontal="left" vertical="center"/>
    </xf>
    <xf numFmtId="2" fontId="0" fillId="6" borderId="74" xfId="0" applyNumberFormat="1" applyFill="1" applyBorder="1" applyAlignment="1">
      <alignment horizontal="center" vertical="center"/>
    </xf>
    <xf numFmtId="2" fontId="0" fillId="6" borderId="59" xfId="0" applyNumberFormat="1" applyFill="1" applyBorder="1" applyAlignment="1">
      <alignment horizontal="center" vertical="center"/>
    </xf>
    <xf numFmtId="0" fontId="33" fillId="6" borderId="59" xfId="0" applyFont="1" applyFill="1" applyBorder="1" applyAlignment="1">
      <alignment horizontal="left" vertical="center"/>
    </xf>
    <xf numFmtId="2" fontId="33" fillId="6" borderId="74" xfId="0" applyNumberFormat="1" applyFont="1" applyFill="1" applyBorder="1" applyAlignment="1">
      <alignment horizontal="center" vertical="center"/>
    </xf>
    <xf numFmtId="2" fontId="33" fillId="6" borderId="59" xfId="0" applyNumberFormat="1" applyFont="1" applyFill="1" applyBorder="1" applyAlignment="1">
      <alignment horizontal="center" vertical="center"/>
    </xf>
    <xf numFmtId="1" fontId="33" fillId="6" borderId="68" xfId="6" applyNumberFormat="1" applyFont="1" applyFill="1" applyBorder="1" applyAlignment="1">
      <alignment horizontal="center" vertical="center"/>
    </xf>
    <xf numFmtId="2" fontId="33" fillId="0" borderId="19" xfId="0" applyNumberFormat="1" applyFont="1" applyBorder="1"/>
    <xf numFmtId="2" fontId="30" fillId="0" borderId="38" xfId="0" applyNumberFormat="1" applyFont="1" applyBorder="1" applyAlignment="1">
      <alignment horizontal="right"/>
    </xf>
    <xf numFmtId="2" fontId="33" fillId="23" borderId="36" xfId="0" applyNumberFormat="1" applyFont="1" applyFill="1" applyBorder="1"/>
    <xf numFmtId="0" fontId="51" fillId="0" borderId="21" xfId="0" applyFont="1" applyBorder="1" applyAlignment="1">
      <alignment horizontal="center" vertical="center" wrapText="1"/>
    </xf>
    <xf numFmtId="2" fontId="33" fillId="0" borderId="22" xfId="0" applyNumberFormat="1" applyFont="1" applyBorder="1"/>
    <xf numFmtId="2" fontId="37" fillId="0" borderId="0" xfId="0" applyNumberFormat="1" applyFont="1"/>
    <xf numFmtId="2" fontId="0" fillId="6" borderId="0" xfId="0" applyNumberFormat="1" applyFill="1"/>
    <xf numFmtId="0" fontId="0" fillId="6" borderId="4" xfId="0" applyFill="1" applyBorder="1"/>
    <xf numFmtId="0" fontId="0" fillId="6" borderId="5" xfId="0" applyFill="1" applyBorder="1"/>
    <xf numFmtId="3" fontId="0" fillId="6" borderId="0" xfId="0" applyNumberFormat="1" applyFill="1"/>
    <xf numFmtId="0" fontId="0" fillId="6" borderId="6" xfId="0" applyFill="1" applyBorder="1"/>
    <xf numFmtId="0" fontId="30" fillId="5" borderId="4" xfId="0" applyFont="1" applyFill="1" applyBorder="1" applyAlignment="1">
      <alignment horizontal="left" vertical="center"/>
    </xf>
    <xf numFmtId="0" fontId="30" fillId="5" borderId="5" xfId="0" applyFont="1" applyFill="1" applyBorder="1" applyAlignment="1">
      <alignment horizontal="left" vertical="center"/>
    </xf>
    <xf numFmtId="2" fontId="0" fillId="6" borderId="5" xfId="0" applyNumberFormat="1" applyFill="1" applyBorder="1"/>
    <xf numFmtId="0" fontId="0" fillId="6" borderId="70" xfId="0" applyFill="1" applyBorder="1" applyAlignment="1">
      <alignment horizontal="center"/>
    </xf>
    <xf numFmtId="0" fontId="12" fillId="0" borderId="0" xfId="1557" applyFont="1"/>
    <xf numFmtId="2" fontId="33" fillId="6" borderId="19" xfId="0" applyNumberFormat="1" applyFont="1" applyFill="1" applyBorder="1"/>
    <xf numFmtId="0" fontId="92" fillId="0" borderId="0" xfId="0" applyFont="1"/>
    <xf numFmtId="0" fontId="93" fillId="0" borderId="0" xfId="6" applyFont="1"/>
    <xf numFmtId="0" fontId="93" fillId="0" borderId="0" xfId="0" applyFont="1"/>
    <xf numFmtId="0" fontId="94" fillId="0" borderId="0" xfId="0" applyFont="1"/>
    <xf numFmtId="0" fontId="0" fillId="6" borderId="0" xfId="0" applyFill="1" applyAlignment="1">
      <alignment horizontal="left" vertical="top" wrapText="1"/>
    </xf>
    <xf numFmtId="1" fontId="0" fillId="6" borderId="0" xfId="0" applyNumberFormat="1" applyFill="1" applyAlignment="1">
      <alignment horizontal="right" vertical="center" wrapText="1"/>
    </xf>
    <xf numFmtId="2" fontId="33" fillId="6" borderId="50" xfId="723" applyNumberFormat="1" applyFont="1" applyFill="1" applyBorder="1" applyAlignment="1">
      <alignment horizontal="right" vertical="center"/>
    </xf>
    <xf numFmtId="0" fontId="45" fillId="0" borderId="1" xfId="0" applyFont="1" applyBorder="1" applyAlignment="1">
      <alignment horizontal="center" vertical="center" wrapText="1"/>
    </xf>
    <xf numFmtId="165" fontId="51" fillId="0" borderId="1" xfId="1" applyNumberFormat="1" applyFont="1" applyFill="1" applyBorder="1" applyAlignment="1">
      <alignment horizontal="center"/>
    </xf>
    <xf numFmtId="2" fontId="51" fillId="0" borderId="1" xfId="1" applyNumberFormat="1" applyFont="1" applyFill="1" applyBorder="1" applyAlignment="1">
      <alignment horizontal="center"/>
    </xf>
    <xf numFmtId="166" fontId="51" fillId="0" borderId="1" xfId="1" applyNumberFormat="1" applyFont="1" applyFill="1" applyBorder="1" applyAlignment="1">
      <alignment horizontal="center"/>
    </xf>
    <xf numFmtId="167" fontId="51" fillId="0" borderId="1" xfId="1" applyNumberFormat="1" applyFont="1" applyFill="1" applyBorder="1" applyAlignment="1">
      <alignment horizontal="center"/>
    </xf>
    <xf numFmtId="0" fontId="0" fillId="6" borderId="16" xfId="0" applyFill="1" applyBorder="1" applyAlignment="1">
      <alignment horizontal="center" vertical="center" wrapText="1"/>
    </xf>
    <xf numFmtId="0" fontId="0" fillId="6" borderId="37" xfId="0" applyFill="1" applyBorder="1" applyAlignment="1">
      <alignment horizontal="center" vertical="center" wrapText="1"/>
    </xf>
    <xf numFmtId="0" fontId="0" fillId="14" borderId="19" xfId="0" applyFill="1" applyBorder="1" applyAlignment="1" applyProtection="1">
      <alignment horizontal="center" vertical="center"/>
      <protection locked="0"/>
    </xf>
    <xf numFmtId="0" fontId="0" fillId="14" borderId="58" xfId="0" applyFill="1" applyBorder="1" applyAlignment="1" applyProtection="1">
      <alignment horizontal="center" vertical="center"/>
      <protection locked="0"/>
    </xf>
    <xf numFmtId="0" fontId="0" fillId="6" borderId="48" xfId="0" applyFill="1" applyBorder="1" applyAlignment="1">
      <alignment horizontal="center" vertical="center" wrapText="1"/>
    </xf>
    <xf numFmtId="0" fontId="0" fillId="6" borderId="0" xfId="0" applyFill="1" applyAlignment="1" applyProtection="1">
      <alignment horizontal="center" vertical="center" wrapText="1"/>
      <protection locked="0"/>
    </xf>
    <xf numFmtId="2" fontId="82" fillId="0" borderId="1" xfId="0" applyNumberFormat="1" applyFont="1" applyBorder="1" applyAlignment="1">
      <alignment horizontal="center" vertical="center" wrapText="1"/>
    </xf>
    <xf numFmtId="2" fontId="82" fillId="0" borderId="30" xfId="0" applyNumberFormat="1" applyFont="1" applyBorder="1" applyAlignment="1">
      <alignment horizontal="center" vertical="center" wrapText="1"/>
    </xf>
    <xf numFmtId="0" fontId="82" fillId="0" borderId="12" xfId="0" applyFont="1" applyBorder="1" applyAlignment="1">
      <alignment horizontal="center" vertical="center" wrapText="1"/>
    </xf>
    <xf numFmtId="0" fontId="82" fillId="0" borderId="25" xfId="0" applyFont="1" applyBorder="1" applyAlignment="1">
      <alignment horizontal="center" vertical="center" wrapText="1"/>
    </xf>
    <xf numFmtId="0" fontId="0" fillId="6" borderId="65" xfId="0" applyFill="1" applyBorder="1" applyAlignment="1">
      <alignment horizontal="center" vertical="center" wrapText="1"/>
    </xf>
    <xf numFmtId="0" fontId="0" fillId="14" borderId="67" xfId="0" applyFill="1" applyBorder="1" applyAlignment="1" applyProtection="1">
      <alignment horizontal="center" vertical="center"/>
      <protection locked="0"/>
    </xf>
    <xf numFmtId="0" fontId="0" fillId="14" borderId="68" xfId="0" applyFill="1" applyBorder="1" applyAlignment="1" applyProtection="1">
      <alignment horizontal="center" vertical="center"/>
      <protection locked="0"/>
    </xf>
    <xf numFmtId="2" fontId="82" fillId="0" borderId="25" xfId="0" applyNumberFormat="1" applyFont="1" applyBorder="1" applyAlignment="1">
      <alignment horizontal="center" vertical="center" wrapText="1"/>
    </xf>
    <xf numFmtId="1" fontId="30" fillId="6" borderId="0" xfId="0" applyNumberFormat="1" applyFont="1" applyFill="1" applyAlignment="1">
      <alignment horizontal="right" vertical="center"/>
    </xf>
    <xf numFmtId="1" fontId="30" fillId="6" borderId="5" xfId="0" applyNumberFormat="1" applyFont="1" applyFill="1" applyBorder="1" applyAlignment="1">
      <alignment horizontal="right" vertical="center"/>
    </xf>
    <xf numFmtId="1" fontId="0" fillId="6" borderId="4" xfId="0" applyNumberFormat="1" applyFill="1" applyBorder="1" applyAlignment="1">
      <alignment horizontal="left" vertical="center"/>
    </xf>
    <xf numFmtId="1" fontId="0" fillId="6" borderId="0" xfId="0" applyNumberFormat="1" applyFill="1" applyAlignment="1">
      <alignment horizontal="right" vertical="center"/>
    </xf>
    <xf numFmtId="1" fontId="0" fillId="6" borderId="5" xfId="0" applyNumberFormat="1" applyFill="1" applyBorder="1" applyAlignment="1">
      <alignment horizontal="right" vertical="center"/>
    </xf>
    <xf numFmtId="0" fontId="0" fillId="6" borderId="5" xfId="0" applyFill="1" applyBorder="1" applyAlignment="1">
      <alignment horizontal="right" vertical="center"/>
    </xf>
    <xf numFmtId="0" fontId="30" fillId="6" borderId="4" xfId="0" applyFont="1" applyFill="1" applyBorder="1" applyAlignment="1">
      <alignment horizontal="left" vertical="center"/>
    </xf>
    <xf numFmtId="2" fontId="0" fillId="6" borderId="0" xfId="0" applyNumberFormat="1" applyFill="1" applyAlignment="1">
      <alignment horizontal="right" vertical="center"/>
    </xf>
    <xf numFmtId="2" fontId="0" fillId="6" borderId="5" xfId="0" applyNumberFormat="1" applyFill="1" applyBorder="1" applyAlignment="1">
      <alignment horizontal="right" vertical="center"/>
    </xf>
    <xf numFmtId="2" fontId="30" fillId="6" borderId="0" xfId="0" applyNumberFormat="1" applyFont="1" applyFill="1" applyAlignment="1">
      <alignment horizontal="right" vertical="center"/>
    </xf>
    <xf numFmtId="2" fontId="30" fillId="6" borderId="5" xfId="0" applyNumberFormat="1" applyFont="1" applyFill="1" applyBorder="1" applyAlignment="1">
      <alignment horizontal="right" vertical="center"/>
    </xf>
    <xf numFmtId="1" fontId="0" fillId="6" borderId="6" xfId="0" applyNumberFormat="1" applyFill="1" applyBorder="1" applyAlignment="1">
      <alignment horizontal="left" vertical="center"/>
    </xf>
    <xf numFmtId="2" fontId="0" fillId="6" borderId="45" xfId="0" applyNumberFormat="1" applyFill="1" applyBorder="1" applyAlignment="1">
      <alignment horizontal="right" vertical="center"/>
    </xf>
    <xf numFmtId="2" fontId="0" fillId="6" borderId="7" xfId="0" applyNumberFormat="1" applyFill="1" applyBorder="1" applyAlignment="1">
      <alignment horizontal="right" vertical="center"/>
    </xf>
    <xf numFmtId="0" fontId="30" fillId="6" borderId="5" xfId="0" applyFont="1" applyFill="1" applyBorder="1" applyAlignment="1">
      <alignment horizontal="left" vertical="center"/>
    </xf>
    <xf numFmtId="172" fontId="0" fillId="6" borderId="5" xfId="1833" applyNumberFormat="1" applyFont="1" applyFill="1" applyBorder="1"/>
    <xf numFmtId="2" fontId="39" fillId="6" borderId="0" xfId="0" applyNumberFormat="1" applyFont="1" applyFill="1" applyAlignment="1">
      <alignment horizontal="left"/>
    </xf>
    <xf numFmtId="0" fontId="43" fillId="6" borderId="4" xfId="0" applyFont="1" applyFill="1" applyBorder="1"/>
    <xf numFmtId="167" fontId="0" fillId="6" borderId="5" xfId="0" applyNumberFormat="1" applyFill="1" applyBorder="1"/>
    <xf numFmtId="1" fontId="0" fillId="6" borderId="5" xfId="0" applyNumberFormat="1" applyFill="1" applyBorder="1"/>
    <xf numFmtId="167" fontId="0" fillId="6" borderId="0" xfId="0" applyNumberFormat="1" applyFill="1"/>
    <xf numFmtId="168" fontId="0" fillId="6" borderId="5" xfId="1833" applyNumberFormat="1" applyFont="1" applyFill="1" applyBorder="1"/>
    <xf numFmtId="0" fontId="36" fillId="6" borderId="4" xfId="0" applyFont="1" applyFill="1" applyBorder="1"/>
    <xf numFmtId="1" fontId="0" fillId="6" borderId="5" xfId="1833" applyNumberFormat="1" applyFont="1" applyFill="1" applyBorder="1"/>
    <xf numFmtId="4" fontId="0" fillId="6" borderId="5" xfId="1833" applyNumberFormat="1" applyFont="1" applyFill="1" applyBorder="1"/>
    <xf numFmtId="2" fontId="72" fillId="6" borderId="4" xfId="0" applyNumberFormat="1" applyFont="1" applyFill="1" applyBorder="1"/>
    <xf numFmtId="2" fontId="0" fillId="6" borderId="4" xfId="0" applyNumberFormat="1" applyFill="1" applyBorder="1"/>
    <xf numFmtId="2" fontId="0" fillId="6" borderId="5" xfId="1833" applyNumberFormat="1" applyFont="1" applyFill="1" applyBorder="1"/>
    <xf numFmtId="43" fontId="0" fillId="6" borderId="5" xfId="1833" applyFont="1" applyFill="1" applyBorder="1"/>
    <xf numFmtId="168" fontId="43" fillId="6" borderId="5" xfId="1833" applyNumberFormat="1" applyFont="1" applyFill="1" applyBorder="1"/>
    <xf numFmtId="168" fontId="0" fillId="6" borderId="7" xfId="1833" applyNumberFormat="1" applyFont="1" applyFill="1" applyBorder="1"/>
    <xf numFmtId="1" fontId="93" fillId="0" borderId="45" xfId="0" applyNumberFormat="1" applyFont="1" applyBorder="1" applyAlignment="1" applyProtection="1">
      <alignment horizontal="center" vertical="center"/>
      <protection locked="0"/>
    </xf>
    <xf numFmtId="0" fontId="30" fillId="0" borderId="4" xfId="0" applyFont="1" applyBorder="1"/>
    <xf numFmtId="0" fontId="30" fillId="0" borderId="0" xfId="0" applyFont="1" applyAlignment="1">
      <alignment horizontal="center"/>
    </xf>
    <xf numFmtId="0" fontId="30" fillId="0" borderId="5" xfId="0" applyFont="1" applyBorder="1" applyAlignment="1">
      <alignment horizontal="center"/>
    </xf>
    <xf numFmtId="1" fontId="0" fillId="0" borderId="4" xfId="0" applyNumberFormat="1" applyBorder="1"/>
    <xf numFmtId="1" fontId="0" fillId="0" borderId="5" xfId="0" applyNumberFormat="1" applyBorder="1"/>
    <xf numFmtId="0" fontId="30" fillId="0" borderId="6" xfId="0" applyFont="1" applyBorder="1"/>
    <xf numFmtId="1" fontId="0" fillId="0" borderId="7" xfId="0" applyNumberFormat="1" applyBorder="1"/>
    <xf numFmtId="0" fontId="95" fillId="0" borderId="0" xfId="0" applyFont="1"/>
    <xf numFmtId="0" fontId="30" fillId="5" borderId="0" xfId="0" applyFont="1" applyFill="1" applyAlignment="1">
      <alignment horizontal="left" vertical="center"/>
    </xf>
    <xf numFmtId="172" fontId="0" fillId="18" borderId="0" xfId="1833" applyNumberFormat="1" applyFont="1" applyFill="1"/>
    <xf numFmtId="0" fontId="30" fillId="5" borderId="50" xfId="0" applyFont="1" applyFill="1" applyBorder="1" applyAlignment="1">
      <alignment horizontal="left" vertical="center"/>
    </xf>
    <xf numFmtId="0" fontId="11" fillId="6" borderId="25" xfId="0" applyFont="1" applyFill="1" applyBorder="1" applyAlignment="1">
      <alignment horizontal="center" vertical="center" wrapText="1"/>
    </xf>
    <xf numFmtId="1" fontId="0" fillId="14" borderId="19" xfId="0" applyNumberFormat="1" applyFill="1" applyBorder="1" applyAlignment="1" applyProtection="1">
      <alignment horizontal="center" vertical="center"/>
      <protection locked="0"/>
    </xf>
    <xf numFmtId="2" fontId="33" fillId="14" borderId="1" xfId="0" applyNumberFormat="1" applyFont="1" applyFill="1" applyBorder="1" applyProtection="1">
      <protection locked="0"/>
    </xf>
    <xf numFmtId="0" fontId="75" fillId="0" borderId="1" xfId="0" applyFont="1" applyBorder="1"/>
    <xf numFmtId="2" fontId="0" fillId="14" borderId="1" xfId="0" applyNumberFormat="1" applyFill="1" applyBorder="1" applyProtection="1">
      <protection locked="0"/>
    </xf>
    <xf numFmtId="0" fontId="33" fillId="0" borderId="12" xfId="0" applyFont="1" applyBorder="1"/>
    <xf numFmtId="2" fontId="33" fillId="14" borderId="12" xfId="0" applyNumberFormat="1" applyFont="1" applyFill="1" applyBorder="1" applyProtection="1">
      <protection locked="0"/>
    </xf>
    <xf numFmtId="2" fontId="33" fillId="0" borderId="12" xfId="0" applyNumberFormat="1" applyFont="1" applyBorder="1"/>
    <xf numFmtId="0" fontId="75" fillId="0" borderId="12" xfId="0" applyFont="1" applyBorder="1"/>
    <xf numFmtId="0" fontId="0" fillId="0" borderId="36" xfId="0" applyBorder="1" applyAlignment="1">
      <alignment horizontal="center" vertical="center" wrapText="1"/>
    </xf>
    <xf numFmtId="0" fontId="61" fillId="9" borderId="0" xfId="0" applyFont="1" applyFill="1" applyAlignment="1">
      <alignment horizontal="center" vertical="center" wrapText="1"/>
    </xf>
    <xf numFmtId="1" fontId="19" fillId="0" borderId="0" xfId="0" applyNumberFormat="1" applyFont="1" applyAlignment="1">
      <alignment horizontal="center" vertical="center"/>
    </xf>
    <xf numFmtId="1" fontId="37" fillId="0" borderId="0" xfId="723" applyNumberFormat="1" applyFont="1" applyAlignment="1">
      <alignment horizontal="left" vertical="center" wrapText="1"/>
    </xf>
    <xf numFmtId="0" fontId="10" fillId="4" borderId="0" xfId="0" applyFont="1" applyFill="1" applyAlignment="1">
      <alignment horizontal="center" vertical="center"/>
    </xf>
    <xf numFmtId="2" fontId="10" fillId="4" borderId="1" xfId="0" applyNumberFormat="1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horizontal="center" vertical="center"/>
    </xf>
    <xf numFmtId="49" fontId="10" fillId="4" borderId="28" xfId="0" applyNumberFormat="1" applyFont="1" applyFill="1" applyBorder="1" applyAlignment="1">
      <alignment horizontal="center" vertical="center"/>
    </xf>
    <xf numFmtId="2" fontId="10" fillId="4" borderId="12" xfId="0" applyNumberFormat="1" applyFont="1" applyFill="1" applyBorder="1" applyAlignment="1">
      <alignment horizontal="center" vertical="center"/>
    </xf>
    <xf numFmtId="49" fontId="10" fillId="4" borderId="12" xfId="0" applyNumberFormat="1" applyFont="1" applyFill="1" applyBorder="1" applyAlignment="1">
      <alignment horizontal="center" vertical="center"/>
    </xf>
    <xf numFmtId="49" fontId="10" fillId="4" borderId="64" xfId="0" applyNumberFormat="1" applyFont="1" applyFill="1" applyBorder="1" applyAlignment="1">
      <alignment horizontal="center" vertical="center"/>
    </xf>
    <xf numFmtId="2" fontId="10" fillId="4" borderId="8" xfId="0" applyNumberFormat="1" applyFont="1" applyFill="1" applyBorder="1" applyAlignment="1">
      <alignment horizontal="center" vertical="center"/>
    </xf>
    <xf numFmtId="2" fontId="10" fillId="4" borderId="30" xfId="0" applyNumberFormat="1" applyFont="1" applyFill="1" applyBorder="1" applyAlignment="1">
      <alignment horizontal="center" vertical="center"/>
    </xf>
    <xf numFmtId="49" fontId="10" fillId="4" borderId="30" xfId="0" applyNumberFormat="1" applyFont="1" applyFill="1" applyBorder="1" applyAlignment="1">
      <alignment horizontal="center" vertical="center"/>
    </xf>
    <xf numFmtId="49" fontId="10" fillId="4" borderId="31" xfId="0" applyNumberFormat="1" applyFont="1" applyFill="1" applyBorder="1" applyAlignment="1">
      <alignment horizontal="center" vertical="center"/>
    </xf>
    <xf numFmtId="2" fontId="10" fillId="6" borderId="0" xfId="0" applyNumberFormat="1" applyFont="1" applyFill="1" applyAlignment="1">
      <alignment horizontal="center" vertical="center"/>
    </xf>
    <xf numFmtId="49" fontId="10" fillId="6" borderId="0" xfId="0" applyNumberFormat="1" applyFont="1" applyFill="1" applyAlignment="1">
      <alignment horizontal="center" vertical="center"/>
    </xf>
    <xf numFmtId="0" fontId="10" fillId="4" borderId="79" xfId="0" applyFont="1" applyFill="1" applyBorder="1" applyAlignment="1">
      <alignment horizontal="center" vertical="center" wrapText="1"/>
    </xf>
    <xf numFmtId="0" fontId="10" fillId="4" borderId="67" xfId="0" applyFont="1" applyFill="1" applyBorder="1" applyAlignment="1">
      <alignment horizontal="center" vertical="center" wrapText="1"/>
    </xf>
    <xf numFmtId="0" fontId="10" fillId="4" borderId="68" xfId="0" applyFont="1" applyFill="1" applyBorder="1" applyAlignment="1">
      <alignment horizontal="center" vertical="center" wrapText="1"/>
    </xf>
    <xf numFmtId="49" fontId="19" fillId="6" borderId="0" xfId="0" applyNumberFormat="1" applyFont="1" applyFill="1" applyAlignment="1">
      <alignment horizontal="center" vertical="center"/>
    </xf>
    <xf numFmtId="10" fontId="0" fillId="6" borderId="0" xfId="0" applyNumberFormat="1" applyFill="1" applyAlignment="1" applyProtection="1">
      <alignment horizontal="center" vertical="center"/>
      <protection locked="0"/>
    </xf>
    <xf numFmtId="0" fontId="44" fillId="6" borderId="0" xfId="0" applyFont="1" applyFill="1" applyAlignment="1">
      <alignment horizontal="center" vertical="center" wrapText="1"/>
    </xf>
    <xf numFmtId="0" fontId="88" fillId="6" borderId="0" xfId="0" applyFont="1" applyFill="1" applyAlignment="1">
      <alignment horizontal="left" vertical="center"/>
    </xf>
    <xf numFmtId="0" fontId="0" fillId="4" borderId="12" xfId="0" applyFill="1" applyBorder="1"/>
    <xf numFmtId="0" fontId="33" fillId="4" borderId="18" xfId="0" applyFont="1" applyFill="1" applyBorder="1" applyAlignment="1">
      <alignment horizontal="center" vertical="center"/>
    </xf>
    <xf numFmtId="1" fontId="0" fillId="0" borderId="36" xfId="0" applyNumberFormat="1" applyBorder="1"/>
    <xf numFmtId="1" fontId="0" fillId="0" borderId="37" xfId="0" applyNumberFormat="1" applyBorder="1"/>
    <xf numFmtId="2" fontId="0" fillId="14" borderId="30" xfId="0" applyNumberFormat="1" applyFill="1" applyBorder="1" applyAlignment="1" applyProtection="1">
      <alignment horizontal="center"/>
      <protection locked="0"/>
    </xf>
    <xf numFmtId="2" fontId="0" fillId="14" borderId="30" xfId="0" applyNumberFormat="1" applyFill="1" applyBorder="1" applyAlignment="1" applyProtection="1">
      <alignment horizontal="center" vertical="center"/>
      <protection locked="0"/>
    </xf>
    <xf numFmtId="2" fontId="19" fillId="14" borderId="30" xfId="0" applyNumberFormat="1" applyFont="1" applyFill="1" applyBorder="1" applyAlignment="1" applyProtection="1">
      <alignment horizontal="center" vertical="center"/>
      <protection locked="0"/>
    </xf>
    <xf numFmtId="49" fontId="19" fillId="14" borderId="30" xfId="0" applyNumberFormat="1" applyFont="1" applyFill="1" applyBorder="1" applyAlignment="1" applyProtection="1">
      <alignment horizontal="center" vertical="center"/>
      <protection locked="0"/>
    </xf>
    <xf numFmtId="0" fontId="0" fillId="0" borderId="36" xfId="0" applyBorder="1"/>
    <xf numFmtId="2" fontId="0" fillId="14" borderId="31" xfId="0" applyNumberFormat="1" applyFill="1" applyBorder="1" applyAlignment="1" applyProtection="1">
      <alignment horizontal="center" vertical="center"/>
      <protection locked="0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36" fillId="0" borderId="36" xfId="0" applyFont="1" applyBorder="1" applyAlignment="1">
      <alignment horizontal="center" vertical="center" wrapText="1"/>
    </xf>
    <xf numFmtId="0" fontId="36" fillId="0" borderId="37" xfId="0" applyFont="1" applyBorder="1" applyAlignment="1">
      <alignment horizontal="center" vertical="center" wrapText="1"/>
    </xf>
    <xf numFmtId="10" fontId="96" fillId="6" borderId="0" xfId="0" applyNumberFormat="1" applyFont="1" applyFill="1" applyAlignment="1">
      <alignment horizontal="center" vertical="center"/>
    </xf>
    <xf numFmtId="0" fontId="45" fillId="6" borderId="1" xfId="0" applyFont="1" applyFill="1" applyBorder="1" applyAlignment="1">
      <alignment horizontal="center" vertical="center" wrapText="1"/>
    </xf>
    <xf numFmtId="0" fontId="45" fillId="6" borderId="25" xfId="0" applyFont="1" applyFill="1" applyBorder="1" applyAlignment="1">
      <alignment horizontal="center" vertical="center" wrapText="1"/>
    </xf>
    <xf numFmtId="0" fontId="33" fillId="6" borderId="25" xfId="0" applyFont="1" applyFill="1" applyBorder="1" applyAlignment="1">
      <alignment horizontal="center" vertical="center" wrapText="1"/>
    </xf>
    <xf numFmtId="0" fontId="76" fillId="0" borderId="0" xfId="0" applyFont="1"/>
    <xf numFmtId="0" fontId="97" fillId="0" borderId="0" xfId="0" applyFont="1" applyAlignment="1">
      <alignment horizontal="center"/>
    </xf>
    <xf numFmtId="9" fontId="98" fillId="0" borderId="0" xfId="1554" applyFont="1"/>
    <xf numFmtId="0" fontId="27" fillId="14" borderId="5" xfId="6" applyFill="1" applyBorder="1" applyProtection="1">
      <protection locked="0"/>
    </xf>
    <xf numFmtId="0" fontId="27" fillId="14" borderId="45" xfId="0" applyFont="1" applyFill="1" applyBorder="1"/>
    <xf numFmtId="1" fontId="32" fillId="0" borderId="45" xfId="1" applyNumberFormat="1" applyFont="1" applyFill="1" applyBorder="1" applyAlignment="1" applyProtection="1">
      <alignment horizontal="center" vertical="center"/>
      <protection locked="0"/>
    </xf>
    <xf numFmtId="10" fontId="0" fillId="14" borderId="30" xfId="0" applyNumberFormat="1" applyFill="1" applyBorder="1" applyAlignment="1" applyProtection="1">
      <alignment horizontal="center" vertical="center"/>
      <protection locked="0"/>
    </xf>
    <xf numFmtId="1" fontId="0" fillId="14" borderId="78" xfId="0" applyNumberFormat="1" applyFill="1" applyBorder="1" applyAlignment="1" applyProtection="1">
      <alignment horizontal="center" vertical="center" wrapText="1"/>
      <protection locked="0"/>
    </xf>
    <xf numFmtId="10" fontId="0" fillId="14" borderId="12" xfId="0" applyNumberFormat="1" applyFill="1" applyBorder="1" applyAlignment="1" applyProtection="1">
      <alignment horizontal="center" vertical="center"/>
      <protection locked="0"/>
    </xf>
    <xf numFmtId="0" fontId="0" fillId="6" borderId="41" xfId="0" applyFill="1" applyBorder="1" applyAlignment="1">
      <alignment horizontal="center" vertical="center"/>
    </xf>
    <xf numFmtId="0" fontId="0" fillId="6" borderId="42" xfId="0" applyFill="1" applyBorder="1" applyAlignment="1">
      <alignment horizontal="center" vertical="center" wrapText="1"/>
    </xf>
    <xf numFmtId="0" fontId="0" fillId="6" borderId="75" xfId="0" applyFill="1" applyBorder="1" applyAlignment="1">
      <alignment horizontal="center" vertical="center" wrapText="1"/>
    </xf>
    <xf numFmtId="0" fontId="0" fillId="6" borderId="41" xfId="0" applyFill="1" applyBorder="1" applyAlignment="1">
      <alignment horizontal="center" vertical="center" wrapText="1"/>
    </xf>
    <xf numFmtId="0" fontId="99" fillId="0" borderId="0" xfId="0" applyFont="1" applyAlignment="1">
      <alignment horizontal="left" vertical="center" wrapText="1"/>
    </xf>
    <xf numFmtId="0" fontId="52" fillId="15" borderId="2" xfId="1553" applyBorder="1"/>
    <xf numFmtId="0" fontId="52" fillId="15" borderId="50" xfId="1553" applyBorder="1"/>
    <xf numFmtId="0" fontId="52" fillId="15" borderId="3" xfId="1553" applyBorder="1"/>
    <xf numFmtId="1" fontId="22" fillId="0" borderId="0" xfId="1557" applyNumberFormat="1"/>
    <xf numFmtId="165" fontId="22" fillId="0" borderId="0" xfId="1557" applyNumberFormat="1"/>
    <xf numFmtId="0" fontId="10" fillId="0" borderId="0" xfId="1557" applyFont="1"/>
    <xf numFmtId="0" fontId="52" fillId="15" borderId="52" xfId="1553" applyBorder="1"/>
    <xf numFmtId="0" fontId="52" fillId="15" borderId="70" xfId="1553" applyBorder="1"/>
    <xf numFmtId="0" fontId="33" fillId="0" borderId="2" xfId="0" applyFont="1" applyBorder="1" applyAlignment="1">
      <alignment horizontal="left"/>
    </xf>
    <xf numFmtId="0" fontId="0" fillId="0" borderId="3" xfId="0" applyBorder="1" applyAlignment="1">
      <alignment horizontal="left" wrapText="1"/>
    </xf>
    <xf numFmtId="0" fontId="33" fillId="0" borderId="6" xfId="0" applyFont="1" applyBorder="1" applyAlignment="1">
      <alignment horizontal="left"/>
    </xf>
    <xf numFmtId="1" fontId="102" fillId="0" borderId="7" xfId="0" applyNumberFormat="1" applyFont="1" applyBorder="1" applyAlignment="1">
      <alignment horizontal="left" vertical="top" indent="6"/>
    </xf>
    <xf numFmtId="1" fontId="26" fillId="0" borderId="0" xfId="6" applyNumberFormat="1" applyFont="1"/>
    <xf numFmtId="0" fontId="22" fillId="27" borderId="0" xfId="1557" applyFill="1"/>
    <xf numFmtId="0" fontId="10" fillId="26" borderId="0" xfId="1557" applyFont="1" applyFill="1"/>
    <xf numFmtId="0" fontId="22" fillId="26" borderId="0" xfId="1557" applyFill="1"/>
    <xf numFmtId="0" fontId="52" fillId="26" borderId="0" xfId="1553" applyFill="1"/>
    <xf numFmtId="2" fontId="52" fillId="0" borderId="0" xfId="1553" applyNumberFormat="1" applyFill="1" applyAlignment="1">
      <alignment horizontal="center"/>
    </xf>
    <xf numFmtId="0" fontId="52" fillId="0" borderId="0" xfId="1553" applyFill="1"/>
    <xf numFmtId="0" fontId="0" fillId="27" borderId="0" xfId="0" applyFill="1"/>
    <xf numFmtId="1" fontId="0" fillId="27" borderId="0" xfId="0" applyNumberFormat="1" applyFill="1"/>
    <xf numFmtId="0" fontId="44" fillId="27" borderId="0" xfId="1557" applyFont="1" applyFill="1"/>
    <xf numFmtId="0" fontId="37" fillId="0" borderId="6" xfId="0" applyFont="1" applyBorder="1" applyAlignment="1">
      <alignment horizontal="left"/>
    </xf>
    <xf numFmtId="168" fontId="103" fillId="0" borderId="45" xfId="1833" applyNumberFormat="1" applyFont="1" applyBorder="1" applyAlignment="1">
      <alignment horizontal="left"/>
    </xf>
    <xf numFmtId="168" fontId="103" fillId="0" borderId="7" xfId="1833" applyNumberFormat="1" applyFont="1" applyBorder="1" applyAlignment="1">
      <alignment horizontal="left"/>
    </xf>
    <xf numFmtId="170" fontId="0" fillId="0" borderId="5" xfId="1833" applyNumberFormat="1" applyFont="1" applyBorder="1" applyAlignment="1">
      <alignment horizontal="left"/>
    </xf>
    <xf numFmtId="0" fontId="33" fillId="0" borderId="71" xfId="0" applyFont="1" applyBorder="1" applyAlignment="1">
      <alignment horizontal="center" vertical="center" wrapText="1"/>
    </xf>
    <xf numFmtId="0" fontId="33" fillId="14" borderId="66" xfId="0" applyFont="1" applyFill="1" applyBorder="1"/>
    <xf numFmtId="0" fontId="33" fillId="14" borderId="69" xfId="0" applyFont="1" applyFill="1" applyBorder="1"/>
    <xf numFmtId="2" fontId="0" fillId="0" borderId="50" xfId="0" applyNumberFormat="1" applyBorder="1"/>
    <xf numFmtId="2" fontId="0" fillId="0" borderId="0" xfId="1554" applyNumberFormat="1" applyFont="1"/>
    <xf numFmtId="168" fontId="0" fillId="6" borderId="0" xfId="1833" applyNumberFormat="1" applyFont="1" applyFill="1"/>
    <xf numFmtId="0" fontId="30" fillId="18" borderId="4" xfId="0" applyFont="1" applyFill="1" applyBorder="1" applyAlignment="1">
      <alignment horizontal="left" vertical="center"/>
    </xf>
    <xf numFmtId="0" fontId="30" fillId="18" borderId="0" xfId="0" applyFont="1" applyFill="1" applyAlignment="1">
      <alignment horizontal="left" vertical="center"/>
    </xf>
    <xf numFmtId="0" fontId="30" fillId="18" borderId="5" xfId="0" applyFont="1" applyFill="1" applyBorder="1" applyAlignment="1">
      <alignment horizontal="left" vertical="center"/>
    </xf>
    <xf numFmtId="166" fontId="43" fillId="18" borderId="5" xfId="0" applyNumberFormat="1" applyFont="1" applyFill="1" applyBorder="1"/>
    <xf numFmtId="174" fontId="0" fillId="6" borderId="0" xfId="1833" applyNumberFormat="1" applyFont="1" applyFill="1"/>
    <xf numFmtId="0" fontId="43" fillId="6" borderId="5" xfId="0" applyFont="1" applyFill="1" applyBorder="1"/>
    <xf numFmtId="0" fontId="43" fillId="6" borderId="4" xfId="0" quotePrefix="1" applyFont="1" applyFill="1" applyBorder="1"/>
    <xf numFmtId="175" fontId="0" fillId="6" borderId="5" xfId="1833" applyNumberFormat="1" applyFont="1" applyFill="1" applyBorder="1"/>
    <xf numFmtId="165" fontId="0" fillId="0" borderId="5" xfId="1554" applyNumberFormat="1" applyFont="1" applyBorder="1"/>
    <xf numFmtId="0" fontId="0" fillId="6" borderId="4" xfId="0" applyFill="1" applyBorder="1" applyAlignment="1">
      <alignment wrapText="1"/>
    </xf>
    <xf numFmtId="0" fontId="0" fillId="6" borderId="45" xfId="0" applyFill="1" applyBorder="1"/>
    <xf numFmtId="0" fontId="0" fillId="6" borderId="7" xfId="0" applyFill="1" applyBorder="1"/>
    <xf numFmtId="0" fontId="37" fillId="0" borderId="1" xfId="0" applyFont="1" applyBorder="1" applyAlignment="1">
      <alignment horizontal="center" vertical="center"/>
    </xf>
    <xf numFmtId="2" fontId="33" fillId="6" borderId="1" xfId="1" applyNumberFormat="1" applyFont="1" applyFill="1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2" fontId="0" fillId="5" borderId="19" xfId="0" applyNumberFormat="1" applyFill="1" applyBorder="1" applyAlignment="1">
      <alignment horizontal="right" vertical="center"/>
    </xf>
    <xf numFmtId="2" fontId="0" fillId="5" borderId="22" xfId="0" applyNumberFormat="1" applyFill="1" applyBorder="1" applyAlignment="1">
      <alignment horizontal="right" vertical="center"/>
    </xf>
    <xf numFmtId="2" fontId="0" fillId="5" borderId="21" xfId="0" applyNumberFormat="1" applyFill="1" applyBorder="1" applyAlignment="1">
      <alignment horizontal="right" vertical="center"/>
    </xf>
    <xf numFmtId="0" fontId="33" fillId="0" borderId="0" xfId="1" applyFont="1" applyFill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0" fontId="33" fillId="0" borderId="1" xfId="0" applyFont="1" applyBorder="1" applyAlignment="1">
      <alignment vertical="center"/>
    </xf>
    <xf numFmtId="0" fontId="33" fillId="0" borderId="50" xfId="0" applyFont="1" applyBorder="1" applyAlignment="1">
      <alignment horizontal="center" vertical="center" wrapText="1"/>
    </xf>
    <xf numFmtId="0" fontId="27" fillId="14" borderId="45" xfId="6" applyFill="1" applyBorder="1" applyProtection="1">
      <protection locked="0"/>
    </xf>
    <xf numFmtId="0" fontId="27" fillId="14" borderId="45" xfId="6" applyFill="1" applyBorder="1"/>
    <xf numFmtId="0" fontId="77" fillId="0" borderId="0" xfId="1556" applyFont="1"/>
    <xf numFmtId="0" fontId="38" fillId="0" borderId="0" xfId="1" applyFont="1" applyFill="1" applyAlignment="1">
      <alignment horizontal="right" wrapText="1"/>
    </xf>
    <xf numFmtId="2" fontId="0" fillId="28" borderId="1" xfId="0" applyNumberFormat="1" applyFill="1" applyBorder="1"/>
    <xf numFmtId="0" fontId="33" fillId="4" borderId="0" xfId="0" applyFont="1" applyFill="1" applyAlignment="1">
      <alignment wrapText="1"/>
    </xf>
    <xf numFmtId="0" fontId="33" fillId="4" borderId="0" xfId="0" applyFont="1" applyFill="1"/>
    <xf numFmtId="2" fontId="33" fillId="0" borderId="21" xfId="0" applyNumberFormat="1" applyFont="1" applyBorder="1"/>
    <xf numFmtId="2" fontId="43" fillId="0" borderId="1" xfId="0" applyNumberFormat="1" applyFont="1" applyBorder="1" applyAlignment="1">
      <alignment horizontal="center" vertical="center" wrapText="1"/>
    </xf>
    <xf numFmtId="0" fontId="33" fillId="0" borderId="1" xfId="0" applyFont="1" applyBorder="1" applyAlignment="1">
      <alignment horizontal="left"/>
    </xf>
    <xf numFmtId="0" fontId="33" fillId="0" borderId="0" xfId="0" applyFont="1" applyAlignment="1">
      <alignment horizontal="left" vertical="center" wrapText="1"/>
    </xf>
    <xf numFmtId="2" fontId="52" fillId="15" borderId="50" xfId="1553" applyNumberFormat="1" applyBorder="1" applyAlignment="1">
      <alignment horizontal="center"/>
    </xf>
    <xf numFmtId="165" fontId="27" fillId="14" borderId="45" xfId="0" applyNumberFormat="1" applyFont="1" applyFill="1" applyBorder="1" applyAlignment="1" applyProtection="1">
      <alignment horizontal="center" vertical="center"/>
      <protection locked="0"/>
    </xf>
    <xf numFmtId="0" fontId="9" fillId="6" borderId="35" xfId="0" applyFont="1" applyFill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 wrapText="1"/>
      <protection locked="0"/>
    </xf>
    <xf numFmtId="176" fontId="33" fillId="0" borderId="1" xfId="1554" applyNumberFormat="1" applyFont="1" applyBorder="1"/>
    <xf numFmtId="176" fontId="33" fillId="0" borderId="1" xfId="0" applyNumberFormat="1" applyFont="1" applyBorder="1"/>
    <xf numFmtId="9" fontId="33" fillId="0" borderId="1" xfId="0" applyNumberFormat="1" applyFont="1" applyBorder="1"/>
    <xf numFmtId="0" fontId="0" fillId="0" borderId="21" xfId="0" applyBorder="1" applyAlignment="1">
      <alignment horizontal="center" vertical="center"/>
    </xf>
    <xf numFmtId="0" fontId="38" fillId="6" borderId="19" xfId="1" applyFont="1" applyFill="1" applyBorder="1" applyAlignment="1">
      <alignment horizontal="center" vertical="center"/>
    </xf>
    <xf numFmtId="0" fontId="38" fillId="6" borderId="21" xfId="1" applyFont="1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84" fillId="4" borderId="0" xfId="0" applyFont="1" applyFill="1"/>
    <xf numFmtId="171" fontId="82" fillId="4" borderId="0" xfId="0" applyNumberFormat="1" applyFont="1" applyFill="1"/>
    <xf numFmtId="44" fontId="82" fillId="4" borderId="0" xfId="1839" applyFont="1" applyFill="1"/>
    <xf numFmtId="44" fontId="0" fillId="29" borderId="0" xfId="1839" applyFont="1" applyFill="1"/>
    <xf numFmtId="44" fontId="82" fillId="29" borderId="0" xfId="1839" applyFont="1" applyFill="1"/>
    <xf numFmtId="44" fontId="83" fillId="29" borderId="0" xfId="1839" applyFont="1" applyFill="1"/>
    <xf numFmtId="171" fontId="30" fillId="4" borderId="0" xfId="0" applyNumberFormat="1" applyFont="1" applyFill="1"/>
    <xf numFmtId="0" fontId="0" fillId="0" borderId="25" xfId="0" applyBorder="1" applyAlignment="1" applyProtection="1">
      <alignment horizontal="center" vertical="center" wrapText="1"/>
      <protection locked="0"/>
    </xf>
    <xf numFmtId="167" fontId="0" fillId="0" borderId="0" xfId="0" applyNumberFormat="1"/>
    <xf numFmtId="0" fontId="0" fillId="0" borderId="0" xfId="0"/>
    <xf numFmtId="0" fontId="30" fillId="0" borderId="0" xfId="0" applyFont="1" applyFill="1" applyBorder="1"/>
    <xf numFmtId="44" fontId="0" fillId="0" borderId="0" xfId="1839" applyFont="1" applyAlignment="1">
      <alignment horizontal="right"/>
    </xf>
    <xf numFmtId="0" fontId="43" fillId="0" borderId="0" xfId="0" applyFont="1" applyAlignment="1">
      <alignment wrapText="1"/>
    </xf>
    <xf numFmtId="2" fontId="30" fillId="0" borderId="0" xfId="0" applyNumberFormat="1" applyFont="1"/>
    <xf numFmtId="0" fontId="76" fillId="0" borderId="0" xfId="0" applyFont="1" applyFill="1"/>
    <xf numFmtId="2" fontId="30" fillId="0" borderId="22" xfId="0" applyNumberFormat="1" applyFont="1" applyBorder="1"/>
    <xf numFmtId="2" fontId="30" fillId="0" borderId="70" xfId="0" applyNumberFormat="1" applyFont="1" applyBorder="1"/>
    <xf numFmtId="2" fontId="0" fillId="0" borderId="1" xfId="0" applyNumberFormat="1" applyFill="1" applyBorder="1" applyAlignment="1">
      <alignment horizontal="center" vertical="center"/>
    </xf>
    <xf numFmtId="0" fontId="33" fillId="5" borderId="1" xfId="0" applyFont="1" applyFill="1" applyBorder="1" applyAlignment="1">
      <alignment wrapText="1"/>
    </xf>
    <xf numFmtId="0" fontId="0" fillId="0" borderId="0" xfId="0" applyFill="1" applyAlignment="1">
      <alignment horizontal="center" vertical="center"/>
    </xf>
    <xf numFmtId="0" fontId="0" fillId="0" borderId="0" xfId="0" applyFill="1"/>
    <xf numFmtId="0" fontId="19" fillId="0" borderId="0" xfId="0" applyFont="1" applyFill="1" applyAlignment="1">
      <alignment horizontal="center" vertical="center"/>
    </xf>
    <xf numFmtId="0" fontId="13" fillId="0" borderId="25" xfId="0" applyFont="1" applyBorder="1" applyAlignment="1">
      <alignment horizontal="center" vertical="center" wrapText="1"/>
    </xf>
    <xf numFmtId="0" fontId="14" fillId="0" borderId="25" xfId="0" applyFont="1" applyBorder="1" applyAlignment="1">
      <alignment horizontal="center" vertical="center" wrapText="1"/>
    </xf>
    <xf numFmtId="0" fontId="12" fillId="14" borderId="26" xfId="0" applyFont="1" applyFill="1" applyBorder="1" applyAlignment="1">
      <alignment horizontal="center" vertical="center" wrapText="1"/>
    </xf>
    <xf numFmtId="1" fontId="32" fillId="14" borderId="0" xfId="1" applyNumberFormat="1" applyFont="1" applyFill="1" applyBorder="1" applyAlignment="1" applyProtection="1">
      <alignment horizontal="center" vertical="center"/>
      <protection locked="0"/>
    </xf>
    <xf numFmtId="165" fontId="32" fillId="14" borderId="0" xfId="1" applyNumberFormat="1" applyFont="1" applyFill="1" applyBorder="1" applyAlignment="1" applyProtection="1">
      <alignment horizontal="center" vertical="center"/>
      <protection locked="0"/>
    </xf>
    <xf numFmtId="2" fontId="32" fillId="0" borderId="0" xfId="1" applyNumberFormat="1" applyFont="1" applyFill="1" applyBorder="1" applyAlignment="1" applyProtection="1">
      <alignment horizontal="center" vertical="center"/>
      <protection locked="0"/>
    </xf>
    <xf numFmtId="2" fontId="32" fillId="14" borderId="0" xfId="1" applyNumberFormat="1" applyFont="1" applyFill="1" applyBorder="1" applyAlignment="1" applyProtection="1">
      <alignment horizontal="center" vertical="center"/>
      <protection locked="0"/>
    </xf>
    <xf numFmtId="1" fontId="32" fillId="0" borderId="0" xfId="1" applyNumberFormat="1" applyFont="1" applyFill="1" applyBorder="1" applyAlignment="1" applyProtection="1">
      <alignment horizontal="center" vertical="center"/>
      <protection locked="0"/>
    </xf>
    <xf numFmtId="0" fontId="27" fillId="14" borderId="0" xfId="0" applyFont="1" applyFill="1" applyBorder="1" applyProtection="1">
      <protection locked="0"/>
    </xf>
    <xf numFmtId="0" fontId="27" fillId="14" borderId="0" xfId="6" applyFill="1" applyBorder="1" applyProtection="1">
      <protection locked="0"/>
    </xf>
    <xf numFmtId="0" fontId="27" fillId="14" borderId="0" xfId="6" applyFill="1" applyBorder="1"/>
    <xf numFmtId="0" fontId="27" fillId="14" borderId="0" xfId="0" applyFont="1" applyFill="1" applyBorder="1"/>
    <xf numFmtId="0" fontId="33" fillId="0" borderId="0" xfId="0" applyFont="1" applyBorder="1"/>
    <xf numFmtId="1" fontId="32" fillId="14" borderId="0" xfId="0" applyNumberFormat="1" applyFont="1" applyFill="1" applyBorder="1" applyAlignment="1" applyProtection="1">
      <alignment horizontal="center" vertical="center"/>
      <protection locked="0"/>
    </xf>
    <xf numFmtId="2" fontId="32" fillId="0" borderId="0" xfId="0" applyNumberFormat="1" applyFont="1" applyBorder="1" applyAlignment="1" applyProtection="1">
      <alignment horizontal="center" vertical="center"/>
      <protection locked="0"/>
    </xf>
    <xf numFmtId="165" fontId="32" fillId="14" borderId="0" xfId="0" applyNumberFormat="1" applyFont="1" applyFill="1" applyBorder="1" applyAlignment="1" applyProtection="1">
      <alignment horizontal="center" vertical="center"/>
      <protection locked="0"/>
    </xf>
    <xf numFmtId="1" fontId="27" fillId="14" borderId="0" xfId="0" applyNumberFormat="1" applyFont="1" applyFill="1" applyBorder="1" applyAlignment="1" applyProtection="1">
      <alignment horizontal="center" vertical="center"/>
      <protection locked="0"/>
    </xf>
    <xf numFmtId="165" fontId="27" fillId="14" borderId="0" xfId="0" applyNumberFormat="1" applyFont="1" applyFill="1" applyBorder="1" applyAlignment="1" applyProtection="1">
      <alignment horizontal="center" vertical="center"/>
      <protection locked="0"/>
    </xf>
    <xf numFmtId="1" fontId="93" fillId="14" borderId="0" xfId="0" applyNumberFormat="1" applyFont="1" applyFill="1" applyBorder="1" applyAlignment="1" applyProtection="1">
      <alignment horizontal="center" vertical="center"/>
      <protection locked="0"/>
    </xf>
    <xf numFmtId="1" fontId="93" fillId="0" borderId="0" xfId="0" applyNumberFormat="1" applyFont="1" applyBorder="1" applyAlignment="1" applyProtection="1">
      <alignment horizontal="center" vertical="center"/>
      <protection locked="0"/>
    </xf>
    <xf numFmtId="1" fontId="0" fillId="0" borderId="1" xfId="0" applyNumberFormat="1" applyFill="1" applyBorder="1"/>
    <xf numFmtId="0" fontId="45" fillId="0" borderId="1" xfId="0" applyFont="1" applyFill="1" applyBorder="1" applyAlignment="1">
      <alignment horizontal="center" vertical="center" wrapText="1"/>
    </xf>
    <xf numFmtId="175" fontId="0" fillId="0" borderId="1" xfId="0" applyNumberFormat="1" applyFill="1" applyBorder="1" applyAlignment="1">
      <alignment horizontal="center" vertical="center"/>
    </xf>
    <xf numFmtId="0" fontId="30" fillId="0" borderId="22" xfId="0" applyFont="1" applyFill="1" applyBorder="1"/>
    <xf numFmtId="0" fontId="82" fillId="0" borderId="0" xfId="0" applyFont="1" applyFill="1"/>
    <xf numFmtId="171" fontId="82" fillId="0" borderId="0" xfId="0" applyNumberFormat="1" applyFont="1" applyFill="1"/>
    <xf numFmtId="1" fontId="0" fillId="0" borderId="1" xfId="0" applyNumberFormat="1" applyFill="1" applyBorder="1" applyAlignment="1">
      <alignment horizontal="center" vertical="center"/>
    </xf>
    <xf numFmtId="1" fontId="33" fillId="0" borderId="1" xfId="1" applyNumberFormat="1" applyFont="1" applyFill="1" applyBorder="1" applyAlignment="1">
      <alignment horizontal="center" vertical="center"/>
    </xf>
    <xf numFmtId="0" fontId="0" fillId="0" borderId="0" xfId="0"/>
    <xf numFmtId="0" fontId="32" fillId="0" borderId="45" xfId="0" applyFont="1" applyBorder="1" applyAlignment="1">
      <alignment horizontal="left" vertical="center" wrapText="1"/>
    </xf>
    <xf numFmtId="0" fontId="33" fillId="0" borderId="69" xfId="0" applyFont="1" applyBorder="1"/>
    <xf numFmtId="0" fontId="0" fillId="0" borderId="0" xfId="0"/>
    <xf numFmtId="0" fontId="0" fillId="0" borderId="0" xfId="0" applyFont="1"/>
    <xf numFmtId="2" fontId="27" fillId="14" borderId="45" xfId="0" applyNumberFormat="1" applyFont="1" applyFill="1" applyBorder="1" applyAlignment="1" applyProtection="1">
      <alignment horizontal="center" vertical="center"/>
      <protection locked="0"/>
    </xf>
    <xf numFmtId="1" fontId="0" fillId="14" borderId="8" xfId="0" applyNumberFormat="1" applyFill="1" applyBorder="1" applyAlignment="1" applyProtection="1">
      <alignment horizontal="center" vertical="center"/>
      <protection locked="0"/>
    </xf>
    <xf numFmtId="2" fontId="0" fillId="14" borderId="34" xfId="0" applyNumberFormat="1" applyFill="1" applyBorder="1" applyAlignment="1" applyProtection="1">
      <alignment horizontal="center" vertical="center"/>
      <protection locked="0"/>
    </xf>
    <xf numFmtId="0" fontId="0" fillId="6" borderId="61" xfId="0" applyFill="1" applyBorder="1" applyAlignment="1">
      <alignment horizontal="center" vertical="center" wrapText="1"/>
    </xf>
    <xf numFmtId="2" fontId="33" fillId="0" borderId="0" xfId="1556" applyNumberFormat="1" applyFont="1" applyBorder="1"/>
    <xf numFmtId="0" fontId="0" fillId="0" borderId="1" xfId="0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0" borderId="0" xfId="0"/>
    <xf numFmtId="0" fontId="30" fillId="0" borderId="1" xfId="0" applyFont="1" applyBorder="1" applyAlignment="1">
      <alignment horizontal="center" vertical="center" wrapText="1"/>
    </xf>
    <xf numFmtId="0" fontId="0" fillId="0" borderId="0" xfId="0"/>
    <xf numFmtId="0" fontId="33" fillId="0" borderId="21" xfId="0" applyFont="1" applyBorder="1" applyAlignment="1">
      <alignment horizontal="center" vertical="center"/>
    </xf>
    <xf numFmtId="1" fontId="0" fillId="6" borderId="0" xfId="0" applyNumberFormat="1" applyFill="1" applyBorder="1" applyAlignment="1" applyProtection="1">
      <alignment horizontal="center" vertical="center"/>
      <protection locked="0"/>
    </xf>
    <xf numFmtId="1" fontId="0" fillId="14" borderId="34" xfId="0" applyNumberFormat="1" applyFill="1" applyBorder="1" applyAlignment="1" applyProtection="1">
      <alignment horizontal="center" vertical="center"/>
      <protection locked="0"/>
    </xf>
    <xf numFmtId="1" fontId="0" fillId="14" borderId="31" xfId="0" applyNumberFormat="1" applyFill="1" applyBorder="1" applyAlignment="1" applyProtection="1">
      <alignment horizontal="center" vertical="center"/>
      <protection locked="0"/>
    </xf>
    <xf numFmtId="0" fontId="32" fillId="0" borderId="0" xfId="0" applyFont="1" applyBorder="1" applyAlignment="1">
      <alignment horizontal="left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0" borderId="0" xfId="0"/>
    <xf numFmtId="0" fontId="30" fillId="0" borderId="1" xfId="0" applyFont="1" applyBorder="1" applyAlignment="1">
      <alignment horizontal="center" vertical="center" wrapText="1"/>
    </xf>
    <xf numFmtId="2" fontId="61" fillId="14" borderId="0" xfId="0" applyNumberFormat="1" applyFont="1" applyFill="1" applyBorder="1" applyAlignment="1" applyProtection="1">
      <alignment horizontal="center" vertical="center"/>
      <protection locked="0"/>
    </xf>
    <xf numFmtId="2" fontId="61" fillId="14" borderId="45" xfId="0" applyNumberFormat="1" applyFont="1" applyFill="1" applyBorder="1" applyAlignment="1" applyProtection="1">
      <alignment horizontal="center" vertical="center"/>
      <protection locked="0"/>
    </xf>
    <xf numFmtId="1" fontId="61" fillId="14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/>
    <xf numFmtId="9" fontId="0" fillId="0" borderId="0" xfId="1554" applyFont="1" applyAlignment="1">
      <alignment horizontal="center" vertical="center" wrapText="1"/>
    </xf>
    <xf numFmtId="9" fontId="0" fillId="6" borderId="5" xfId="1554" applyFont="1" applyFill="1" applyBorder="1"/>
    <xf numFmtId="9" fontId="0" fillId="6" borderId="0" xfId="1554" applyFont="1" applyFill="1"/>
    <xf numFmtId="0" fontId="0" fillId="0" borderId="0" xfId="0"/>
    <xf numFmtId="2" fontId="33" fillId="23" borderId="22" xfId="0" applyNumberFormat="1" applyFont="1" applyFill="1" applyBorder="1"/>
    <xf numFmtId="2" fontId="62" fillId="0" borderId="21" xfId="1556" applyNumberFormat="1" applyBorder="1"/>
    <xf numFmtId="1" fontId="0" fillId="0" borderId="36" xfId="0" applyNumberFormat="1" applyBorder="1" applyAlignment="1">
      <alignment horizontal="center" vertical="center" wrapText="1"/>
    </xf>
    <xf numFmtId="9" fontId="0" fillId="0" borderId="0" xfId="1554" applyNumberFormat="1" applyFont="1" applyAlignment="1">
      <alignment horizontal="center" vertical="center" wrapText="1"/>
    </xf>
    <xf numFmtId="0" fontId="0" fillId="0" borderId="0" xfId="0"/>
    <xf numFmtId="2" fontId="33" fillId="6" borderId="0" xfId="723" applyNumberFormat="1" applyFont="1" applyFill="1" applyBorder="1"/>
    <xf numFmtId="2" fontId="33" fillId="0" borderId="0" xfId="723" applyNumberFormat="1" applyFont="1" applyBorder="1"/>
    <xf numFmtId="2" fontId="0" fillId="0" borderId="5" xfId="0" applyNumberFormat="1" applyBorder="1" applyAlignment="1">
      <alignment horizontal="center" vertical="center"/>
    </xf>
    <xf numFmtId="0" fontId="33" fillId="0" borderId="1" xfId="0" applyFont="1" applyFill="1" applyBorder="1" applyAlignment="1"/>
    <xf numFmtId="0" fontId="75" fillId="0" borderId="1" xfId="0" applyFont="1" applyFill="1" applyBorder="1"/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/>
    <xf numFmtId="0" fontId="33" fillId="0" borderId="2" xfId="0" applyFont="1" applyBorder="1" applyAlignment="1">
      <alignment horizontal="center" vertical="center" wrapText="1"/>
    </xf>
    <xf numFmtId="0" fontId="33" fillId="14" borderId="4" xfId="0" applyFont="1" applyFill="1" applyBorder="1"/>
    <xf numFmtId="0" fontId="33" fillId="14" borderId="0" xfId="0" applyFont="1" applyFill="1" applyBorder="1"/>
    <xf numFmtId="0" fontId="33" fillId="14" borderId="6" xfId="0" applyFont="1" applyFill="1" applyBorder="1"/>
    <xf numFmtId="0" fontId="33" fillId="14" borderId="45" xfId="0" applyFont="1" applyFill="1" applyBorder="1"/>
    <xf numFmtId="0" fontId="33" fillId="14" borderId="72" xfId="0" applyFont="1" applyFill="1" applyBorder="1"/>
    <xf numFmtId="0" fontId="33" fillId="14" borderId="10" xfId="0" applyFont="1" applyFill="1" applyBorder="1"/>
    <xf numFmtId="0" fontId="0" fillId="6" borderId="1" xfId="0" applyFill="1" applyBorder="1" applyAlignment="1" applyProtection="1">
      <alignment horizontal="center" vertical="center"/>
      <protection locked="0"/>
    </xf>
    <xf numFmtId="0" fontId="0" fillId="6" borderId="28" xfId="0" applyFill="1" applyBorder="1" applyAlignment="1" applyProtection="1">
      <alignment horizontal="center" vertical="center"/>
      <protection locked="0"/>
    </xf>
    <xf numFmtId="0" fontId="0" fillId="6" borderId="30" xfId="0" applyFill="1" applyBorder="1" applyAlignment="1" applyProtection="1">
      <alignment horizontal="center" vertical="center"/>
      <protection locked="0"/>
    </xf>
    <xf numFmtId="0" fontId="0" fillId="6" borderId="1" xfId="0" applyFill="1" applyBorder="1" applyAlignment="1">
      <alignment horizontal="center" wrapText="1"/>
    </xf>
    <xf numFmtId="0" fontId="0" fillId="6" borderId="19" xfId="0" applyFill="1" applyBorder="1" applyAlignment="1" applyProtection="1">
      <alignment horizontal="center" vertical="center"/>
      <protection locked="0"/>
    </xf>
    <xf numFmtId="0" fontId="0" fillId="6" borderId="58" xfId="0" applyFill="1" applyBorder="1" applyAlignment="1" applyProtection="1">
      <alignment horizontal="center" vertical="center"/>
      <protection locked="0"/>
    </xf>
    <xf numFmtId="1" fontId="0" fillId="6" borderId="36" xfId="0" applyNumberFormat="1" applyFill="1" applyBorder="1" applyAlignment="1">
      <alignment horizontal="center" vertical="center" wrapText="1"/>
    </xf>
    <xf numFmtId="0" fontId="69" fillId="0" borderId="73" xfId="1557" applyFont="1" applyBorder="1" applyAlignment="1">
      <alignment horizontal="center" vertical="center" wrapText="1"/>
    </xf>
    <xf numFmtId="2" fontId="32" fillId="14" borderId="0" xfId="0" applyNumberFormat="1" applyFont="1" applyFill="1" applyBorder="1" applyAlignment="1" applyProtection="1">
      <alignment horizontal="center" vertical="center"/>
      <protection locked="0"/>
    </xf>
    <xf numFmtId="2" fontId="27" fillId="14" borderId="0" xfId="0" applyNumberFormat="1" applyFont="1" applyFill="1" applyBorder="1" applyAlignment="1" applyProtection="1">
      <alignment horizontal="center" vertical="center"/>
      <protection locked="0"/>
    </xf>
    <xf numFmtId="2" fontId="33" fillId="0" borderId="0" xfId="0" applyNumberFormat="1" applyFont="1" applyAlignment="1">
      <alignment horizontal="right"/>
    </xf>
    <xf numFmtId="2" fontId="37" fillId="0" borderId="0" xfId="0" applyNumberFormat="1" applyFont="1" applyAlignment="1">
      <alignment horizontal="right"/>
    </xf>
    <xf numFmtId="0" fontId="37" fillId="0" borderId="0" xfId="0" applyFont="1" applyAlignment="1">
      <alignment horizontal="right"/>
    </xf>
    <xf numFmtId="0" fontId="37" fillId="0" borderId="0" xfId="0" applyFont="1" applyAlignment="1">
      <alignment vertical="top"/>
    </xf>
    <xf numFmtId="0" fontId="14" fillId="14" borderId="28" xfId="0" applyFont="1" applyFill="1" applyBorder="1" applyAlignment="1">
      <alignment horizontal="center" vertical="top" wrapText="1"/>
    </xf>
    <xf numFmtId="0" fontId="0" fillId="5" borderId="0" xfId="0" applyFill="1" applyBorder="1" applyAlignment="1">
      <alignment vertical="center"/>
    </xf>
    <xf numFmtId="2" fontId="0" fillId="0" borderId="0" xfId="0" applyNumberFormat="1" applyBorder="1"/>
    <xf numFmtId="2" fontId="30" fillId="0" borderId="0" xfId="0" applyNumberFormat="1" applyFont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30" fillId="0" borderId="0" xfId="0" applyFont="1" applyBorder="1" applyAlignment="1">
      <alignment horizontal="center" vertical="center" wrapText="1"/>
    </xf>
    <xf numFmtId="2" fontId="30" fillId="4" borderId="0" xfId="0" applyNumberFormat="1" applyFont="1" applyFill="1" applyAlignment="1">
      <alignment horizontal="center"/>
    </xf>
    <xf numFmtId="2" fontId="0" fillId="11" borderId="1" xfId="0" applyNumberFormat="1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1" fontId="0" fillId="6" borderId="1" xfId="0" applyNumberFormat="1" applyFill="1" applyBorder="1" applyAlignment="1">
      <alignment horizontal="center" vertical="center" wrapText="1"/>
    </xf>
    <xf numFmtId="2" fontId="0" fillId="0" borderId="1" xfId="1833" applyNumberFormat="1" applyFont="1" applyBorder="1" applyAlignment="1">
      <alignment horizontal="center" vertical="center" wrapText="1"/>
    </xf>
    <xf numFmtId="2" fontId="0" fillId="0" borderId="1" xfId="1833" applyNumberFormat="1" applyFont="1" applyBorder="1" applyAlignment="1">
      <alignment horizontal="center" vertical="center"/>
    </xf>
    <xf numFmtId="2" fontId="0" fillId="11" borderId="1" xfId="1833" applyNumberFormat="1" applyFont="1" applyFill="1" applyBorder="1" applyAlignment="1">
      <alignment horizontal="center" vertical="center" wrapText="1"/>
    </xf>
    <xf numFmtId="2" fontId="0" fillId="6" borderId="1" xfId="1833" applyNumberFormat="1" applyFont="1" applyFill="1" applyBorder="1" applyAlignment="1">
      <alignment horizontal="center" vertical="center" wrapText="1"/>
    </xf>
    <xf numFmtId="0" fontId="0" fillId="0" borderId="0" xfId="0"/>
    <xf numFmtId="2" fontId="0" fillId="4" borderId="0" xfId="0" applyNumberFormat="1" applyFill="1"/>
    <xf numFmtId="2" fontId="0" fillId="0" borderId="0" xfId="0" applyNumberFormat="1" applyAlignment="1">
      <alignment horizontal="center" vertical="center"/>
    </xf>
    <xf numFmtId="0" fontId="0" fillId="0" borderId="0" xfId="0"/>
    <xf numFmtId="0" fontId="30" fillId="0" borderId="1" xfId="0" applyFont="1" applyBorder="1" applyAlignment="1">
      <alignment horizontal="center" vertical="center" wrapText="1"/>
    </xf>
    <xf numFmtId="0" fontId="69" fillId="0" borderId="73" xfId="0" applyFont="1" applyBorder="1" applyAlignment="1">
      <alignment horizontal="center" vertical="center" wrapText="1"/>
    </xf>
    <xf numFmtId="0" fontId="22" fillId="0" borderId="2" xfId="1557" applyBorder="1"/>
    <xf numFmtId="0" fontId="10" fillId="0" borderId="50" xfId="1557" applyFont="1" applyBorder="1" applyAlignment="1">
      <alignment horizontal="center" vertical="top" wrapText="1"/>
    </xf>
    <xf numFmtId="0" fontId="10" fillId="0" borderId="3" xfId="1557" applyFont="1" applyBorder="1" applyAlignment="1">
      <alignment horizontal="center" vertical="top" wrapText="1"/>
    </xf>
    <xf numFmtId="0" fontId="10" fillId="0" borderId="50" xfId="1557" applyFont="1" applyBorder="1" applyAlignment="1">
      <alignment vertical="top" wrapText="1"/>
    </xf>
    <xf numFmtId="0" fontId="7" fillId="0" borderId="50" xfId="1557" applyFont="1" applyBorder="1" applyAlignment="1">
      <alignment horizontal="center" vertical="top" wrapText="1"/>
    </xf>
    <xf numFmtId="0" fontId="10" fillId="0" borderId="3" xfId="1557" applyFont="1" applyBorder="1" applyAlignment="1">
      <alignment vertical="top" wrapText="1"/>
    </xf>
    <xf numFmtId="0" fontId="10" fillId="0" borderId="2" xfId="1557" applyFont="1" applyBorder="1" applyAlignment="1">
      <alignment vertical="top" wrapText="1"/>
    </xf>
    <xf numFmtId="1" fontId="22" fillId="0" borderId="0" xfId="1557" applyNumberFormat="1" applyBorder="1"/>
    <xf numFmtId="165" fontId="22" fillId="0" borderId="0" xfId="1557" applyNumberFormat="1" applyBorder="1"/>
    <xf numFmtId="168" fontId="22" fillId="0" borderId="0" xfId="1833" applyNumberFormat="1" applyFont="1" applyBorder="1"/>
    <xf numFmtId="0" fontId="0" fillId="6" borderId="56" xfId="0" applyFill="1" applyBorder="1" applyAlignment="1">
      <alignment horizontal="left" vertical="center"/>
    </xf>
    <xf numFmtId="0" fontId="0" fillId="6" borderId="22" xfId="0" applyFill="1" applyBorder="1" applyAlignment="1">
      <alignment horizontal="left" vertical="center"/>
    </xf>
    <xf numFmtId="0" fontId="0" fillId="6" borderId="60" xfId="0" applyFill="1" applyBorder="1" applyAlignment="1">
      <alignment horizontal="center" vertical="center"/>
    </xf>
    <xf numFmtId="2" fontId="0" fillId="6" borderId="22" xfId="0" applyNumberFormat="1" applyFill="1" applyBorder="1" applyAlignment="1">
      <alignment horizontal="center" vertical="center"/>
    </xf>
    <xf numFmtId="2" fontId="0" fillId="6" borderId="60" xfId="0" applyNumberFormat="1" applyFill="1" applyBorder="1" applyAlignment="1">
      <alignment horizontal="center" vertical="center"/>
    </xf>
    <xf numFmtId="0" fontId="33" fillId="6" borderId="56" xfId="0" applyFont="1" applyFill="1" applyBorder="1" applyAlignment="1">
      <alignment horizontal="left" vertical="center"/>
    </xf>
    <xf numFmtId="0" fontId="33" fillId="6" borderId="22" xfId="0" applyFont="1" applyFill="1" applyBorder="1" applyAlignment="1">
      <alignment horizontal="left" vertical="center"/>
    </xf>
    <xf numFmtId="2" fontId="33" fillId="6" borderId="60" xfId="0" applyNumberFormat="1" applyFont="1" applyFill="1" applyBorder="1" applyAlignment="1">
      <alignment horizontal="center" vertical="center"/>
    </xf>
    <xf numFmtId="2" fontId="33" fillId="6" borderId="22" xfId="0" applyNumberFormat="1" applyFont="1" applyFill="1" applyBorder="1" applyAlignment="1">
      <alignment horizontal="center" vertical="center"/>
    </xf>
    <xf numFmtId="0" fontId="11" fillId="6" borderId="80" xfId="0" applyFont="1" applyFill="1" applyBorder="1" applyAlignment="1">
      <alignment horizontal="center" vertical="center" wrapText="1"/>
    </xf>
    <xf numFmtId="1" fontId="0" fillId="14" borderId="28" xfId="0" applyNumberFormat="1" applyFill="1" applyBorder="1" applyAlignment="1" applyProtection="1">
      <alignment horizontal="center" vertical="center"/>
      <protection locked="0"/>
    </xf>
    <xf numFmtId="0" fontId="19" fillId="0" borderId="25" xfId="0" applyFont="1" applyBorder="1" applyAlignment="1">
      <alignment horizontal="center" vertical="center" wrapText="1"/>
    </xf>
    <xf numFmtId="0" fontId="0" fillId="0" borderId="30" xfId="0" applyBorder="1"/>
    <xf numFmtId="0" fontId="19" fillId="6" borderId="50" xfId="0" applyFont="1" applyFill="1" applyBorder="1" applyAlignment="1">
      <alignment horizontal="center" vertical="center" wrapText="1"/>
    </xf>
    <xf numFmtId="0" fontId="19" fillId="6" borderId="35" xfId="0" applyFont="1" applyFill="1" applyBorder="1" applyAlignment="1">
      <alignment horizontal="center" vertical="center" wrapText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 applyAlignment="1">
      <alignment vertical="center" wrapText="1"/>
    </xf>
    <xf numFmtId="0" fontId="0" fillId="0" borderId="1" xfId="0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0" borderId="0" xfId="0"/>
    <xf numFmtId="0" fontId="0" fillId="0" borderId="0" xfId="0"/>
    <xf numFmtId="0" fontId="0" fillId="0" borderId="0" xfId="0" applyBorder="1"/>
    <xf numFmtId="0" fontId="33" fillId="0" borderId="0" xfId="0" applyFont="1" applyBorder="1" applyAlignment="1">
      <alignment horizontal="center" vertical="center"/>
    </xf>
    <xf numFmtId="2" fontId="27" fillId="14" borderId="0" xfId="0" applyNumberFormat="1" applyFont="1" applyFill="1" applyBorder="1" applyProtection="1">
      <protection locked="0"/>
    </xf>
    <xf numFmtId="0" fontId="0" fillId="0" borderId="1" xfId="0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0" borderId="2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0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1" fontId="33" fillId="0" borderId="1" xfId="0" applyNumberFormat="1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/>
    </xf>
    <xf numFmtId="0" fontId="33" fillId="0" borderId="19" xfId="0" applyFont="1" applyBorder="1" applyAlignment="1">
      <alignment horizontal="center" vertical="center"/>
    </xf>
    <xf numFmtId="0" fontId="33" fillId="0" borderId="22" xfId="0" applyFont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4" borderId="31" xfId="0" applyFill="1" applyBorder="1" applyAlignment="1" applyProtection="1">
      <alignment horizontal="center" vertical="center" wrapText="1"/>
      <protection locked="0"/>
    </xf>
    <xf numFmtId="2" fontId="0" fillId="6" borderId="0" xfId="0" applyNumberFormat="1" applyFill="1" applyBorder="1" applyAlignment="1" applyProtection="1">
      <alignment horizontal="center" vertical="center"/>
      <protection locked="0"/>
    </xf>
    <xf numFmtId="0" fontId="19" fillId="0" borderId="4" xfId="0" applyFont="1" applyBorder="1" applyAlignment="1">
      <alignment horizontal="center" vertical="center" wrapText="1"/>
    </xf>
    <xf numFmtId="0" fontId="19" fillId="0" borderId="6" xfId="0" applyFont="1" applyBorder="1" applyAlignment="1">
      <alignment horizontal="center" vertical="center" wrapText="1"/>
    </xf>
    <xf numFmtId="1" fontId="0" fillId="14" borderId="30" xfId="0" applyNumberFormat="1" applyFill="1" applyBorder="1" applyAlignment="1" applyProtection="1">
      <alignment horizontal="center" vertical="center"/>
      <protection locked="0"/>
    </xf>
    <xf numFmtId="1" fontId="0" fillId="6" borderId="45" xfId="0" applyNumberFormat="1" applyFill="1" applyBorder="1" applyAlignment="1" applyProtection="1">
      <alignment horizontal="center" vertical="center"/>
      <protection locked="0"/>
    </xf>
    <xf numFmtId="2" fontId="0" fillId="6" borderId="45" xfId="0" applyNumberFormat="1" applyFill="1" applyBorder="1" applyAlignment="1" applyProtection="1">
      <alignment horizontal="center" vertical="center"/>
      <protection locked="0"/>
    </xf>
    <xf numFmtId="0" fontId="0" fillId="0" borderId="48" xfId="0" applyBorder="1" applyAlignment="1">
      <alignment horizontal="center" vertical="center"/>
    </xf>
    <xf numFmtId="49" fontId="19" fillId="14" borderId="19" xfId="0" applyNumberFormat="1" applyFont="1" applyFill="1" applyBorder="1" applyAlignment="1" applyProtection="1">
      <alignment horizontal="center" vertical="center"/>
      <protection locked="0"/>
    </xf>
    <xf numFmtId="49" fontId="19" fillId="14" borderId="58" xfId="0" applyNumberFormat="1" applyFont="1" applyFill="1" applyBorder="1" applyAlignment="1" applyProtection="1">
      <alignment horizontal="center" vertical="center"/>
      <protection locked="0"/>
    </xf>
    <xf numFmtId="0" fontId="45" fillId="6" borderId="26" xfId="1556" applyFont="1" applyFill="1" applyBorder="1" applyAlignment="1">
      <alignment horizontal="center" vertical="center"/>
    </xf>
    <xf numFmtId="0" fontId="0" fillId="6" borderId="52" xfId="0" applyFill="1" applyBorder="1" applyAlignment="1">
      <alignment horizontal="center" vertical="center"/>
    </xf>
    <xf numFmtId="0" fontId="0" fillId="6" borderId="70" xfId="0" applyFill="1" applyBorder="1" applyAlignment="1">
      <alignment horizontal="center" vertical="center"/>
    </xf>
    <xf numFmtId="0" fontId="0" fillId="0" borderId="68" xfId="0" applyBorder="1" applyAlignment="1">
      <alignment horizontal="center" vertical="center" wrapText="1"/>
    </xf>
    <xf numFmtId="0" fontId="0" fillId="0" borderId="24" xfId="0" applyBorder="1" applyAlignment="1">
      <alignment horizontal="center"/>
    </xf>
    <xf numFmtId="0" fontId="0" fillId="0" borderId="38" xfId="0" applyBorder="1" applyAlignment="1">
      <alignment horizontal="center"/>
    </xf>
    <xf numFmtId="0" fontId="96" fillId="0" borderId="0" xfId="0" applyFont="1" applyAlignment="1">
      <alignment horizontal="center" vertical="top" wrapText="1"/>
    </xf>
    <xf numFmtId="0" fontId="77" fillId="0" borderId="0" xfId="1556" applyFont="1" applyFill="1" applyAlignment="1">
      <alignment horizontal="center" vertical="center" wrapText="1"/>
    </xf>
    <xf numFmtId="0" fontId="77" fillId="0" borderId="0" xfId="1556" applyFont="1" applyFill="1" applyAlignment="1">
      <alignment horizontal="center" vertical="center"/>
    </xf>
    <xf numFmtId="0" fontId="76" fillId="0" borderId="0" xfId="0" applyFont="1" applyFill="1" applyAlignment="1">
      <alignment horizontal="center" vertical="center"/>
    </xf>
    <xf numFmtId="0" fontId="78" fillId="0" borderId="0" xfId="0" applyFont="1" applyFill="1" applyAlignment="1">
      <alignment horizontal="center" vertical="center"/>
    </xf>
    <xf numFmtId="0" fontId="0" fillId="14" borderId="75" xfId="0" applyFill="1" applyBorder="1" applyAlignment="1" applyProtection="1">
      <alignment horizontal="center" vertical="center" wrapText="1"/>
      <protection locked="0"/>
    </xf>
    <xf numFmtId="0" fontId="33" fillId="0" borderId="0" xfId="0" applyFont="1" applyBorder="1" applyAlignment="1">
      <alignment horizontal="center" vertical="center" wrapText="1"/>
    </xf>
    <xf numFmtId="0" fontId="33" fillId="0" borderId="17" xfId="0" applyFont="1" applyBorder="1" applyAlignment="1">
      <alignment horizontal="center"/>
    </xf>
    <xf numFmtId="0" fontId="33" fillId="0" borderId="1" xfId="0" applyNumberFormat="1" applyFont="1" applyBorder="1" applyAlignment="1">
      <alignment vertical="center"/>
    </xf>
    <xf numFmtId="0" fontId="33" fillId="0" borderId="1" xfId="0" applyNumberFormat="1" applyFont="1" applyBorder="1" applyAlignment="1"/>
    <xf numFmtId="0" fontId="33" fillId="0" borderId="0" xfId="0" applyFont="1" applyBorder="1" applyAlignment="1">
      <alignment horizontal="center"/>
    </xf>
    <xf numFmtId="0" fontId="33" fillId="5" borderId="1" xfId="0" applyFont="1" applyFill="1" applyBorder="1" applyAlignment="1">
      <alignment horizontal="center"/>
    </xf>
    <xf numFmtId="0" fontId="33" fillId="0" borderId="0" xfId="0" applyFont="1" applyFill="1" applyBorder="1" applyAlignment="1">
      <alignment horizontal="center"/>
    </xf>
    <xf numFmtId="0" fontId="32" fillId="0" borderId="0" xfId="0" applyFont="1" applyFill="1" applyBorder="1" applyAlignment="1">
      <alignment horizontal="center" vertical="center" wrapText="1"/>
    </xf>
    <xf numFmtId="0" fontId="33" fillId="0" borderId="0" xfId="0" applyFont="1" applyFill="1" applyBorder="1" applyAlignment="1">
      <alignment horizontal="center" vertical="center" wrapText="1"/>
    </xf>
    <xf numFmtId="1" fontId="33" fillId="0" borderId="0" xfId="0" applyNumberFormat="1" applyFont="1" applyFill="1" applyBorder="1" applyAlignment="1">
      <alignment horizontal="center" vertical="center" wrapText="1"/>
    </xf>
    <xf numFmtId="0" fontId="33" fillId="0" borderId="0" xfId="0" applyFont="1" applyFill="1" applyBorder="1"/>
    <xf numFmtId="166" fontId="33" fillId="0" borderId="0" xfId="0" applyNumberFormat="1" applyFont="1" applyBorder="1"/>
    <xf numFmtId="0" fontId="0" fillId="0" borderId="0" xfId="0" applyFill="1" applyAlignment="1">
      <alignment horizontal="center" vertical="center" wrapText="1"/>
    </xf>
    <xf numFmtId="0" fontId="14" fillId="14" borderId="31" xfId="0" applyFont="1" applyFill="1" applyBorder="1" applyAlignment="1">
      <alignment horizontal="center" vertical="top" wrapText="1"/>
    </xf>
    <xf numFmtId="0" fontId="0" fillId="0" borderId="0" xfId="0" applyFill="1" applyBorder="1" applyAlignment="1">
      <alignment horizontal="center" vertical="center"/>
    </xf>
    <xf numFmtId="0" fontId="33" fillId="0" borderId="0" xfId="0" applyFont="1" applyFill="1" applyBorder="1" applyAlignment="1">
      <alignment horizontal="center" vertical="center"/>
    </xf>
    <xf numFmtId="1" fontId="0" fillId="0" borderId="0" xfId="0" applyNumberFormat="1" applyFill="1" applyBorder="1" applyAlignment="1">
      <alignment horizontal="center" vertical="center"/>
    </xf>
    <xf numFmtId="1" fontId="33" fillId="0" borderId="0" xfId="0" applyNumberFormat="1" applyFont="1" applyFill="1" applyBorder="1" applyAlignment="1">
      <alignment horizontal="center" vertical="center"/>
    </xf>
    <xf numFmtId="0" fontId="76" fillId="0" borderId="0" xfId="0" applyFont="1" applyFill="1" applyBorder="1" applyAlignment="1">
      <alignment horizontal="center" vertical="center"/>
    </xf>
    <xf numFmtId="2" fontId="0" fillId="14" borderId="28" xfId="0" applyNumberFormat="1" applyFill="1" applyBorder="1" applyAlignment="1" applyProtection="1">
      <alignment horizontal="center"/>
      <protection locked="0"/>
    </xf>
    <xf numFmtId="2" fontId="0" fillId="14" borderId="31" xfId="0" applyNumberFormat="1" applyFill="1" applyBorder="1" applyAlignment="1" applyProtection="1">
      <alignment horizontal="center"/>
      <protection locked="0"/>
    </xf>
    <xf numFmtId="0" fontId="53" fillId="0" borderId="0" xfId="0" applyFont="1" applyBorder="1" applyAlignment="1">
      <alignment horizontal="left" vertical="center" wrapText="1"/>
    </xf>
    <xf numFmtId="0" fontId="108" fillId="0" borderId="0" xfId="0" applyFont="1"/>
    <xf numFmtId="0" fontId="19" fillId="6" borderId="26" xfId="0" applyFont="1" applyFill="1" applyBorder="1" applyAlignment="1">
      <alignment horizontal="center" vertical="top" wrapText="1"/>
    </xf>
    <xf numFmtId="2" fontId="0" fillId="14" borderId="67" xfId="0" applyNumberFormat="1" applyFill="1" applyBorder="1" applyAlignment="1" applyProtection="1">
      <alignment horizontal="center" vertical="center"/>
      <protection locked="0"/>
    </xf>
    <xf numFmtId="0" fontId="15" fillId="0" borderId="4" xfId="1557" applyFont="1" applyBorder="1"/>
    <xf numFmtId="2" fontId="22" fillId="0" borderId="5" xfId="1557" applyNumberFormat="1" applyBorder="1"/>
    <xf numFmtId="0" fontId="18" fillId="0" borderId="6" xfId="1557" applyFont="1" applyBorder="1"/>
    <xf numFmtId="0" fontId="22" fillId="0" borderId="45" xfId="1557" applyBorder="1"/>
    <xf numFmtId="168" fontId="22" fillId="0" borderId="45" xfId="1833" applyNumberFormat="1" applyFont="1" applyBorder="1"/>
    <xf numFmtId="2" fontId="22" fillId="0" borderId="7" xfId="1557" applyNumberFormat="1" applyBorder="1"/>
    <xf numFmtId="0" fontId="22" fillId="0" borderId="5" xfId="1557" applyBorder="1"/>
    <xf numFmtId="0" fontId="22" fillId="0" borderId="7" xfId="1557" applyBorder="1"/>
    <xf numFmtId="0" fontId="6" fillId="0" borderId="2" xfId="1557" applyFont="1" applyBorder="1" applyAlignment="1">
      <alignment vertical="top" wrapText="1"/>
    </xf>
    <xf numFmtId="165" fontId="22" fillId="0" borderId="4" xfId="1557" applyNumberFormat="1" applyBorder="1"/>
    <xf numFmtId="0" fontId="22" fillId="0" borderId="6" xfId="1557" applyBorder="1"/>
    <xf numFmtId="1" fontId="22" fillId="0" borderId="4" xfId="1557" applyNumberFormat="1" applyBorder="1"/>
    <xf numFmtId="0" fontId="33" fillId="0" borderId="8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33" fillId="0" borderId="25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33" fillId="0" borderId="8" xfId="0" applyFont="1" applyBorder="1" applyAlignment="1">
      <alignment horizontal="center" vertical="center"/>
    </xf>
    <xf numFmtId="0" fontId="33" fillId="0" borderId="30" xfId="0" applyFont="1" applyBorder="1" applyAlignment="1">
      <alignment horizontal="center" vertical="center" wrapText="1"/>
    </xf>
    <xf numFmtId="1" fontId="33" fillId="0" borderId="1" xfId="0" applyNumberFormat="1" applyFont="1" applyBorder="1" applyAlignment="1">
      <alignment horizontal="center" vertical="center" wrapText="1"/>
    </xf>
    <xf numFmtId="0" fontId="37" fillId="0" borderId="17" xfId="0" applyFont="1" applyBorder="1" applyAlignment="1">
      <alignment horizontal="center" vertical="center"/>
    </xf>
    <xf numFmtId="0" fontId="0" fillId="0" borderId="0" xfId="0"/>
    <xf numFmtId="0" fontId="0" fillId="0" borderId="2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" fontId="32" fillId="6" borderId="0" xfId="1" applyNumberFormat="1" applyFont="1" applyFill="1" applyBorder="1" applyAlignment="1" applyProtection="1">
      <alignment horizontal="center" vertical="center"/>
      <protection locked="0"/>
    </xf>
    <xf numFmtId="1" fontId="32" fillId="6" borderId="0" xfId="0" applyNumberFormat="1" applyFont="1" applyFill="1" applyBorder="1" applyAlignment="1" applyProtection="1">
      <alignment horizontal="center" vertical="center"/>
      <protection locked="0"/>
    </xf>
    <xf numFmtId="1" fontId="27" fillId="6" borderId="0" xfId="0" applyNumberFormat="1" applyFont="1" applyFill="1" applyBorder="1" applyAlignment="1" applyProtection="1">
      <alignment horizontal="center" vertical="center"/>
      <protection locked="0"/>
    </xf>
    <xf numFmtId="1" fontId="27" fillId="6" borderId="45" xfId="0" applyNumberFormat="1" applyFont="1" applyFill="1" applyBorder="1" applyAlignment="1" applyProtection="1">
      <alignment horizontal="center" vertical="center"/>
      <protection locked="0"/>
    </xf>
    <xf numFmtId="165" fontId="27" fillId="6" borderId="0" xfId="0" applyNumberFormat="1" applyFont="1" applyFill="1" applyBorder="1" applyAlignment="1" applyProtection="1">
      <alignment horizontal="center" vertical="center"/>
      <protection locked="0"/>
    </xf>
    <xf numFmtId="1" fontId="69" fillId="6" borderId="0" xfId="0" applyNumberFormat="1" applyFont="1" applyFill="1" applyBorder="1" applyAlignment="1" applyProtection="1">
      <alignment horizontal="center" vertical="center"/>
      <protection locked="0"/>
    </xf>
    <xf numFmtId="166" fontId="32" fillId="6" borderId="0" xfId="1" applyNumberFormat="1" applyFont="1" applyFill="1" applyBorder="1" applyAlignment="1" applyProtection="1">
      <alignment horizontal="center" vertical="center"/>
      <protection locked="0"/>
    </xf>
    <xf numFmtId="166" fontId="27" fillId="6" borderId="0" xfId="0" applyNumberFormat="1" applyFont="1" applyFill="1" applyBorder="1" applyAlignment="1" applyProtection="1">
      <alignment horizontal="center" vertical="center"/>
      <protection locked="0"/>
    </xf>
    <xf numFmtId="167" fontId="61" fillId="6" borderId="0" xfId="0" applyNumberFormat="1" applyFont="1" applyFill="1" applyBorder="1" applyAlignment="1" applyProtection="1">
      <alignment horizontal="center" vertical="center"/>
      <protection locked="0"/>
    </xf>
    <xf numFmtId="167" fontId="61" fillId="6" borderId="45" xfId="0" applyNumberFormat="1" applyFont="1" applyFill="1" applyBorder="1" applyAlignment="1" applyProtection="1">
      <alignment horizontal="center" vertical="center"/>
      <protection locked="0"/>
    </xf>
    <xf numFmtId="2" fontId="27" fillId="6" borderId="0" xfId="0" applyNumberFormat="1" applyFont="1" applyFill="1" applyBorder="1" applyAlignment="1" applyProtection="1">
      <alignment horizontal="center" vertical="center"/>
      <protection locked="0"/>
    </xf>
    <xf numFmtId="2" fontId="61" fillId="6" borderId="0" xfId="0" applyNumberFormat="1" applyFont="1" applyFill="1" applyBorder="1" applyAlignment="1" applyProtection="1">
      <alignment horizontal="center" vertical="center"/>
      <protection locked="0"/>
    </xf>
    <xf numFmtId="0" fontId="33" fillId="14" borderId="17" xfId="0" applyFont="1" applyFill="1" applyBorder="1"/>
    <xf numFmtId="0" fontId="33" fillId="14" borderId="16" xfId="0" applyFont="1" applyFill="1" applyBorder="1"/>
    <xf numFmtId="0" fontId="33" fillId="14" borderId="12" xfId="0" applyFont="1" applyFill="1" applyBorder="1"/>
    <xf numFmtId="0" fontId="33" fillId="14" borderId="18" xfId="0" applyFont="1" applyFill="1" applyBorder="1"/>
    <xf numFmtId="0" fontId="0" fillId="14" borderId="31" xfId="0" applyFill="1" applyBorder="1" applyAlignment="1">
      <alignment horizontal="center"/>
    </xf>
    <xf numFmtId="0" fontId="30" fillId="0" borderId="0" xfId="0" applyFont="1" applyAlignment="1">
      <alignment horizontal="left" vertical="top"/>
    </xf>
    <xf numFmtId="0" fontId="33" fillId="0" borderId="1" xfId="0" applyFont="1" applyBorder="1" applyAlignment="1">
      <alignment horizontal="center" vertical="center" wrapText="1"/>
    </xf>
    <xf numFmtId="0" fontId="33" fillId="0" borderId="53" xfId="0" applyFont="1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2" xfId="0" applyBorder="1"/>
    <xf numFmtId="0" fontId="0" fillId="0" borderId="10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26" fillId="9" borderId="22" xfId="0" applyFont="1" applyFill="1" applyBorder="1" applyAlignment="1">
      <alignment horizontal="center"/>
    </xf>
    <xf numFmtId="0" fontId="0" fillId="5" borderId="1" xfId="0" applyFill="1" applyBorder="1" applyAlignment="1">
      <alignment horizontal="center" vertical="center" wrapText="1"/>
    </xf>
    <xf numFmtId="0" fontId="30" fillId="5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/>
    <xf numFmtId="0" fontId="30" fillId="0" borderId="1" xfId="0" applyFont="1" applyBorder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0" fontId="0" fillId="0" borderId="0" xfId="0"/>
    <xf numFmtId="1" fontId="37" fillId="0" borderId="0" xfId="723" applyNumberFormat="1" applyFont="1" applyAlignment="1">
      <alignment horizontal="left" vertical="center"/>
    </xf>
    <xf numFmtId="0" fontId="30" fillId="18" borderId="0" xfId="0" applyFont="1" applyFill="1" applyAlignment="1">
      <alignment horizontal="center" vertical="top"/>
    </xf>
    <xf numFmtId="0" fontId="30" fillId="18" borderId="0" xfId="0" applyFont="1" applyFill="1" applyBorder="1" applyAlignment="1">
      <alignment horizontal="center" vertical="top"/>
    </xf>
    <xf numFmtId="0" fontId="30" fillId="18" borderId="5" xfId="0" applyFont="1" applyFill="1" applyBorder="1" applyAlignment="1">
      <alignment horizontal="center" vertical="top"/>
    </xf>
    <xf numFmtId="1" fontId="0" fillId="0" borderId="4" xfId="0" applyNumberFormat="1" applyBorder="1" applyAlignment="1">
      <alignment vertical="top"/>
    </xf>
    <xf numFmtId="0" fontId="0" fillId="0" borderId="0" xfId="0" applyBorder="1" applyAlignment="1">
      <alignment vertical="center"/>
    </xf>
    <xf numFmtId="2" fontId="0" fillId="0" borderId="0" xfId="0" applyNumberFormat="1" applyBorder="1" applyAlignment="1">
      <alignment horizontal="center" vertical="center" wrapText="1"/>
    </xf>
    <xf numFmtId="0" fontId="0" fillId="6" borderId="0" xfId="0" applyFill="1" applyBorder="1" applyAlignment="1">
      <alignment vertical="center"/>
    </xf>
    <xf numFmtId="2" fontId="0" fillId="0" borderId="0" xfId="0" applyNumberFormat="1" applyBorder="1" applyAlignment="1">
      <alignment horizontal="center"/>
    </xf>
    <xf numFmtId="0" fontId="0" fillId="0" borderId="0" xfId="0" applyFill="1" applyBorder="1"/>
    <xf numFmtId="2" fontId="30" fillId="4" borderId="0" xfId="0" applyNumberFormat="1" applyFont="1" applyFill="1"/>
    <xf numFmtId="0" fontId="0" fillId="0" borderId="0" xfId="0"/>
    <xf numFmtId="1" fontId="0" fillId="6" borderId="0" xfId="0" applyNumberFormat="1" applyFill="1" applyAlignment="1" applyProtection="1">
      <alignment horizontal="center" vertical="center" wrapText="1"/>
      <protection locked="0"/>
    </xf>
    <xf numFmtId="1" fontId="82" fillId="0" borderId="21" xfId="0" applyNumberFormat="1" applyFont="1" applyBorder="1" applyAlignment="1">
      <alignment horizontal="center" vertical="center" wrapText="1"/>
    </xf>
    <xf numFmtId="1" fontId="0" fillId="6" borderId="0" xfId="0" applyNumberFormat="1" applyFill="1" applyAlignment="1">
      <alignment horizontal="center" vertical="center"/>
    </xf>
    <xf numFmtId="0" fontId="0" fillId="6" borderId="1" xfId="0" applyFill="1" applyBorder="1" applyAlignment="1">
      <alignment wrapText="1"/>
    </xf>
    <xf numFmtId="0" fontId="0" fillId="30" borderId="1" xfId="0" applyFill="1" applyBorder="1"/>
    <xf numFmtId="1" fontId="0" fillId="6" borderId="28" xfId="0" applyNumberFormat="1" applyFill="1" applyBorder="1" applyAlignment="1" applyProtection="1">
      <alignment horizontal="center" vertical="center"/>
      <protection locked="0"/>
    </xf>
    <xf numFmtId="0" fontId="33" fillId="0" borderId="40" xfId="0" applyFont="1" applyBorder="1" applyAlignment="1" applyProtection="1">
      <alignment horizontal="center" vertical="center" wrapText="1"/>
    </xf>
    <xf numFmtId="0" fontId="0" fillId="0" borderId="0" xfId="0"/>
    <xf numFmtId="0" fontId="33" fillId="0" borderId="8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/>
    <xf numFmtId="0" fontId="39" fillId="6" borderId="25" xfId="0" applyFont="1" applyFill="1" applyBorder="1" applyAlignment="1">
      <alignment horizontal="center" vertical="center" wrapText="1"/>
    </xf>
    <xf numFmtId="0" fontId="5" fillId="0" borderId="0" xfId="0" applyFont="1"/>
    <xf numFmtId="0" fontId="0" fillId="18" borderId="0" xfId="0" applyFill="1" applyAlignment="1">
      <alignment horizontal="center" vertical="top" wrapText="1"/>
    </xf>
    <xf numFmtId="0" fontId="0" fillId="18" borderId="5" xfId="0" applyFill="1" applyBorder="1" applyAlignment="1">
      <alignment horizontal="center" vertical="top" wrapText="1"/>
    </xf>
    <xf numFmtId="0" fontId="33" fillId="0" borderId="2" xfId="0" applyFont="1" applyFill="1" applyBorder="1"/>
    <xf numFmtId="0" fontId="33" fillId="0" borderId="3" xfId="0" applyFont="1" applyFill="1" applyBorder="1"/>
    <xf numFmtId="0" fontId="33" fillId="0" borderId="4" xfId="0" applyFont="1" applyFill="1" applyBorder="1"/>
    <xf numFmtId="0" fontId="33" fillId="0" borderId="5" xfId="0" applyFont="1" applyFill="1" applyBorder="1"/>
    <xf numFmtId="0" fontId="33" fillId="0" borderId="6" xfId="0" applyFont="1" applyFill="1" applyBorder="1"/>
    <xf numFmtId="0" fontId="33" fillId="0" borderId="7" xfId="0" applyFont="1" applyFill="1" applyBorder="1"/>
    <xf numFmtId="0" fontId="4" fillId="0" borderId="0" xfId="1557" applyFont="1"/>
    <xf numFmtId="0" fontId="4" fillId="0" borderId="0" xfId="1557" applyFont="1" applyAlignment="1">
      <alignment horizontal="center" vertical="center"/>
    </xf>
    <xf numFmtId="0" fontId="33" fillId="14" borderId="71" xfId="0" applyFont="1" applyFill="1" applyBorder="1"/>
    <xf numFmtId="0" fontId="0" fillId="0" borderId="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3" fillId="0" borderId="0" xfId="1557" applyFont="1"/>
    <xf numFmtId="0" fontId="0" fillId="0" borderId="29" xfId="0" applyBorder="1"/>
    <xf numFmtId="0" fontId="0" fillId="0" borderId="33" xfId="0" applyBorder="1" applyAlignment="1">
      <alignment horizontal="center" vertical="center"/>
    </xf>
    <xf numFmtId="0" fontId="0" fillId="0" borderId="78" xfId="0" applyBorder="1" applyAlignment="1">
      <alignment horizontal="center" vertical="center" wrapText="1"/>
    </xf>
    <xf numFmtId="0" fontId="33" fillId="0" borderId="36" xfId="1" applyFont="1" applyFill="1" applyBorder="1" applyAlignment="1">
      <alignment horizontal="center" vertical="center" wrapText="1"/>
    </xf>
    <xf numFmtId="0" fontId="0" fillId="14" borderId="81" xfId="0" applyFill="1" applyBorder="1" applyAlignment="1" applyProtection="1">
      <alignment horizontal="center" vertical="center"/>
      <protection locked="0"/>
    </xf>
    <xf numFmtId="167" fontId="112" fillId="31" borderId="1" xfId="6" applyNumberFormat="1" applyFont="1" applyFill="1" applyBorder="1" applyAlignment="1" applyProtection="1">
      <alignment horizontal="left" vertical="center"/>
      <protection locked="0"/>
    </xf>
    <xf numFmtId="2" fontId="112" fillId="31" borderId="1" xfId="6" applyNumberFormat="1" applyFont="1" applyFill="1" applyBorder="1" applyAlignment="1" applyProtection="1">
      <alignment horizontal="center" vertical="center"/>
      <protection locked="0"/>
    </xf>
    <xf numFmtId="2" fontId="112" fillId="31" borderId="1" xfId="0" applyNumberFormat="1" applyFont="1" applyFill="1" applyBorder="1" applyAlignment="1" applyProtection="1">
      <alignment horizontal="center" vertical="center" wrapText="1"/>
      <protection locked="0"/>
    </xf>
    <xf numFmtId="2" fontId="112" fillId="31" borderId="1" xfId="0" applyNumberFormat="1" applyFont="1" applyFill="1" applyBorder="1" applyAlignment="1" applyProtection="1">
      <alignment horizontal="center" vertical="center"/>
      <protection locked="0"/>
    </xf>
    <xf numFmtId="167" fontId="112" fillId="31" borderId="1" xfId="0" applyNumberFormat="1" applyFont="1" applyFill="1" applyBorder="1" applyAlignment="1" applyProtection="1">
      <alignment horizontal="left" vertical="center"/>
      <protection locked="0"/>
    </xf>
    <xf numFmtId="2" fontId="113" fillId="31" borderId="1" xfId="0" applyNumberFormat="1" applyFont="1" applyFill="1" applyBorder="1" applyAlignment="1" applyProtection="1">
      <alignment horizontal="center" vertical="center"/>
      <protection locked="0"/>
    </xf>
    <xf numFmtId="2" fontId="112" fillId="31" borderId="1" xfId="1555" applyNumberFormat="1" applyFont="1" applyFill="1" applyBorder="1" applyAlignment="1" applyProtection="1">
      <alignment horizontal="center" vertical="center"/>
      <protection locked="0"/>
    </xf>
    <xf numFmtId="0" fontId="112" fillId="31" borderId="1" xfId="0" applyFont="1" applyFill="1" applyBorder="1" applyAlignment="1" applyProtection="1">
      <alignment horizontal="left" vertical="center"/>
      <protection locked="0"/>
    </xf>
    <xf numFmtId="2" fontId="113" fillId="31" borderId="12" xfId="0" applyNumberFormat="1" applyFont="1" applyFill="1" applyBorder="1" applyAlignment="1" applyProtection="1">
      <alignment horizontal="center" vertical="center"/>
      <protection locked="0"/>
    </xf>
    <xf numFmtId="2" fontId="113" fillId="31" borderId="18" xfId="0" applyNumberFormat="1" applyFont="1" applyFill="1" applyBorder="1" applyAlignment="1" applyProtection="1">
      <alignment horizontal="center" vertical="center"/>
      <protection locked="0"/>
    </xf>
    <xf numFmtId="2" fontId="112" fillId="31" borderId="1" xfId="0" applyNumberFormat="1" applyFont="1" applyFill="1" applyBorder="1" applyAlignment="1" applyProtection="1">
      <alignment horizontal="left" vertical="center"/>
      <protection locked="0"/>
    </xf>
    <xf numFmtId="2" fontId="112" fillId="31" borderId="1" xfId="6" applyNumberFormat="1" applyFont="1" applyFill="1" applyBorder="1" applyAlignment="1" applyProtection="1">
      <alignment horizontal="left" vertical="center"/>
      <protection locked="0"/>
    </xf>
    <xf numFmtId="2" fontId="113" fillId="31" borderId="0" xfId="0" applyNumberFormat="1" applyFont="1" applyFill="1" applyBorder="1" applyAlignment="1" applyProtection="1">
      <alignment horizontal="center" vertical="center" wrapText="1"/>
      <protection locked="0"/>
    </xf>
    <xf numFmtId="2" fontId="113" fillId="31" borderId="1" xfId="0" applyNumberFormat="1" applyFont="1" applyFill="1" applyBorder="1" applyAlignment="1" applyProtection="1">
      <alignment horizontal="center" vertical="center" wrapText="1"/>
      <protection locked="0"/>
    </xf>
    <xf numFmtId="2" fontId="111" fillId="31" borderId="1" xfId="0" applyNumberFormat="1" applyFont="1" applyFill="1" applyBorder="1" applyAlignment="1" applyProtection="1">
      <alignment horizontal="center" vertical="center"/>
      <protection locked="0"/>
    </xf>
    <xf numFmtId="0" fontId="107" fillId="31" borderId="1" xfId="0" applyFont="1" applyFill="1" applyBorder="1"/>
    <xf numFmtId="166" fontId="113" fillId="31" borderId="1" xfId="0" applyNumberFormat="1" applyFont="1" applyFill="1" applyBorder="1" applyAlignment="1" applyProtection="1">
      <alignment vertical="center" wrapText="1"/>
      <protection locked="0"/>
    </xf>
    <xf numFmtId="166" fontId="112" fillId="31" borderId="1" xfId="0" applyNumberFormat="1" applyFont="1" applyFill="1" applyBorder="1" applyAlignment="1" applyProtection="1">
      <alignment vertical="center"/>
      <protection locked="0"/>
    </xf>
    <xf numFmtId="0" fontId="112" fillId="31" borderId="1" xfId="0" applyFont="1" applyFill="1" applyBorder="1" applyAlignment="1" applyProtection="1">
      <alignment horizontal="center" vertical="center"/>
      <protection locked="0"/>
    </xf>
    <xf numFmtId="0" fontId="112" fillId="31" borderId="1" xfId="0" applyFont="1" applyFill="1" applyBorder="1" applyAlignment="1" applyProtection="1">
      <alignment horizontal="center" vertical="center" wrapText="1"/>
      <protection locked="0"/>
    </xf>
    <xf numFmtId="166" fontId="113" fillId="31" borderId="1" xfId="0" applyNumberFormat="1" applyFont="1" applyFill="1" applyBorder="1" applyAlignment="1" applyProtection="1">
      <alignment horizontal="center" vertical="center" wrapText="1"/>
      <protection locked="0"/>
    </xf>
    <xf numFmtId="166" fontId="112" fillId="31" borderId="1" xfId="0" applyNumberFormat="1" applyFont="1" applyFill="1" applyBorder="1" applyAlignment="1" applyProtection="1">
      <alignment horizontal="center" vertical="center"/>
      <protection locked="0"/>
    </xf>
    <xf numFmtId="1" fontId="112" fillId="31" borderId="1" xfId="0" applyNumberFormat="1" applyFont="1" applyFill="1" applyBorder="1" applyAlignment="1" applyProtection="1">
      <alignment horizontal="left" vertical="center"/>
      <protection locked="0"/>
    </xf>
    <xf numFmtId="2" fontId="33" fillId="6" borderId="1" xfId="0" applyNumberFormat="1" applyFont="1" applyFill="1" applyBorder="1" applyAlignment="1" applyProtection="1">
      <alignment horizontal="center" wrapText="1"/>
    </xf>
    <xf numFmtId="2" fontId="0" fillId="0" borderId="1" xfId="0" applyNumberFormat="1" applyBorder="1" applyAlignment="1" applyProtection="1">
      <alignment horizontal="center" vertical="center"/>
    </xf>
    <xf numFmtId="2" fontId="33" fillId="0" borderId="12" xfId="0" applyNumberFormat="1" applyFont="1" applyBorder="1" applyProtection="1"/>
    <xf numFmtId="2" fontId="33" fillId="0" borderId="12" xfId="0" applyNumberFormat="1" applyFont="1" applyFill="1" applyBorder="1" applyProtection="1"/>
    <xf numFmtId="0" fontId="33" fillId="0" borderId="12" xfId="0" applyFont="1" applyBorder="1" applyProtection="1">
      <protection locked="0"/>
    </xf>
    <xf numFmtId="2" fontId="33" fillId="0" borderId="1" xfId="0" applyNumberFormat="1" applyFont="1" applyFill="1" applyBorder="1" applyProtection="1"/>
    <xf numFmtId="0" fontId="33" fillId="0" borderId="1" xfId="0" applyFont="1" applyFill="1" applyBorder="1" applyProtection="1">
      <protection locked="0"/>
    </xf>
    <xf numFmtId="0" fontId="33" fillId="0" borderId="1" xfId="0" applyFont="1" applyBorder="1" applyProtection="1">
      <protection locked="0"/>
    </xf>
    <xf numFmtId="2" fontId="33" fillId="0" borderId="1" xfId="0" applyNumberFormat="1" applyFont="1" applyBorder="1" applyProtection="1"/>
    <xf numFmtId="0" fontId="0" fillId="0" borderId="1" xfId="0" applyBorder="1" applyProtection="1">
      <protection locked="0"/>
    </xf>
    <xf numFmtId="0" fontId="0" fillId="14" borderId="80" xfId="0" applyFill="1" applyBorder="1" applyAlignment="1" applyProtection="1">
      <alignment horizontal="center"/>
      <protection locked="0"/>
    </xf>
    <xf numFmtId="0" fontId="0" fillId="14" borderId="31" xfId="0" applyFill="1" applyBorder="1" applyAlignment="1" applyProtection="1">
      <alignment horizontal="center"/>
      <protection locked="0"/>
    </xf>
    <xf numFmtId="2" fontId="0" fillId="14" borderId="8" xfId="0" applyNumberFormat="1" applyFill="1" applyBorder="1" applyAlignment="1" applyProtection="1">
      <alignment horizontal="center" vertical="center"/>
      <protection locked="0"/>
    </xf>
    <xf numFmtId="2" fontId="0" fillId="14" borderId="82" xfId="0" applyNumberFormat="1" applyFill="1" applyBorder="1" applyAlignment="1" applyProtection="1">
      <alignment horizontal="center" vertical="center"/>
      <protection locked="0"/>
    </xf>
    <xf numFmtId="2" fontId="0" fillId="14" borderId="37" xfId="0" applyNumberFormat="1" applyFill="1" applyBorder="1" applyAlignment="1" applyProtection="1">
      <alignment horizontal="center" vertical="center"/>
      <protection locked="0"/>
    </xf>
    <xf numFmtId="2" fontId="0" fillId="14" borderId="68" xfId="0" applyNumberFormat="1" applyFill="1" applyBorder="1" applyAlignment="1" applyProtection="1">
      <alignment horizontal="center" vertical="center"/>
      <protection locked="0"/>
    </xf>
    <xf numFmtId="1" fontId="33" fillId="14" borderId="1" xfId="0" applyNumberFormat="1" applyFont="1" applyFill="1" applyBorder="1" applyAlignment="1" applyProtection="1">
      <alignment horizontal="center" vertical="center"/>
      <protection locked="0"/>
    </xf>
    <xf numFmtId="49" fontId="2" fillId="14" borderId="19" xfId="0" applyNumberFormat="1" applyFont="1" applyFill="1" applyBorder="1" applyAlignment="1" applyProtection="1">
      <alignment horizontal="center" vertical="center"/>
      <protection locked="0"/>
    </xf>
    <xf numFmtId="2" fontId="0" fillId="5" borderId="0" xfId="0" applyNumberFormat="1" applyFill="1"/>
    <xf numFmtId="1" fontId="0" fillId="4" borderId="0" xfId="0" applyNumberFormat="1" applyFill="1"/>
    <xf numFmtId="1" fontId="0" fillId="14" borderId="78" xfId="0" applyNumberFormat="1" applyFill="1" applyBorder="1" applyAlignment="1" applyProtection="1">
      <alignment horizontal="center" vertical="center" wrapText="1"/>
    </xf>
    <xf numFmtId="10" fontId="96" fillId="6" borderId="0" xfId="0" applyNumberFormat="1" applyFont="1" applyFill="1" applyAlignment="1" applyProtection="1">
      <alignment horizontal="center" vertical="center"/>
    </xf>
    <xf numFmtId="0" fontId="0" fillId="6" borderId="70" xfId="0" applyFill="1" applyBorder="1" applyAlignment="1" applyProtection="1">
      <alignment horizontal="center" vertical="center"/>
    </xf>
    <xf numFmtId="0" fontId="0" fillId="6" borderId="0" xfId="0" applyFill="1" applyAlignment="1" applyProtection="1">
      <alignment horizontal="center" vertical="center"/>
    </xf>
    <xf numFmtId="0" fontId="0" fillId="0" borderId="0" xfId="0" applyAlignment="1" applyProtection="1">
      <alignment horizontal="center" vertical="center" wrapText="1"/>
    </xf>
    <xf numFmtId="0" fontId="75" fillId="6" borderId="12" xfId="0" applyFont="1" applyFill="1" applyBorder="1" applyProtection="1">
      <protection locked="0"/>
    </xf>
    <xf numFmtId="0" fontId="75" fillId="0" borderId="1" xfId="0" applyFont="1" applyBorder="1" applyProtection="1">
      <protection locked="0"/>
    </xf>
    <xf numFmtId="0" fontId="33" fillId="0" borderId="1" xfId="0" applyFont="1" applyFill="1" applyBorder="1"/>
    <xf numFmtId="2" fontId="33" fillId="14" borderId="1" xfId="6" applyNumberFormat="1" applyFont="1" applyFill="1" applyBorder="1" applyAlignment="1" applyProtection="1">
      <alignment horizontal="center" vertical="center"/>
      <protection locked="0"/>
    </xf>
    <xf numFmtId="1" fontId="33" fillId="14" borderId="1" xfId="0" applyNumberFormat="1" applyFont="1" applyFill="1" applyBorder="1" applyAlignment="1" applyProtection="1">
      <alignment horizontal="center" vertical="center"/>
    </xf>
    <xf numFmtId="1" fontId="33" fillId="14" borderId="30" xfId="0" applyNumberFormat="1" applyFont="1" applyFill="1" applyBorder="1" applyAlignment="1" applyProtection="1">
      <alignment horizontal="center" vertical="center"/>
    </xf>
    <xf numFmtId="1" fontId="51" fillId="4" borderId="1" xfId="0" applyNumberFormat="1" applyFont="1" applyFill="1" applyBorder="1" applyAlignment="1">
      <alignment horizontal="center"/>
    </xf>
    <xf numFmtId="1" fontId="51" fillId="32" borderId="1" xfId="0" applyNumberFormat="1" applyFont="1" applyFill="1" applyBorder="1" applyAlignment="1">
      <alignment horizontal="center"/>
    </xf>
    <xf numFmtId="0" fontId="0" fillId="0" borderId="24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19" fillId="0" borderId="71" xfId="0" applyFont="1" applyBorder="1" applyAlignment="1">
      <alignment horizontal="center" vertical="center" wrapText="1"/>
    </xf>
    <xf numFmtId="0" fontId="19" fillId="0" borderId="66" xfId="0" applyFont="1" applyBorder="1" applyAlignment="1">
      <alignment horizontal="center" vertical="center" wrapText="1"/>
    </xf>
    <xf numFmtId="0" fontId="8" fillId="0" borderId="35" xfId="0" applyFont="1" applyBorder="1" applyAlignment="1">
      <alignment horizontal="center" vertical="center" wrapText="1"/>
    </xf>
    <xf numFmtId="0" fontId="19" fillId="0" borderId="36" xfId="0" applyFont="1" applyBorder="1" applyAlignment="1">
      <alignment horizontal="center" vertical="center" wrapText="1"/>
    </xf>
    <xf numFmtId="0" fontId="19" fillId="0" borderId="37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48" fillId="0" borderId="2" xfId="0" applyFont="1" applyBorder="1" applyAlignment="1">
      <alignment horizontal="center" vertical="center" wrapText="1"/>
    </xf>
    <xf numFmtId="0" fontId="48" fillId="0" borderId="4" xfId="0" applyFont="1" applyBorder="1" applyAlignment="1">
      <alignment horizontal="center" vertical="center" wrapText="1"/>
    </xf>
    <xf numFmtId="0" fontId="19" fillId="6" borderId="72" xfId="0" applyFont="1" applyFill="1" applyBorder="1" applyAlignment="1">
      <alignment horizontal="center" vertical="center"/>
    </xf>
    <xf numFmtId="0" fontId="19" fillId="6" borderId="4" xfId="0" applyFont="1" applyFill="1" applyBorder="1" applyAlignment="1">
      <alignment horizontal="center" vertical="center"/>
    </xf>
    <xf numFmtId="0" fontId="0" fillId="6" borderId="24" xfId="0" applyFill="1" applyBorder="1" applyAlignment="1">
      <alignment horizontal="center" vertical="center" wrapText="1"/>
    </xf>
    <xf numFmtId="0" fontId="0" fillId="6" borderId="27" xfId="0" applyFill="1" applyBorder="1" applyAlignment="1">
      <alignment horizontal="center" vertical="center" wrapText="1"/>
    </xf>
    <xf numFmtId="0" fontId="0" fillId="6" borderId="29" xfId="0" applyFill="1" applyBorder="1" applyAlignment="1">
      <alignment horizontal="center" vertical="center" wrapText="1"/>
    </xf>
    <xf numFmtId="0" fontId="19" fillId="6" borderId="24" xfId="0" applyFont="1" applyFill="1" applyBorder="1" applyAlignment="1">
      <alignment horizontal="center" vertical="center" wrapText="1"/>
    </xf>
    <xf numFmtId="0" fontId="19" fillId="6" borderId="27" xfId="0" applyFont="1" applyFill="1" applyBorder="1" applyAlignment="1">
      <alignment horizontal="center" vertical="center" wrapText="1"/>
    </xf>
    <xf numFmtId="0" fontId="19" fillId="6" borderId="29" xfId="0" applyFont="1" applyFill="1" applyBorder="1" applyAlignment="1">
      <alignment horizontal="center" vertical="center" wrapText="1"/>
    </xf>
    <xf numFmtId="0" fontId="30" fillId="5" borderId="2" xfId="0" applyFont="1" applyFill="1" applyBorder="1" applyAlignment="1">
      <alignment horizontal="left" vertical="top"/>
    </xf>
    <xf numFmtId="0" fontId="30" fillId="5" borderId="50" xfId="0" applyFont="1" applyFill="1" applyBorder="1" applyAlignment="1">
      <alignment horizontal="left" vertical="top"/>
    </xf>
    <xf numFmtId="0" fontId="30" fillId="5" borderId="3" xfId="0" applyFont="1" applyFill="1" applyBorder="1" applyAlignment="1">
      <alignment horizontal="left" vertical="top"/>
    </xf>
    <xf numFmtId="0" fontId="30" fillId="0" borderId="0" xfId="0" applyFont="1" applyAlignment="1">
      <alignment horizontal="left" vertical="top"/>
    </xf>
    <xf numFmtId="0" fontId="33" fillId="6" borderId="2" xfId="0" applyFont="1" applyFill="1" applyBorder="1" applyAlignment="1">
      <alignment horizontal="center" vertical="center"/>
    </xf>
    <xf numFmtId="0" fontId="33" fillId="6" borderId="50" xfId="0" applyFont="1" applyFill="1" applyBorder="1" applyAlignment="1">
      <alignment horizontal="center" vertical="center"/>
    </xf>
    <xf numFmtId="0" fontId="14" fillId="0" borderId="35" xfId="0" applyFont="1" applyBorder="1" applyAlignment="1">
      <alignment horizontal="center" vertical="center"/>
    </xf>
    <xf numFmtId="0" fontId="14" fillId="0" borderId="36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0" fontId="33" fillId="0" borderId="43" xfId="0" applyFont="1" applyBorder="1" applyAlignment="1">
      <alignment horizontal="center" vertical="center" wrapText="1"/>
    </xf>
    <xf numFmtId="0" fontId="33" fillId="0" borderId="15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44" xfId="0" applyFont="1" applyBorder="1" applyAlignment="1">
      <alignment horizontal="center" vertical="center" wrapText="1"/>
    </xf>
    <xf numFmtId="0" fontId="33" fillId="0" borderId="7" xfId="0" applyFont="1" applyBorder="1" applyAlignment="1">
      <alignment horizontal="center" vertical="center" wrapText="1"/>
    </xf>
    <xf numFmtId="0" fontId="33" fillId="0" borderId="49" xfId="0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 wrapText="1"/>
    </xf>
    <xf numFmtId="0" fontId="33" fillId="0" borderId="19" xfId="0" applyFont="1" applyBorder="1" applyAlignment="1">
      <alignment horizontal="center" vertical="center" wrapText="1"/>
    </xf>
    <xf numFmtId="0" fontId="33" fillId="0" borderId="22" xfId="0" applyFont="1" applyBorder="1" applyAlignment="1">
      <alignment horizontal="center" vertical="center" wrapText="1"/>
    </xf>
    <xf numFmtId="0" fontId="33" fillId="0" borderId="21" xfId="0" applyFont="1" applyBorder="1" applyAlignment="1">
      <alignment horizontal="center" vertical="center" wrapText="1"/>
    </xf>
    <xf numFmtId="0" fontId="33" fillId="0" borderId="8" xfId="0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 wrapText="1"/>
    </xf>
    <xf numFmtId="0" fontId="33" fillId="0" borderId="17" xfId="0" applyFont="1" applyBorder="1" applyAlignment="1">
      <alignment horizontal="center" vertical="center" wrapText="1"/>
    </xf>
    <xf numFmtId="0" fontId="33" fillId="0" borderId="33" xfId="0" applyFont="1" applyBorder="1" applyAlignment="1">
      <alignment horizontal="center" vertical="center" wrapText="1"/>
    </xf>
    <xf numFmtId="0" fontId="37" fillId="0" borderId="24" xfId="0" applyFont="1" applyBorder="1" applyAlignment="1">
      <alignment horizontal="center" vertical="center" wrapText="1"/>
    </xf>
    <xf numFmtId="0" fontId="37" fillId="0" borderId="27" xfId="0" applyFont="1" applyBorder="1" applyAlignment="1">
      <alignment horizontal="center" vertical="center" wrapText="1"/>
    </xf>
    <xf numFmtId="0" fontId="37" fillId="0" borderId="29" xfId="0" applyFont="1" applyBorder="1" applyAlignment="1">
      <alignment horizontal="center" vertical="center" wrapText="1"/>
    </xf>
    <xf numFmtId="0" fontId="33" fillId="0" borderId="58" xfId="0" applyFont="1" applyBorder="1" applyAlignment="1">
      <alignment horizontal="center" vertical="center"/>
    </xf>
    <xf numFmtId="0" fontId="33" fillId="0" borderId="38" xfId="0" applyFont="1" applyBorder="1" applyAlignment="1">
      <alignment horizontal="center" vertical="center"/>
    </xf>
    <xf numFmtId="0" fontId="33" fillId="0" borderId="61" xfId="0" applyFont="1" applyBorder="1" applyAlignment="1">
      <alignment horizontal="center" vertical="center"/>
    </xf>
    <xf numFmtId="0" fontId="33" fillId="0" borderId="53" xfId="0" applyFont="1" applyBorder="1" applyAlignment="1">
      <alignment horizontal="center" vertical="center"/>
    </xf>
    <xf numFmtId="0" fontId="33" fillId="0" borderId="48" xfId="0" applyFont="1" applyBorder="1" applyAlignment="1">
      <alignment horizontal="center" vertical="center" wrapText="1"/>
    </xf>
    <xf numFmtId="0" fontId="33" fillId="0" borderId="54" xfId="0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 wrapText="1"/>
    </xf>
    <xf numFmtId="0" fontId="33" fillId="0" borderId="51" xfId="0" applyFont="1" applyBorder="1" applyAlignment="1">
      <alignment horizontal="center" vertical="center" wrapText="1"/>
    </xf>
    <xf numFmtId="0" fontId="33" fillId="0" borderId="60" xfId="0" applyFont="1" applyBorder="1" applyAlignment="1">
      <alignment horizontal="center" vertical="center" wrapText="1"/>
    </xf>
    <xf numFmtId="2" fontId="33" fillId="0" borderId="19" xfId="0" applyNumberFormat="1" applyFont="1" applyBorder="1" applyAlignment="1">
      <alignment horizontal="center"/>
    </xf>
    <xf numFmtId="2" fontId="33" fillId="0" borderId="22" xfId="0" applyNumberFormat="1" applyFont="1" applyBorder="1" applyAlignment="1">
      <alignment horizontal="center"/>
    </xf>
    <xf numFmtId="2" fontId="33" fillId="0" borderId="21" xfId="0" applyNumberFormat="1" applyFont="1" applyBorder="1" applyAlignment="1">
      <alignment horizontal="center"/>
    </xf>
    <xf numFmtId="2" fontId="33" fillId="0" borderId="19" xfId="0" applyNumberFormat="1" applyFont="1" applyBorder="1" applyAlignment="1">
      <alignment horizontal="center" vertical="center" wrapText="1"/>
    </xf>
    <xf numFmtId="2" fontId="33" fillId="0" borderId="22" xfId="0" applyNumberFormat="1" applyFont="1" applyBorder="1" applyAlignment="1">
      <alignment horizontal="center" vertical="center" wrapText="1"/>
    </xf>
    <xf numFmtId="2" fontId="33" fillId="0" borderId="21" xfId="0" applyNumberFormat="1" applyFont="1" applyBorder="1" applyAlignment="1">
      <alignment horizontal="center" vertical="center" wrapText="1"/>
    </xf>
    <xf numFmtId="2" fontId="33" fillId="0" borderId="1" xfId="0" applyNumberFormat="1" applyFont="1" applyBorder="1" applyAlignment="1">
      <alignment horizontal="center" wrapText="1"/>
    </xf>
    <xf numFmtId="2" fontId="33" fillId="0" borderId="1" xfId="0" applyNumberFormat="1" applyFont="1" applyBorder="1" applyAlignment="1">
      <alignment horizontal="center"/>
    </xf>
    <xf numFmtId="2" fontId="33" fillId="0" borderId="19" xfId="0" applyNumberFormat="1" applyFont="1" applyBorder="1" applyAlignment="1">
      <alignment horizontal="center" vertical="center"/>
    </xf>
    <xf numFmtId="2" fontId="33" fillId="0" borderId="22" xfId="0" applyNumberFormat="1" applyFont="1" applyBorder="1" applyAlignment="1">
      <alignment horizontal="center" vertical="center"/>
    </xf>
    <xf numFmtId="2" fontId="33" fillId="0" borderId="21" xfId="0" applyNumberFormat="1" applyFont="1" applyBorder="1" applyAlignment="1">
      <alignment horizontal="center" vertical="center"/>
    </xf>
    <xf numFmtId="0" fontId="64" fillId="0" borderId="8" xfId="0" applyFont="1" applyBorder="1" applyAlignment="1">
      <alignment horizontal="center" vertical="center" wrapText="1"/>
    </xf>
    <xf numFmtId="0" fontId="64" fillId="0" borderId="17" xfId="0" applyFont="1" applyBorder="1" applyAlignment="1">
      <alignment horizontal="center" vertical="center" wrapText="1"/>
    </xf>
    <xf numFmtId="0" fontId="64" fillId="0" borderId="12" xfId="0" applyFont="1" applyBorder="1" applyAlignment="1">
      <alignment horizontal="center" vertical="center" wrapText="1"/>
    </xf>
    <xf numFmtId="0" fontId="33" fillId="0" borderId="32" xfId="0" applyFont="1" applyBorder="1" applyAlignment="1">
      <alignment horizontal="center" vertical="center" wrapText="1"/>
    </xf>
    <xf numFmtId="0" fontId="33" fillId="0" borderId="25" xfId="0" applyFont="1" applyBorder="1" applyAlignment="1">
      <alignment horizontal="center" vertical="center"/>
    </xf>
    <xf numFmtId="0" fontId="37" fillId="0" borderId="35" xfId="0" applyFont="1" applyBorder="1" applyAlignment="1">
      <alignment horizontal="center" vertical="center" wrapText="1"/>
    </xf>
    <xf numFmtId="0" fontId="37" fillId="0" borderId="37" xfId="0" applyFont="1" applyBorder="1" applyAlignment="1">
      <alignment horizontal="center" vertical="center" wrapText="1"/>
    </xf>
    <xf numFmtId="0" fontId="37" fillId="0" borderId="35" xfId="0" applyFont="1" applyBorder="1" applyAlignment="1">
      <alignment horizontal="center" vertical="center"/>
    </xf>
    <xf numFmtId="0" fontId="37" fillId="0" borderId="36" xfId="0" applyFont="1" applyBorder="1" applyAlignment="1">
      <alignment horizontal="center" vertical="center"/>
    </xf>
    <xf numFmtId="0" fontId="37" fillId="0" borderId="39" xfId="0" applyFont="1" applyBorder="1" applyAlignment="1">
      <alignment horizontal="center" vertical="center"/>
    </xf>
    <xf numFmtId="0" fontId="33" fillId="0" borderId="8" xfId="0" applyFont="1" applyBorder="1" applyAlignment="1">
      <alignment horizontal="center" vertical="center"/>
    </xf>
    <xf numFmtId="0" fontId="33" fillId="0" borderId="17" xfId="0" applyFont="1" applyBorder="1" applyAlignment="1">
      <alignment horizontal="center" vertical="center"/>
    </xf>
    <xf numFmtId="0" fontId="33" fillId="0" borderId="12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top" wrapText="1"/>
    </xf>
    <xf numFmtId="0" fontId="33" fillId="0" borderId="19" xfId="0" applyFont="1" applyBorder="1" applyAlignment="1">
      <alignment horizontal="center" vertical="center"/>
    </xf>
    <xf numFmtId="0" fontId="33" fillId="0" borderId="22" xfId="0" applyFont="1" applyBorder="1" applyAlignment="1">
      <alignment horizontal="center" vertical="center"/>
    </xf>
    <xf numFmtId="0" fontId="37" fillId="0" borderId="37" xfId="0" applyFont="1" applyBorder="1" applyAlignment="1">
      <alignment horizontal="center" vertical="center"/>
    </xf>
    <xf numFmtId="0" fontId="33" fillId="0" borderId="30" xfId="0" applyFont="1" applyBorder="1" applyAlignment="1">
      <alignment horizontal="center" vertical="center" wrapText="1"/>
    </xf>
    <xf numFmtId="0" fontId="33" fillId="0" borderId="40" xfId="0" applyFont="1" applyBorder="1" applyAlignment="1">
      <alignment horizontal="center" vertical="center" wrapText="1"/>
    </xf>
    <xf numFmtId="0" fontId="33" fillId="0" borderId="21" xfId="0" applyFont="1" applyBorder="1" applyAlignment="1">
      <alignment horizontal="center" vertical="center"/>
    </xf>
    <xf numFmtId="0" fontId="53" fillId="0" borderId="8" xfId="0" applyFont="1" applyBorder="1" applyAlignment="1">
      <alignment horizontal="center" vertical="center" wrapText="1"/>
    </xf>
    <xf numFmtId="0" fontId="53" fillId="0" borderId="17" xfId="0" applyFont="1" applyBorder="1" applyAlignment="1">
      <alignment horizontal="center" vertical="center" wrapText="1"/>
    </xf>
    <xf numFmtId="0" fontId="53" fillId="0" borderId="12" xfId="0" applyFont="1" applyBorder="1" applyAlignment="1">
      <alignment horizontal="center" vertical="center" wrapText="1"/>
    </xf>
    <xf numFmtId="0" fontId="37" fillId="0" borderId="19" xfId="0" applyFont="1" applyBorder="1" applyAlignment="1">
      <alignment horizontal="center" vertical="center" wrapText="1"/>
    </xf>
    <xf numFmtId="0" fontId="37" fillId="0" borderId="22" xfId="0" applyFont="1" applyBorder="1" applyAlignment="1">
      <alignment horizontal="center" vertical="center" wrapText="1"/>
    </xf>
    <xf numFmtId="0" fontId="37" fillId="0" borderId="21" xfId="0" applyFont="1" applyBorder="1" applyAlignment="1">
      <alignment horizontal="center" vertical="center" wrapText="1"/>
    </xf>
    <xf numFmtId="0" fontId="33" fillId="0" borderId="19" xfId="0" applyFont="1" applyBorder="1" applyAlignment="1">
      <alignment horizontal="left"/>
    </xf>
    <xf numFmtId="0" fontId="33" fillId="0" borderId="22" xfId="0" applyFont="1" applyBorder="1" applyAlignment="1">
      <alignment horizontal="left"/>
    </xf>
    <xf numFmtId="0" fontId="33" fillId="0" borderId="21" xfId="0" applyFont="1" applyBorder="1" applyAlignment="1">
      <alignment horizontal="left"/>
    </xf>
    <xf numFmtId="0" fontId="33" fillId="0" borderId="19" xfId="0" applyFont="1" applyBorder="1" applyAlignment="1">
      <alignment horizontal="center"/>
    </xf>
    <xf numFmtId="0" fontId="33" fillId="0" borderId="22" xfId="0" applyFont="1" applyBorder="1" applyAlignment="1">
      <alignment horizontal="center"/>
    </xf>
    <xf numFmtId="0" fontId="33" fillId="0" borderId="21" xfId="0" applyFont="1" applyBorder="1" applyAlignment="1">
      <alignment horizontal="center"/>
    </xf>
    <xf numFmtId="0" fontId="53" fillId="0" borderId="8" xfId="0" applyFont="1" applyBorder="1" applyAlignment="1">
      <alignment horizontal="left" vertical="top" wrapText="1"/>
    </xf>
    <xf numFmtId="0" fontId="53" fillId="0" borderId="17" xfId="0" applyFont="1" applyBorder="1" applyAlignment="1">
      <alignment horizontal="left" vertical="top" wrapText="1"/>
    </xf>
    <xf numFmtId="0" fontId="53" fillId="0" borderId="12" xfId="0" applyFont="1" applyBorder="1" applyAlignment="1">
      <alignment horizontal="left" vertical="top" wrapText="1"/>
    </xf>
    <xf numFmtId="0" fontId="53" fillId="0" borderId="1" xfId="0" applyFont="1" applyBorder="1" applyAlignment="1">
      <alignment horizontal="left" vertical="top" wrapText="1"/>
    </xf>
    <xf numFmtId="0" fontId="30" fillId="0" borderId="35" xfId="0" applyFont="1" applyBorder="1" applyAlignment="1">
      <alignment horizontal="center" vertical="center" wrapText="1"/>
    </xf>
    <xf numFmtId="0" fontId="30" fillId="0" borderId="37" xfId="0" applyFont="1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0" fillId="0" borderId="42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30" fillId="0" borderId="24" xfId="0" applyFont="1" applyBorder="1" applyAlignment="1">
      <alignment horizontal="center" vertical="center" wrapText="1"/>
    </xf>
    <xf numFmtId="0" fontId="30" fillId="0" borderId="27" xfId="0" applyFont="1" applyBorder="1" applyAlignment="1">
      <alignment horizontal="center" vertical="center" wrapText="1"/>
    </xf>
    <xf numFmtId="0" fontId="30" fillId="0" borderId="29" xfId="0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44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30" fillId="0" borderId="35" xfId="0" applyFont="1" applyBorder="1" applyAlignment="1">
      <alignment horizontal="center" vertical="center"/>
    </xf>
    <xf numFmtId="0" fontId="30" fillId="0" borderId="36" xfId="0" applyFont="1" applyBorder="1" applyAlignment="1">
      <alignment horizontal="center" vertical="center"/>
    </xf>
    <xf numFmtId="0" fontId="30" fillId="0" borderId="37" xfId="0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6" borderId="40" xfId="0" applyFill="1" applyBorder="1" applyAlignment="1">
      <alignment horizontal="center" vertical="center" wrapText="1"/>
    </xf>
    <xf numFmtId="0" fontId="0" fillId="6" borderId="21" xfId="0" applyFill="1" applyBorder="1" applyAlignment="1">
      <alignment horizontal="center" vertical="center" wrapText="1"/>
    </xf>
    <xf numFmtId="0" fontId="30" fillId="0" borderId="39" xfId="0" applyFont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0" fillId="0" borderId="32" xfId="0" applyBorder="1" applyAlignment="1">
      <alignment horizontal="center" vertical="center" wrapText="1"/>
    </xf>
    <xf numFmtId="0" fontId="58" fillId="0" borderId="22" xfId="0" applyFont="1" applyBorder="1" applyAlignment="1">
      <alignment horizontal="center" vertical="center" wrapText="1"/>
    </xf>
    <xf numFmtId="1" fontId="33" fillId="0" borderId="1" xfId="0" applyNumberFormat="1" applyFont="1" applyBorder="1" applyAlignment="1">
      <alignment horizontal="center" vertical="center" wrapText="1"/>
    </xf>
    <xf numFmtId="0" fontId="37" fillId="0" borderId="8" xfId="0" applyFont="1" applyBorder="1" applyAlignment="1">
      <alignment horizontal="center" vertical="center"/>
    </xf>
    <xf numFmtId="0" fontId="37" fillId="0" borderId="17" xfId="0" applyFont="1" applyBorder="1" applyAlignment="1">
      <alignment horizontal="center" vertical="center"/>
    </xf>
    <xf numFmtId="0" fontId="37" fillId="0" borderId="12" xfId="0" applyFont="1" applyBorder="1" applyAlignment="1">
      <alignment horizontal="center" vertical="center"/>
    </xf>
    <xf numFmtId="0" fontId="37" fillId="0" borderId="1" xfId="0" applyFont="1" applyBorder="1" applyAlignment="1">
      <alignment horizontal="center" vertical="center"/>
    </xf>
    <xf numFmtId="0" fontId="37" fillId="0" borderId="1" xfId="0" applyFont="1" applyBorder="1" applyAlignment="1">
      <alignment horizontal="center"/>
    </xf>
    <xf numFmtId="0" fontId="39" fillId="0" borderId="9" xfId="1558" applyBorder="1" applyAlignment="1">
      <alignment horizontal="center" vertical="top" wrapText="1"/>
    </xf>
    <xf numFmtId="0" fontId="39" fillId="0" borderId="10" xfId="1558" applyBorder="1" applyAlignment="1">
      <alignment horizontal="center" vertical="top" wrapText="1"/>
    </xf>
    <xf numFmtId="0" fontId="51" fillId="0" borderId="55" xfId="0" applyFont="1" applyBorder="1" applyAlignment="1">
      <alignment horizontal="center"/>
    </xf>
    <xf numFmtId="0" fontId="51" fillId="0" borderId="73" xfId="0" applyFont="1" applyBorder="1" applyAlignment="1">
      <alignment horizontal="center"/>
    </xf>
    <xf numFmtId="0" fontId="51" fillId="0" borderId="35" xfId="0" applyFont="1" applyBorder="1" applyAlignment="1">
      <alignment horizontal="center"/>
    </xf>
    <xf numFmtId="0" fontId="51" fillId="0" borderId="25" xfId="0" applyFont="1" applyBorder="1" applyAlignment="1">
      <alignment horizontal="center"/>
    </xf>
    <xf numFmtId="0" fontId="51" fillId="0" borderId="48" xfId="0" applyFont="1" applyBorder="1" applyAlignment="1">
      <alignment horizontal="center"/>
    </xf>
    <xf numFmtId="0" fontId="51" fillId="0" borderId="26" xfId="0" applyFont="1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26" xfId="0" applyBorder="1" applyAlignment="1">
      <alignment horizontal="center"/>
    </xf>
    <xf numFmtId="2" fontId="52" fillId="26" borderId="0" xfId="1553" applyNumberFormat="1" applyFill="1" applyAlignment="1">
      <alignment horizontal="center"/>
    </xf>
    <xf numFmtId="0" fontId="26" fillId="9" borderId="13" xfId="0" applyFont="1" applyFill="1" applyBorder="1" applyAlignment="1">
      <alignment horizontal="center"/>
    </xf>
    <xf numFmtId="0" fontId="26" fillId="9" borderId="14" xfId="0" applyFont="1" applyFill="1" applyBorder="1" applyAlignment="1">
      <alignment horizontal="center"/>
    </xf>
    <xf numFmtId="0" fontId="26" fillId="9" borderId="18" xfId="0" applyFont="1" applyFill="1" applyBorder="1" applyAlignment="1">
      <alignment horizontal="center"/>
    </xf>
    <xf numFmtId="0" fontId="26" fillId="9" borderId="19" xfId="0" applyFont="1" applyFill="1" applyBorder="1" applyAlignment="1">
      <alignment horizontal="center"/>
    </xf>
    <xf numFmtId="0" fontId="0" fillId="0" borderId="22" xfId="0" applyBorder="1"/>
    <xf numFmtId="0" fontId="0" fillId="0" borderId="21" xfId="0" applyBorder="1"/>
    <xf numFmtId="0" fontId="26" fillId="0" borderId="19" xfId="0" applyFont="1" applyBorder="1" applyAlignment="1">
      <alignment horizontal="center"/>
    </xf>
    <xf numFmtId="0" fontId="0" fillId="0" borderId="10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26" fillId="9" borderId="22" xfId="0" applyFont="1" applyFill="1" applyBorder="1" applyAlignment="1">
      <alignment horizontal="center"/>
    </xf>
    <xf numFmtId="0" fontId="26" fillId="9" borderId="21" xfId="0" applyFont="1" applyFill="1" applyBorder="1" applyAlignment="1">
      <alignment horizontal="center"/>
    </xf>
    <xf numFmtId="0" fontId="33" fillId="19" borderId="0" xfId="0" applyFont="1" applyFill="1" applyAlignment="1">
      <alignment horizontal="left"/>
    </xf>
    <xf numFmtId="0" fontId="0" fillId="5" borderId="8" xfId="0" applyFill="1" applyBorder="1" applyAlignment="1">
      <alignment horizontal="center" vertical="center"/>
    </xf>
    <xf numFmtId="0" fontId="0" fillId="5" borderId="13" xfId="0" applyFill="1" applyBorder="1" applyAlignment="1">
      <alignment horizontal="right" vertical="center"/>
    </xf>
    <xf numFmtId="0" fontId="0" fillId="5" borderId="14" xfId="0" applyFill="1" applyBorder="1" applyAlignment="1">
      <alignment horizontal="right" vertical="center"/>
    </xf>
    <xf numFmtId="0" fontId="0" fillId="5" borderId="18" xfId="0" applyFill="1" applyBorder="1" applyAlignment="1">
      <alignment horizontal="right" vertical="center"/>
    </xf>
    <xf numFmtId="0" fontId="0" fillId="5" borderId="8" xfId="0" applyFill="1" applyBorder="1" applyAlignment="1">
      <alignment horizontal="center" vertical="center" wrapText="1"/>
    </xf>
    <xf numFmtId="0" fontId="0" fillId="5" borderId="17" xfId="0" applyFill="1" applyBorder="1" applyAlignment="1">
      <alignment horizontal="center" vertical="center" wrapText="1"/>
    </xf>
    <xf numFmtId="0" fontId="0" fillId="5" borderId="12" xfId="0" applyFill="1" applyBorder="1" applyAlignment="1">
      <alignment horizontal="center" vertical="center" wrapText="1"/>
    </xf>
    <xf numFmtId="0" fontId="0" fillId="5" borderId="19" xfId="0" applyFill="1" applyBorder="1" applyAlignment="1">
      <alignment horizontal="center" vertical="center" wrapText="1"/>
    </xf>
    <xf numFmtId="0" fontId="0" fillId="5" borderId="22" xfId="0" applyFill="1" applyBorder="1" applyAlignment="1">
      <alignment horizontal="center" vertical="center" wrapText="1"/>
    </xf>
    <xf numFmtId="0" fontId="0" fillId="5" borderId="21" xfId="0" applyFill="1" applyBorder="1" applyAlignment="1">
      <alignment horizontal="center" vertical="center" wrapText="1"/>
    </xf>
    <xf numFmtId="0" fontId="0" fillId="5" borderId="19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30" fillId="5" borderId="1" xfId="0" applyFont="1" applyFill="1" applyBorder="1" applyAlignment="1">
      <alignment horizontal="center" vertical="center"/>
    </xf>
    <xf numFmtId="0" fontId="62" fillId="0" borderId="0" xfId="1556" applyAlignment="1">
      <alignment horizontal="left" vertical="center"/>
    </xf>
    <xf numFmtId="0" fontId="62" fillId="5" borderId="1" xfId="1556" applyFill="1" applyBorder="1" applyAlignment="1">
      <alignment horizontal="center" vertical="center"/>
    </xf>
    <xf numFmtId="0" fontId="33" fillId="0" borderId="0" xfId="1" applyFont="1" applyFill="1" applyAlignment="1">
      <alignment horizontal="right" vertical="center"/>
    </xf>
    <xf numFmtId="0" fontId="0" fillId="0" borderId="0" xfId="0" applyAlignment="1">
      <alignment horizontal="center"/>
    </xf>
    <xf numFmtId="0" fontId="0" fillId="5" borderId="1" xfId="0" applyFill="1" applyBorder="1" applyAlignment="1">
      <alignment horizontal="center"/>
    </xf>
    <xf numFmtId="0" fontId="33" fillId="6" borderId="8" xfId="1" applyFont="1" applyFill="1" applyBorder="1" applyAlignment="1">
      <alignment horizontal="center" vertical="center" wrapText="1"/>
    </xf>
    <xf numFmtId="0" fontId="33" fillId="6" borderId="17" xfId="1" applyFont="1" applyFill="1" applyBorder="1" applyAlignment="1">
      <alignment horizontal="center" vertical="center" wrapText="1"/>
    </xf>
    <xf numFmtId="0" fontId="33" fillId="6" borderId="12" xfId="1" applyFont="1" applyFill="1" applyBorder="1" applyAlignment="1">
      <alignment horizontal="center" vertical="center" wrapText="1"/>
    </xf>
    <xf numFmtId="0" fontId="38" fillId="6" borderId="19" xfId="1" applyFont="1" applyFill="1" applyBorder="1" applyAlignment="1">
      <alignment horizontal="center" vertical="center"/>
    </xf>
    <xf numFmtId="0" fontId="38" fillId="6" borderId="21" xfId="1" applyFont="1" applyFill="1" applyBorder="1" applyAlignment="1">
      <alignment horizontal="center" vertical="center"/>
    </xf>
    <xf numFmtId="0" fontId="0" fillId="6" borderId="19" xfId="0" applyFill="1" applyBorder="1" applyAlignment="1">
      <alignment horizontal="center" vertical="center" wrapText="1"/>
    </xf>
    <xf numFmtId="0" fontId="33" fillId="5" borderId="1" xfId="1" applyFont="1" applyFill="1" applyBorder="1" applyAlignment="1">
      <alignment horizontal="center" vertical="center" wrapText="1"/>
    </xf>
    <xf numFmtId="0" fontId="0" fillId="5" borderId="17" xfId="0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2" fontId="0" fillId="5" borderId="1" xfId="0" applyNumberFormat="1" applyFill="1" applyBorder="1" applyAlignment="1">
      <alignment horizontal="right" vertical="center" wrapText="1"/>
    </xf>
    <xf numFmtId="0" fontId="0" fillId="5" borderId="11" xfId="0" applyFill="1" applyBorder="1" applyAlignment="1">
      <alignment horizontal="center" vertical="center" wrapText="1"/>
    </xf>
    <xf numFmtId="0" fontId="0" fillId="5" borderId="16" xfId="0" applyFill="1" applyBorder="1" applyAlignment="1">
      <alignment horizontal="center" vertical="center" wrapText="1"/>
    </xf>
    <xf numFmtId="0" fontId="0" fillId="5" borderId="18" xfId="0" applyFill="1" applyBorder="1" applyAlignment="1">
      <alignment horizontal="center" vertical="center" wrapText="1"/>
    </xf>
    <xf numFmtId="0" fontId="30" fillId="5" borderId="1" xfId="0" applyFont="1" applyFill="1" applyBorder="1" applyAlignment="1">
      <alignment horizontal="center" vertical="center" wrapText="1"/>
    </xf>
    <xf numFmtId="0" fontId="0" fillId="5" borderId="10" xfId="0" applyFill="1" applyBorder="1" applyAlignment="1">
      <alignment horizontal="center" wrapText="1"/>
    </xf>
    <xf numFmtId="0" fontId="0" fillId="5" borderId="0" xfId="0" applyFill="1" applyAlignment="1">
      <alignment horizontal="center" wrapText="1"/>
    </xf>
    <xf numFmtId="0" fontId="0" fillId="5" borderId="14" xfId="0" applyFill="1" applyBorder="1" applyAlignment="1">
      <alignment horizontal="center" wrapText="1"/>
    </xf>
    <xf numFmtId="0" fontId="0" fillId="6" borderId="19" xfId="0" applyFill="1" applyBorder="1" applyAlignment="1">
      <alignment horizontal="center" vertical="center"/>
    </xf>
    <xf numFmtId="0" fontId="0" fillId="6" borderId="21" xfId="0" applyFill="1" applyBorder="1" applyAlignment="1">
      <alignment horizontal="center" vertical="center"/>
    </xf>
    <xf numFmtId="0" fontId="0" fillId="0" borderId="0" xfId="0"/>
    <xf numFmtId="0" fontId="30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2" xfId="0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0" fontId="38" fillId="5" borderId="19" xfId="1" applyFont="1" applyFill="1" applyBorder="1" applyAlignment="1">
      <alignment horizontal="right" wrapText="1"/>
    </xf>
    <xf numFmtId="0" fontId="38" fillId="5" borderId="22" xfId="1" applyFont="1" applyFill="1" applyBorder="1" applyAlignment="1">
      <alignment horizontal="right" wrapText="1"/>
    </xf>
    <xf numFmtId="0" fontId="38" fillId="5" borderId="21" xfId="1" applyFont="1" applyFill="1" applyBorder="1" applyAlignment="1">
      <alignment horizontal="right" wrapText="1"/>
    </xf>
    <xf numFmtId="0" fontId="38" fillId="5" borderId="8" xfId="1" applyFont="1" applyFill="1" applyBorder="1" applyAlignment="1">
      <alignment horizontal="center" vertical="center" wrapText="1"/>
    </xf>
    <xf numFmtId="0" fontId="38" fillId="5" borderId="17" xfId="1" applyFont="1" applyFill="1" applyBorder="1" applyAlignment="1">
      <alignment horizontal="center" vertical="center" wrapText="1"/>
    </xf>
    <xf numFmtId="0" fontId="38" fillId="5" borderId="12" xfId="1" applyFont="1" applyFill="1" applyBorder="1" applyAlignment="1">
      <alignment horizontal="center" vertical="center" wrapText="1"/>
    </xf>
    <xf numFmtId="0" fontId="38" fillId="6" borderId="19" xfId="1" applyFont="1" applyFill="1" applyBorder="1" applyAlignment="1">
      <alignment horizontal="center" vertical="center" wrapText="1"/>
    </xf>
    <xf numFmtId="0" fontId="38" fillId="6" borderId="21" xfId="1" applyFont="1" applyFill="1" applyBorder="1" applyAlignment="1">
      <alignment horizontal="center" vertical="center" wrapText="1"/>
    </xf>
    <xf numFmtId="0" fontId="0" fillId="5" borderId="20" xfId="0" applyFill="1" applyBorder="1" applyAlignment="1">
      <alignment horizontal="center" vertical="center" wrapText="1"/>
    </xf>
    <xf numFmtId="0" fontId="0" fillId="5" borderId="20" xfId="0" applyFill="1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30" fillId="0" borderId="8" xfId="0" applyFont="1" applyBorder="1" applyAlignment="1">
      <alignment horizontal="center"/>
    </xf>
    <xf numFmtId="0" fontId="30" fillId="0" borderId="12" xfId="0" applyFont="1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5" borderId="1" xfId="0" applyFill="1" applyBorder="1" applyAlignment="1">
      <alignment horizontal="right"/>
    </xf>
    <xf numFmtId="0" fontId="0" fillId="5" borderId="19" xfId="0" applyFill="1" applyBorder="1" applyAlignment="1">
      <alignment horizontal="right" vertical="center"/>
    </xf>
    <xf numFmtId="0" fontId="0" fillId="5" borderId="22" xfId="0" applyFill="1" applyBorder="1" applyAlignment="1">
      <alignment horizontal="right" vertical="center"/>
    </xf>
    <xf numFmtId="0" fontId="0" fillId="5" borderId="21" xfId="0" applyFill="1" applyBorder="1" applyAlignment="1">
      <alignment horizontal="right" vertical="center"/>
    </xf>
    <xf numFmtId="0" fontId="0" fillId="0" borderId="1" xfId="0" applyBorder="1" applyAlignment="1">
      <alignment horizontal="center" vertical="top"/>
    </xf>
  </cellXfs>
  <cellStyles count="1842">
    <cellStyle name="Bad" xfId="996" builtinId="27"/>
    <cellStyle name="Comma" xfId="1833" builtinId="3"/>
    <cellStyle name="Comma 2" xfId="1841"/>
    <cellStyle name="Currency" xfId="1839" builtinId="4"/>
    <cellStyle name="Explanatory Text" xfId="1556" builtinId="53"/>
    <cellStyle name="Followed Hyperlink" xfId="3" builtinId="9" hidden="1"/>
    <cellStyle name="Followed Hyperlink" xfId="5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1204" builtinId="9" hidden="1"/>
    <cellStyle name="Followed Hyperlink" xfId="1206" builtinId="9" hidden="1"/>
    <cellStyle name="Followed Hyperlink" xfId="1208" builtinId="9" hidden="1"/>
    <cellStyle name="Followed Hyperlink" xfId="1210" builtinId="9" hidden="1"/>
    <cellStyle name="Followed Hyperlink" xfId="1212" builtinId="9" hidden="1"/>
    <cellStyle name="Followed Hyperlink" xfId="1214" builtinId="9" hidden="1"/>
    <cellStyle name="Followed Hyperlink" xfId="1216" builtinId="9" hidden="1"/>
    <cellStyle name="Followed Hyperlink" xfId="1218" builtinId="9" hidden="1"/>
    <cellStyle name="Followed Hyperlink" xfId="1220" builtinId="9" hidden="1"/>
    <cellStyle name="Followed Hyperlink" xfId="1222" builtinId="9" hidden="1"/>
    <cellStyle name="Followed Hyperlink" xfId="1224" builtinId="9" hidden="1"/>
    <cellStyle name="Followed Hyperlink" xfId="1226" builtinId="9" hidden="1"/>
    <cellStyle name="Followed Hyperlink" xfId="1228" builtinId="9" hidden="1"/>
    <cellStyle name="Followed Hyperlink" xfId="1230" builtinId="9" hidden="1"/>
    <cellStyle name="Followed Hyperlink" xfId="1232" builtinId="9" hidden="1"/>
    <cellStyle name="Followed Hyperlink" xfId="1234" builtinId="9" hidden="1"/>
    <cellStyle name="Followed Hyperlink" xfId="1236" builtinId="9" hidden="1"/>
    <cellStyle name="Followed Hyperlink" xfId="1238" builtinId="9" hidden="1"/>
    <cellStyle name="Followed Hyperlink" xfId="1240" builtinId="9" hidden="1"/>
    <cellStyle name="Followed Hyperlink" xfId="1242" builtinId="9" hidden="1"/>
    <cellStyle name="Followed Hyperlink" xfId="1244" builtinId="9" hidden="1"/>
    <cellStyle name="Followed Hyperlink" xfId="1246" builtinId="9" hidden="1"/>
    <cellStyle name="Followed Hyperlink" xfId="1248" builtinId="9" hidden="1"/>
    <cellStyle name="Followed Hyperlink" xfId="1250" builtinId="9" hidden="1"/>
    <cellStyle name="Followed Hyperlink" xfId="1252" builtinId="9" hidden="1"/>
    <cellStyle name="Followed Hyperlink" xfId="1254" builtinId="9" hidden="1"/>
    <cellStyle name="Followed Hyperlink" xfId="1256" builtinId="9" hidden="1"/>
    <cellStyle name="Followed Hyperlink" xfId="1258" builtinId="9" hidden="1"/>
    <cellStyle name="Followed Hyperlink" xfId="1260" builtinId="9" hidden="1"/>
    <cellStyle name="Followed Hyperlink" xfId="1262" builtinId="9" hidden="1"/>
    <cellStyle name="Followed Hyperlink" xfId="1264" builtinId="9" hidden="1"/>
    <cellStyle name="Followed Hyperlink" xfId="1266" builtinId="9" hidden="1"/>
    <cellStyle name="Followed Hyperlink" xfId="1268" builtinId="9" hidden="1"/>
    <cellStyle name="Followed Hyperlink" xfId="1270" builtinId="9" hidden="1"/>
    <cellStyle name="Followed Hyperlink" xfId="1272" builtinId="9" hidden="1"/>
    <cellStyle name="Followed Hyperlink" xfId="1274" builtinId="9" hidden="1"/>
    <cellStyle name="Followed Hyperlink" xfId="1276" builtinId="9" hidden="1"/>
    <cellStyle name="Followed Hyperlink" xfId="1278" builtinId="9" hidden="1"/>
    <cellStyle name="Followed Hyperlink" xfId="1280" builtinId="9" hidden="1"/>
    <cellStyle name="Followed Hyperlink" xfId="1282" builtinId="9" hidden="1"/>
    <cellStyle name="Followed Hyperlink" xfId="1284" builtinId="9" hidden="1"/>
    <cellStyle name="Followed Hyperlink" xfId="1286" builtinId="9" hidden="1"/>
    <cellStyle name="Followed Hyperlink" xfId="1288" builtinId="9" hidden="1"/>
    <cellStyle name="Followed Hyperlink" xfId="1290" builtinId="9" hidden="1"/>
    <cellStyle name="Followed Hyperlink" xfId="1292" builtinId="9" hidden="1"/>
    <cellStyle name="Followed Hyperlink" xfId="1294" builtinId="9" hidden="1"/>
    <cellStyle name="Followed Hyperlink" xfId="1296" builtinId="9" hidden="1"/>
    <cellStyle name="Followed Hyperlink" xfId="1298" builtinId="9" hidden="1"/>
    <cellStyle name="Followed Hyperlink" xfId="1300" builtinId="9" hidden="1"/>
    <cellStyle name="Followed Hyperlink" xfId="1302" builtinId="9" hidden="1"/>
    <cellStyle name="Followed Hyperlink" xfId="1304" builtinId="9" hidden="1"/>
    <cellStyle name="Followed Hyperlink" xfId="1306" builtinId="9" hidden="1"/>
    <cellStyle name="Followed Hyperlink" xfId="1308" builtinId="9" hidden="1"/>
    <cellStyle name="Followed Hyperlink" xfId="1310" builtinId="9" hidden="1"/>
    <cellStyle name="Followed Hyperlink" xfId="1312" builtinId="9" hidden="1"/>
    <cellStyle name="Followed Hyperlink" xfId="1314" builtinId="9" hidden="1"/>
    <cellStyle name="Followed Hyperlink" xfId="1316" builtinId="9" hidden="1"/>
    <cellStyle name="Followed Hyperlink" xfId="1318" builtinId="9" hidden="1"/>
    <cellStyle name="Followed Hyperlink" xfId="1320" builtinId="9" hidden="1"/>
    <cellStyle name="Followed Hyperlink" xfId="1322" builtinId="9" hidden="1"/>
    <cellStyle name="Followed Hyperlink" xfId="1324" builtinId="9" hidden="1"/>
    <cellStyle name="Followed Hyperlink" xfId="1326" builtinId="9" hidden="1"/>
    <cellStyle name="Followed Hyperlink" xfId="1328" builtinId="9" hidden="1"/>
    <cellStyle name="Followed Hyperlink" xfId="1330" builtinId="9" hidden="1"/>
    <cellStyle name="Followed Hyperlink" xfId="1332" builtinId="9" hidden="1"/>
    <cellStyle name="Followed Hyperlink" xfId="1334" builtinId="9" hidden="1"/>
    <cellStyle name="Followed Hyperlink" xfId="1336" builtinId="9" hidden="1"/>
    <cellStyle name="Followed Hyperlink" xfId="1338" builtinId="9" hidden="1"/>
    <cellStyle name="Followed Hyperlink" xfId="1340" builtinId="9" hidden="1"/>
    <cellStyle name="Followed Hyperlink" xfId="1342" builtinId="9" hidden="1"/>
    <cellStyle name="Followed Hyperlink" xfId="1344" builtinId="9" hidden="1"/>
    <cellStyle name="Followed Hyperlink" xfId="1346" builtinId="9" hidden="1"/>
    <cellStyle name="Followed Hyperlink" xfId="1348" builtinId="9" hidden="1"/>
    <cellStyle name="Followed Hyperlink" xfId="1350" builtinId="9" hidden="1"/>
    <cellStyle name="Followed Hyperlink" xfId="1352" builtinId="9" hidden="1"/>
    <cellStyle name="Followed Hyperlink" xfId="1354" builtinId="9" hidden="1"/>
    <cellStyle name="Followed Hyperlink" xfId="1356" builtinId="9" hidden="1"/>
    <cellStyle name="Followed Hyperlink" xfId="1358" builtinId="9" hidden="1"/>
    <cellStyle name="Followed Hyperlink" xfId="1360" builtinId="9" hidden="1"/>
    <cellStyle name="Followed Hyperlink" xfId="1362" builtinId="9" hidden="1"/>
    <cellStyle name="Followed Hyperlink" xfId="1364" builtinId="9" hidden="1"/>
    <cellStyle name="Followed Hyperlink" xfId="1366" builtinId="9" hidden="1"/>
    <cellStyle name="Followed Hyperlink" xfId="1368" builtinId="9" hidden="1"/>
    <cellStyle name="Followed Hyperlink" xfId="1370" builtinId="9" hidden="1"/>
    <cellStyle name="Followed Hyperlink" xfId="1372" builtinId="9" hidden="1"/>
    <cellStyle name="Followed Hyperlink" xfId="1374" builtinId="9" hidden="1"/>
    <cellStyle name="Followed Hyperlink" xfId="1376" builtinId="9" hidden="1"/>
    <cellStyle name="Followed Hyperlink" xfId="1378" builtinId="9" hidden="1"/>
    <cellStyle name="Followed Hyperlink" xfId="1380" builtinId="9" hidden="1"/>
    <cellStyle name="Followed Hyperlink" xfId="1382" builtinId="9" hidden="1"/>
    <cellStyle name="Followed Hyperlink" xfId="1384" builtinId="9" hidden="1"/>
    <cellStyle name="Followed Hyperlink" xfId="1386" builtinId="9" hidden="1"/>
    <cellStyle name="Followed Hyperlink" xfId="1388" builtinId="9" hidden="1"/>
    <cellStyle name="Followed Hyperlink" xfId="1390" builtinId="9" hidden="1"/>
    <cellStyle name="Followed Hyperlink" xfId="1392" builtinId="9" hidden="1"/>
    <cellStyle name="Followed Hyperlink" xfId="1394" builtinId="9" hidden="1"/>
    <cellStyle name="Followed Hyperlink" xfId="1396" builtinId="9" hidden="1"/>
    <cellStyle name="Followed Hyperlink" xfId="1398" builtinId="9" hidden="1"/>
    <cellStyle name="Followed Hyperlink" xfId="1400" builtinId="9" hidden="1"/>
    <cellStyle name="Followed Hyperlink" xfId="1402" builtinId="9" hidden="1"/>
    <cellStyle name="Followed Hyperlink" xfId="1404" builtinId="9" hidden="1"/>
    <cellStyle name="Followed Hyperlink" xfId="1406" builtinId="9" hidden="1"/>
    <cellStyle name="Followed Hyperlink" xfId="1408" builtinId="9" hidden="1"/>
    <cellStyle name="Followed Hyperlink" xfId="1410" builtinId="9" hidden="1"/>
    <cellStyle name="Followed Hyperlink" xfId="1412" builtinId="9" hidden="1"/>
    <cellStyle name="Followed Hyperlink" xfId="1414" builtinId="9" hidden="1"/>
    <cellStyle name="Followed Hyperlink" xfId="1416" builtinId="9" hidden="1"/>
    <cellStyle name="Followed Hyperlink" xfId="1418" builtinId="9" hidden="1"/>
    <cellStyle name="Followed Hyperlink" xfId="1420" builtinId="9" hidden="1"/>
    <cellStyle name="Followed Hyperlink" xfId="1422" builtinId="9" hidden="1"/>
    <cellStyle name="Followed Hyperlink" xfId="1424" builtinId="9" hidden="1"/>
    <cellStyle name="Followed Hyperlink" xfId="1426" builtinId="9" hidden="1"/>
    <cellStyle name="Followed Hyperlink" xfId="1428" builtinId="9" hidden="1"/>
    <cellStyle name="Followed Hyperlink" xfId="1430" builtinId="9" hidden="1"/>
    <cellStyle name="Followed Hyperlink" xfId="1432" builtinId="9" hidden="1"/>
    <cellStyle name="Followed Hyperlink" xfId="1434" builtinId="9" hidden="1"/>
    <cellStyle name="Followed Hyperlink" xfId="1436" builtinId="9" hidden="1"/>
    <cellStyle name="Followed Hyperlink" xfId="1438" builtinId="9" hidden="1"/>
    <cellStyle name="Followed Hyperlink" xfId="1440" builtinId="9" hidden="1"/>
    <cellStyle name="Followed Hyperlink" xfId="1442" builtinId="9" hidden="1"/>
    <cellStyle name="Followed Hyperlink" xfId="1444" builtinId="9" hidden="1"/>
    <cellStyle name="Followed Hyperlink" xfId="1446" builtinId="9" hidden="1"/>
    <cellStyle name="Followed Hyperlink" xfId="1448" builtinId="9" hidden="1"/>
    <cellStyle name="Followed Hyperlink" xfId="1450" builtinId="9" hidden="1"/>
    <cellStyle name="Followed Hyperlink" xfId="1452" builtinId="9" hidden="1"/>
    <cellStyle name="Followed Hyperlink" xfId="1454" builtinId="9" hidden="1"/>
    <cellStyle name="Followed Hyperlink" xfId="1456" builtinId="9" hidden="1"/>
    <cellStyle name="Followed Hyperlink" xfId="1458" builtinId="9" hidden="1"/>
    <cellStyle name="Followed Hyperlink" xfId="1460" builtinId="9" hidden="1"/>
    <cellStyle name="Followed Hyperlink" xfId="1462" builtinId="9" hidden="1"/>
    <cellStyle name="Followed Hyperlink" xfId="1464" builtinId="9" hidden="1"/>
    <cellStyle name="Followed Hyperlink" xfId="1466" builtinId="9" hidden="1"/>
    <cellStyle name="Followed Hyperlink" xfId="1468" builtinId="9" hidden="1"/>
    <cellStyle name="Followed Hyperlink" xfId="1470" builtinId="9" hidden="1"/>
    <cellStyle name="Followed Hyperlink" xfId="1472" builtinId="9" hidden="1"/>
    <cellStyle name="Followed Hyperlink" xfId="1474" builtinId="9" hidden="1"/>
    <cellStyle name="Followed Hyperlink" xfId="1476" builtinId="9" hidden="1"/>
    <cellStyle name="Followed Hyperlink" xfId="1478" builtinId="9" hidden="1"/>
    <cellStyle name="Followed Hyperlink" xfId="1480" builtinId="9" hidden="1"/>
    <cellStyle name="Followed Hyperlink" xfId="1482" builtinId="9" hidden="1"/>
    <cellStyle name="Followed Hyperlink" xfId="1484" builtinId="9" hidden="1"/>
    <cellStyle name="Followed Hyperlink" xfId="1486" builtinId="9" hidden="1"/>
    <cellStyle name="Followed Hyperlink" xfId="1488" builtinId="9" hidden="1"/>
    <cellStyle name="Followed Hyperlink" xfId="1490" builtinId="9" hidden="1"/>
    <cellStyle name="Followed Hyperlink" xfId="1492" builtinId="9" hidden="1"/>
    <cellStyle name="Followed Hyperlink" xfId="1494" builtinId="9" hidden="1"/>
    <cellStyle name="Followed Hyperlink" xfId="1496" builtinId="9" hidden="1"/>
    <cellStyle name="Followed Hyperlink" xfId="1498" builtinId="9" hidden="1"/>
    <cellStyle name="Followed Hyperlink" xfId="1500" builtinId="9" hidden="1"/>
    <cellStyle name="Followed Hyperlink" xfId="1502" builtinId="9" hidden="1"/>
    <cellStyle name="Followed Hyperlink" xfId="1504" builtinId="9" hidden="1"/>
    <cellStyle name="Followed Hyperlink" xfId="1506" builtinId="9" hidden="1"/>
    <cellStyle name="Followed Hyperlink" xfId="1508" builtinId="9" hidden="1"/>
    <cellStyle name="Followed Hyperlink" xfId="1510" builtinId="9" hidden="1"/>
    <cellStyle name="Followed Hyperlink" xfId="1512" builtinId="9" hidden="1"/>
    <cellStyle name="Followed Hyperlink" xfId="1514" builtinId="9" hidden="1"/>
    <cellStyle name="Followed Hyperlink" xfId="1516" builtinId="9" hidden="1"/>
    <cellStyle name="Followed Hyperlink" xfId="1518" builtinId="9" hidden="1"/>
    <cellStyle name="Followed Hyperlink" xfId="1520" builtinId="9" hidden="1"/>
    <cellStyle name="Followed Hyperlink" xfId="1522" builtinId="9" hidden="1"/>
    <cellStyle name="Followed Hyperlink" xfId="1524" builtinId="9" hidden="1"/>
    <cellStyle name="Followed Hyperlink" xfId="1526" builtinId="9" hidden="1"/>
    <cellStyle name="Followed Hyperlink" xfId="1528" builtinId="9" hidden="1"/>
    <cellStyle name="Followed Hyperlink" xfId="1530" builtinId="9" hidden="1"/>
    <cellStyle name="Followed Hyperlink" xfId="1532" builtinId="9" hidden="1"/>
    <cellStyle name="Followed Hyperlink" xfId="1534" builtinId="9" hidden="1"/>
    <cellStyle name="Followed Hyperlink" xfId="1536" builtinId="9" hidden="1"/>
    <cellStyle name="Followed Hyperlink" xfId="1538" builtinId="9" hidden="1"/>
    <cellStyle name="Followed Hyperlink" xfId="1540" builtinId="9" hidden="1"/>
    <cellStyle name="Followed Hyperlink" xfId="1542" builtinId="9" hidden="1"/>
    <cellStyle name="Followed Hyperlink" xfId="1544" builtinId="9" hidden="1"/>
    <cellStyle name="Followed Hyperlink" xfId="1546" builtinId="9" hidden="1"/>
    <cellStyle name="Followed Hyperlink" xfId="1548" builtinId="9" hidden="1"/>
    <cellStyle name="Followed Hyperlink" xfId="1550" builtinId="9" hidden="1"/>
    <cellStyle name="Followed Hyperlink" xfId="1552" builtinId="9" hidden="1"/>
    <cellStyle name="Followed Hyperlink" xfId="1560" builtinId="9" hidden="1"/>
    <cellStyle name="Followed Hyperlink" xfId="1562" builtinId="9" hidden="1"/>
    <cellStyle name="Followed Hyperlink" xfId="1564" builtinId="9" hidden="1"/>
    <cellStyle name="Followed Hyperlink" xfId="1566" builtinId="9" hidden="1"/>
    <cellStyle name="Followed Hyperlink" xfId="1568" builtinId="9" hidden="1"/>
    <cellStyle name="Followed Hyperlink" xfId="1570" builtinId="9" hidden="1"/>
    <cellStyle name="Followed Hyperlink" xfId="1572" builtinId="9" hidden="1"/>
    <cellStyle name="Followed Hyperlink" xfId="1574" builtinId="9" hidden="1"/>
    <cellStyle name="Followed Hyperlink" xfId="1576" builtinId="9" hidden="1"/>
    <cellStyle name="Followed Hyperlink" xfId="1578" builtinId="9" hidden="1"/>
    <cellStyle name="Followed Hyperlink" xfId="1580" builtinId="9" hidden="1"/>
    <cellStyle name="Followed Hyperlink" xfId="1582" builtinId="9" hidden="1"/>
    <cellStyle name="Followed Hyperlink" xfId="1584" builtinId="9" hidden="1"/>
    <cellStyle name="Followed Hyperlink" xfId="1586" builtinId="9" hidden="1"/>
    <cellStyle name="Followed Hyperlink" xfId="1588" builtinId="9" hidden="1"/>
    <cellStyle name="Followed Hyperlink" xfId="1590" builtinId="9" hidden="1"/>
    <cellStyle name="Followed Hyperlink" xfId="1592" builtinId="9" hidden="1"/>
    <cellStyle name="Followed Hyperlink" xfId="1594" builtinId="9" hidden="1"/>
    <cellStyle name="Followed Hyperlink" xfId="1596" builtinId="9" hidden="1"/>
    <cellStyle name="Followed Hyperlink" xfId="1598" builtinId="9" hidden="1"/>
    <cellStyle name="Followed Hyperlink" xfId="1600" builtinId="9" hidden="1"/>
    <cellStyle name="Followed Hyperlink" xfId="1602" builtinId="9" hidden="1"/>
    <cellStyle name="Followed Hyperlink" xfId="1604" builtinId="9" hidden="1"/>
    <cellStyle name="Followed Hyperlink" xfId="1606" builtinId="9" hidden="1"/>
    <cellStyle name="Followed Hyperlink" xfId="1608" builtinId="9" hidden="1"/>
    <cellStyle name="Followed Hyperlink" xfId="1610" builtinId="9" hidden="1"/>
    <cellStyle name="Followed Hyperlink" xfId="1612" builtinId="9" hidden="1"/>
    <cellStyle name="Followed Hyperlink" xfId="1614" builtinId="9" hidden="1"/>
    <cellStyle name="Followed Hyperlink" xfId="1616" builtinId="9" hidden="1"/>
    <cellStyle name="Followed Hyperlink" xfId="1618" builtinId="9" hidden="1"/>
    <cellStyle name="Followed Hyperlink" xfId="1620" builtinId="9" hidden="1"/>
    <cellStyle name="Followed Hyperlink" xfId="1622" builtinId="9" hidden="1"/>
    <cellStyle name="Followed Hyperlink" xfId="1624" builtinId="9" hidden="1"/>
    <cellStyle name="Followed Hyperlink" xfId="1626" builtinId="9" hidden="1"/>
    <cellStyle name="Followed Hyperlink" xfId="1628" builtinId="9" hidden="1"/>
    <cellStyle name="Followed Hyperlink" xfId="1630" builtinId="9" hidden="1"/>
    <cellStyle name="Followed Hyperlink" xfId="1632" builtinId="9" hidden="1"/>
    <cellStyle name="Followed Hyperlink" xfId="1634" builtinId="9" hidden="1"/>
    <cellStyle name="Followed Hyperlink" xfId="1636" builtinId="9" hidden="1"/>
    <cellStyle name="Followed Hyperlink" xfId="1638" builtinId="9" hidden="1"/>
    <cellStyle name="Followed Hyperlink" xfId="1640" builtinId="9" hidden="1"/>
    <cellStyle name="Followed Hyperlink" xfId="1642" builtinId="9" hidden="1"/>
    <cellStyle name="Followed Hyperlink" xfId="1644" builtinId="9" hidden="1"/>
    <cellStyle name="Followed Hyperlink" xfId="1646" builtinId="9" hidden="1"/>
    <cellStyle name="Followed Hyperlink" xfId="1648" builtinId="9" hidden="1"/>
    <cellStyle name="Followed Hyperlink" xfId="1650" builtinId="9" hidden="1"/>
    <cellStyle name="Followed Hyperlink" xfId="1652" builtinId="9" hidden="1"/>
    <cellStyle name="Followed Hyperlink" xfId="1654" builtinId="9" hidden="1"/>
    <cellStyle name="Followed Hyperlink" xfId="1656" builtinId="9" hidden="1"/>
    <cellStyle name="Followed Hyperlink" xfId="1658" builtinId="9" hidden="1"/>
    <cellStyle name="Followed Hyperlink" xfId="1660" builtinId="9" hidden="1"/>
    <cellStyle name="Followed Hyperlink" xfId="1662" builtinId="9" hidden="1"/>
    <cellStyle name="Followed Hyperlink" xfId="1664" builtinId="9" hidden="1"/>
    <cellStyle name="Followed Hyperlink" xfId="1666" builtinId="9" hidden="1"/>
    <cellStyle name="Followed Hyperlink" xfId="1668" builtinId="9" hidden="1"/>
    <cellStyle name="Followed Hyperlink" xfId="1670" builtinId="9" hidden="1"/>
    <cellStyle name="Followed Hyperlink" xfId="1672" builtinId="9" hidden="1"/>
    <cellStyle name="Followed Hyperlink" xfId="1674" builtinId="9" hidden="1"/>
    <cellStyle name="Followed Hyperlink" xfId="1676" builtinId="9" hidden="1"/>
    <cellStyle name="Followed Hyperlink" xfId="1678" builtinId="9" hidden="1"/>
    <cellStyle name="Followed Hyperlink" xfId="1680" builtinId="9" hidden="1"/>
    <cellStyle name="Followed Hyperlink" xfId="1682" builtinId="9" hidden="1"/>
    <cellStyle name="Followed Hyperlink" xfId="1684" builtinId="9" hidden="1"/>
    <cellStyle name="Followed Hyperlink" xfId="1686" builtinId="9" hidden="1"/>
    <cellStyle name="Followed Hyperlink" xfId="1688" builtinId="9" hidden="1"/>
    <cellStyle name="Followed Hyperlink" xfId="1690" builtinId="9" hidden="1"/>
    <cellStyle name="Followed Hyperlink" xfId="1692" builtinId="9" hidden="1"/>
    <cellStyle name="Followed Hyperlink" xfId="1694" builtinId="9" hidden="1"/>
    <cellStyle name="Followed Hyperlink" xfId="1696" builtinId="9" hidden="1"/>
    <cellStyle name="Followed Hyperlink" xfId="1698" builtinId="9" hidden="1"/>
    <cellStyle name="Followed Hyperlink" xfId="1700" builtinId="9" hidden="1"/>
    <cellStyle name="Followed Hyperlink" xfId="1702" builtinId="9" hidden="1"/>
    <cellStyle name="Followed Hyperlink" xfId="1704" builtinId="9" hidden="1"/>
    <cellStyle name="Followed Hyperlink" xfId="1706" builtinId="9" hidden="1"/>
    <cellStyle name="Followed Hyperlink" xfId="1708" builtinId="9" hidden="1"/>
    <cellStyle name="Followed Hyperlink" xfId="1710" builtinId="9" hidden="1"/>
    <cellStyle name="Followed Hyperlink" xfId="1712" builtinId="9" hidden="1"/>
    <cellStyle name="Followed Hyperlink" xfId="1714" builtinId="9" hidden="1"/>
    <cellStyle name="Followed Hyperlink" xfId="1716" builtinId="9" hidden="1"/>
    <cellStyle name="Followed Hyperlink" xfId="1718" builtinId="9" hidden="1"/>
    <cellStyle name="Followed Hyperlink" xfId="1720" builtinId="9" hidden="1"/>
    <cellStyle name="Followed Hyperlink" xfId="1722" builtinId="9" hidden="1"/>
    <cellStyle name="Followed Hyperlink" xfId="1724" builtinId="9" hidden="1"/>
    <cellStyle name="Followed Hyperlink" xfId="1726" builtinId="9" hidden="1"/>
    <cellStyle name="Followed Hyperlink" xfId="1728" builtinId="9" hidden="1"/>
    <cellStyle name="Followed Hyperlink" xfId="1730" builtinId="9" hidden="1"/>
    <cellStyle name="Followed Hyperlink" xfId="1732" builtinId="9" hidden="1"/>
    <cellStyle name="Followed Hyperlink" xfId="1734" builtinId="9" hidden="1"/>
    <cellStyle name="Followed Hyperlink" xfId="1736" builtinId="9" hidden="1"/>
    <cellStyle name="Followed Hyperlink" xfId="1738" builtinId="9" hidden="1"/>
    <cellStyle name="Followed Hyperlink" xfId="1740" builtinId="9" hidden="1"/>
    <cellStyle name="Followed Hyperlink" xfId="1742" builtinId="9" hidden="1"/>
    <cellStyle name="Followed Hyperlink" xfId="1744" builtinId="9" hidden="1"/>
    <cellStyle name="Followed Hyperlink" xfId="1746" builtinId="9" hidden="1"/>
    <cellStyle name="Followed Hyperlink" xfId="1748" builtinId="9" hidden="1"/>
    <cellStyle name="Followed Hyperlink" xfId="1750" builtinId="9" hidden="1"/>
    <cellStyle name="Followed Hyperlink" xfId="1752" builtinId="9" hidden="1"/>
    <cellStyle name="Followed Hyperlink" xfId="1754" builtinId="9" hidden="1"/>
    <cellStyle name="Followed Hyperlink" xfId="1756" builtinId="9" hidden="1"/>
    <cellStyle name="Followed Hyperlink" xfId="1758" builtinId="9" hidden="1"/>
    <cellStyle name="Followed Hyperlink" xfId="1760" builtinId="9" hidden="1"/>
    <cellStyle name="Followed Hyperlink" xfId="1762" builtinId="9" hidden="1"/>
    <cellStyle name="Followed Hyperlink" xfId="1764" builtinId="9" hidden="1"/>
    <cellStyle name="Followed Hyperlink" xfId="1766" builtinId="9" hidden="1"/>
    <cellStyle name="Followed Hyperlink" xfId="1768" builtinId="9" hidden="1"/>
    <cellStyle name="Followed Hyperlink" xfId="1770" builtinId="9" hidden="1"/>
    <cellStyle name="Followed Hyperlink" xfId="1772" builtinId="9" hidden="1"/>
    <cellStyle name="Followed Hyperlink" xfId="1774" builtinId="9" hidden="1"/>
    <cellStyle name="Followed Hyperlink" xfId="1776" builtinId="9" hidden="1"/>
    <cellStyle name="Followed Hyperlink" xfId="1778" builtinId="9" hidden="1"/>
    <cellStyle name="Followed Hyperlink" xfId="1780" builtinId="9" hidden="1"/>
    <cellStyle name="Followed Hyperlink" xfId="1782" builtinId="9" hidden="1"/>
    <cellStyle name="Followed Hyperlink" xfId="1784" builtinId="9" hidden="1"/>
    <cellStyle name="Followed Hyperlink" xfId="1786" builtinId="9" hidden="1"/>
    <cellStyle name="Followed Hyperlink" xfId="1788" builtinId="9" hidden="1"/>
    <cellStyle name="Followed Hyperlink" xfId="1790" builtinId="9" hidden="1"/>
    <cellStyle name="Followed Hyperlink" xfId="1792" builtinId="9" hidden="1"/>
    <cellStyle name="Followed Hyperlink" xfId="1794" builtinId="9" hidden="1"/>
    <cellStyle name="Followed Hyperlink" xfId="1796" builtinId="9" hidden="1"/>
    <cellStyle name="Followed Hyperlink" xfId="1798" builtinId="9" hidden="1"/>
    <cellStyle name="Followed Hyperlink" xfId="1800" builtinId="9" hidden="1"/>
    <cellStyle name="Followed Hyperlink" xfId="1802" builtinId="9" hidden="1"/>
    <cellStyle name="Followed Hyperlink" xfId="1804" builtinId="9" hidden="1"/>
    <cellStyle name="Followed Hyperlink" xfId="1806" builtinId="9" hidden="1"/>
    <cellStyle name="Followed Hyperlink" xfId="1808" builtinId="9" hidden="1"/>
    <cellStyle name="Followed Hyperlink" xfId="1810" builtinId="9" hidden="1"/>
    <cellStyle name="Followed Hyperlink" xfId="1812" builtinId="9" hidden="1"/>
    <cellStyle name="Followed Hyperlink" xfId="1814" builtinId="9" hidden="1"/>
    <cellStyle name="Followed Hyperlink" xfId="1816" builtinId="9" hidden="1"/>
    <cellStyle name="Followed Hyperlink" xfId="1818" builtinId="9" hidden="1"/>
    <cellStyle name="Followed Hyperlink" xfId="1820" builtinId="9" hidden="1"/>
    <cellStyle name="Followed Hyperlink" xfId="1822" builtinId="9" hidden="1"/>
    <cellStyle name="Followed Hyperlink" xfId="1824" builtinId="9" hidden="1"/>
    <cellStyle name="Followed Hyperlink" xfId="1826" builtinId="9" hidden="1"/>
    <cellStyle name="Followed Hyperlink" xfId="1828" builtinId="9" hidden="1"/>
    <cellStyle name="Followed Hyperlink" xfId="1830" builtinId="9" hidden="1"/>
    <cellStyle name="Followed Hyperlink" xfId="1832" builtinId="9" hidden="1"/>
    <cellStyle name="Followed Hyperlink" xfId="1835" builtinId="9" hidden="1"/>
    <cellStyle name="Followed Hyperlink" xfId="1837" builtinId="9" hidden="1"/>
    <cellStyle name="Good" xfId="1" builtinId="26"/>
    <cellStyle name="Hyperlink" xfId="2" builtinId="8" hidden="1"/>
    <cellStyle name="Hyperlink" xfId="4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Hyperlink" xfId="1321" builtinId="8" hidden="1"/>
    <cellStyle name="Hyperlink" xfId="1323" builtinId="8" hidden="1"/>
    <cellStyle name="Hyperlink" xfId="1325" builtinId="8" hidden="1"/>
    <cellStyle name="Hyperlink" xfId="1327" builtinId="8" hidden="1"/>
    <cellStyle name="Hyperlink" xfId="1329" builtinId="8" hidden="1"/>
    <cellStyle name="Hyperlink" xfId="1331" builtinId="8" hidden="1"/>
    <cellStyle name="Hyperlink" xfId="1333" builtinId="8" hidden="1"/>
    <cellStyle name="Hyperlink" xfId="1335" builtinId="8" hidden="1"/>
    <cellStyle name="Hyperlink" xfId="1337" builtinId="8" hidden="1"/>
    <cellStyle name="Hyperlink" xfId="1339" builtinId="8" hidden="1"/>
    <cellStyle name="Hyperlink" xfId="1341" builtinId="8" hidden="1"/>
    <cellStyle name="Hyperlink" xfId="1343" builtinId="8" hidden="1"/>
    <cellStyle name="Hyperlink" xfId="1345" builtinId="8" hidden="1"/>
    <cellStyle name="Hyperlink" xfId="1347" builtinId="8" hidden="1"/>
    <cellStyle name="Hyperlink" xfId="1349" builtinId="8" hidden="1"/>
    <cellStyle name="Hyperlink" xfId="1351" builtinId="8" hidden="1"/>
    <cellStyle name="Hyperlink" xfId="1353" builtinId="8" hidden="1"/>
    <cellStyle name="Hyperlink" xfId="1355" builtinId="8" hidden="1"/>
    <cellStyle name="Hyperlink" xfId="1357" builtinId="8" hidden="1"/>
    <cellStyle name="Hyperlink" xfId="1359" builtinId="8" hidden="1"/>
    <cellStyle name="Hyperlink" xfId="1361" builtinId="8" hidden="1"/>
    <cellStyle name="Hyperlink" xfId="1363" builtinId="8" hidden="1"/>
    <cellStyle name="Hyperlink" xfId="1365" builtinId="8" hidden="1"/>
    <cellStyle name="Hyperlink" xfId="1367" builtinId="8" hidden="1"/>
    <cellStyle name="Hyperlink" xfId="1369" builtinId="8" hidden="1"/>
    <cellStyle name="Hyperlink" xfId="1371" builtinId="8" hidden="1"/>
    <cellStyle name="Hyperlink" xfId="1373" builtinId="8" hidden="1"/>
    <cellStyle name="Hyperlink" xfId="1375" builtinId="8" hidden="1"/>
    <cellStyle name="Hyperlink" xfId="1377" builtinId="8" hidden="1"/>
    <cellStyle name="Hyperlink" xfId="1379" builtinId="8" hidden="1"/>
    <cellStyle name="Hyperlink" xfId="1381" builtinId="8" hidden="1"/>
    <cellStyle name="Hyperlink" xfId="1383" builtinId="8" hidden="1"/>
    <cellStyle name="Hyperlink" xfId="1385" builtinId="8" hidden="1"/>
    <cellStyle name="Hyperlink" xfId="1387" builtinId="8" hidden="1"/>
    <cellStyle name="Hyperlink" xfId="1389" builtinId="8" hidden="1"/>
    <cellStyle name="Hyperlink" xfId="1391" builtinId="8" hidden="1"/>
    <cellStyle name="Hyperlink" xfId="1393" builtinId="8" hidden="1"/>
    <cellStyle name="Hyperlink" xfId="1395" builtinId="8" hidden="1"/>
    <cellStyle name="Hyperlink" xfId="1397" builtinId="8" hidden="1"/>
    <cellStyle name="Hyperlink" xfId="1399" builtinId="8" hidden="1"/>
    <cellStyle name="Hyperlink" xfId="1401" builtinId="8" hidden="1"/>
    <cellStyle name="Hyperlink" xfId="1403" builtinId="8" hidden="1"/>
    <cellStyle name="Hyperlink" xfId="1405" builtinId="8" hidden="1"/>
    <cellStyle name="Hyperlink" xfId="1407" builtinId="8" hidden="1"/>
    <cellStyle name="Hyperlink" xfId="1409" builtinId="8" hidden="1"/>
    <cellStyle name="Hyperlink" xfId="1411" builtinId="8" hidden="1"/>
    <cellStyle name="Hyperlink" xfId="1413" builtinId="8" hidden="1"/>
    <cellStyle name="Hyperlink" xfId="1415" builtinId="8" hidden="1"/>
    <cellStyle name="Hyperlink" xfId="1417" builtinId="8" hidden="1"/>
    <cellStyle name="Hyperlink" xfId="1419" builtinId="8" hidden="1"/>
    <cellStyle name="Hyperlink" xfId="1421" builtinId="8" hidden="1"/>
    <cellStyle name="Hyperlink" xfId="1423" builtinId="8" hidden="1"/>
    <cellStyle name="Hyperlink" xfId="1425" builtinId="8" hidden="1"/>
    <cellStyle name="Hyperlink" xfId="1427" builtinId="8" hidden="1"/>
    <cellStyle name="Hyperlink" xfId="1429" builtinId="8" hidden="1"/>
    <cellStyle name="Hyperlink" xfId="1431" builtinId="8" hidden="1"/>
    <cellStyle name="Hyperlink" xfId="1433" builtinId="8" hidden="1"/>
    <cellStyle name="Hyperlink" xfId="1435" builtinId="8" hidden="1"/>
    <cellStyle name="Hyperlink" xfId="1437" builtinId="8" hidden="1"/>
    <cellStyle name="Hyperlink" xfId="1439" builtinId="8" hidden="1"/>
    <cellStyle name="Hyperlink" xfId="1441" builtinId="8" hidden="1"/>
    <cellStyle name="Hyperlink" xfId="1443" builtinId="8" hidden="1"/>
    <cellStyle name="Hyperlink" xfId="1445" builtinId="8" hidden="1"/>
    <cellStyle name="Hyperlink" xfId="1447" builtinId="8" hidden="1"/>
    <cellStyle name="Hyperlink" xfId="1449" builtinId="8" hidden="1"/>
    <cellStyle name="Hyperlink" xfId="1451" builtinId="8" hidden="1"/>
    <cellStyle name="Hyperlink" xfId="1453" builtinId="8" hidden="1"/>
    <cellStyle name="Hyperlink" xfId="1455" builtinId="8" hidden="1"/>
    <cellStyle name="Hyperlink" xfId="1457" builtinId="8" hidden="1"/>
    <cellStyle name="Hyperlink" xfId="1459" builtinId="8" hidden="1"/>
    <cellStyle name="Hyperlink" xfId="1461" builtinId="8" hidden="1"/>
    <cellStyle name="Hyperlink" xfId="1463" builtinId="8" hidden="1"/>
    <cellStyle name="Hyperlink" xfId="1465" builtinId="8" hidden="1"/>
    <cellStyle name="Hyperlink" xfId="1467" builtinId="8" hidden="1"/>
    <cellStyle name="Hyperlink" xfId="1469" builtinId="8" hidden="1"/>
    <cellStyle name="Hyperlink" xfId="1471" builtinId="8" hidden="1"/>
    <cellStyle name="Hyperlink" xfId="1473" builtinId="8" hidden="1"/>
    <cellStyle name="Hyperlink" xfId="1475" builtinId="8" hidden="1"/>
    <cellStyle name="Hyperlink" xfId="1477" builtinId="8" hidden="1"/>
    <cellStyle name="Hyperlink" xfId="1479" builtinId="8" hidden="1"/>
    <cellStyle name="Hyperlink" xfId="1481" builtinId="8" hidden="1"/>
    <cellStyle name="Hyperlink" xfId="1483" builtinId="8" hidden="1"/>
    <cellStyle name="Hyperlink" xfId="1485" builtinId="8" hidden="1"/>
    <cellStyle name="Hyperlink" xfId="1487" builtinId="8" hidden="1"/>
    <cellStyle name="Hyperlink" xfId="1489" builtinId="8" hidden="1"/>
    <cellStyle name="Hyperlink" xfId="1491" builtinId="8" hidden="1"/>
    <cellStyle name="Hyperlink" xfId="1493" builtinId="8" hidden="1"/>
    <cellStyle name="Hyperlink" xfId="1495" builtinId="8" hidden="1"/>
    <cellStyle name="Hyperlink" xfId="1497" builtinId="8" hidden="1"/>
    <cellStyle name="Hyperlink" xfId="1499" builtinId="8" hidden="1"/>
    <cellStyle name="Hyperlink" xfId="1501" builtinId="8" hidden="1"/>
    <cellStyle name="Hyperlink" xfId="1503" builtinId="8" hidden="1"/>
    <cellStyle name="Hyperlink" xfId="1505" builtinId="8" hidden="1"/>
    <cellStyle name="Hyperlink" xfId="1507" builtinId="8" hidden="1"/>
    <cellStyle name="Hyperlink" xfId="1509" builtinId="8" hidden="1"/>
    <cellStyle name="Hyperlink" xfId="1511" builtinId="8" hidden="1"/>
    <cellStyle name="Hyperlink" xfId="1513" builtinId="8" hidden="1"/>
    <cellStyle name="Hyperlink" xfId="1515" builtinId="8" hidden="1"/>
    <cellStyle name="Hyperlink" xfId="1517" builtinId="8" hidden="1"/>
    <cellStyle name="Hyperlink" xfId="1519" builtinId="8" hidden="1"/>
    <cellStyle name="Hyperlink" xfId="1521" builtinId="8" hidden="1"/>
    <cellStyle name="Hyperlink" xfId="1523" builtinId="8" hidden="1"/>
    <cellStyle name="Hyperlink" xfId="1525" builtinId="8" hidden="1"/>
    <cellStyle name="Hyperlink" xfId="1527" builtinId="8" hidden="1"/>
    <cellStyle name="Hyperlink" xfId="1529" builtinId="8" hidden="1"/>
    <cellStyle name="Hyperlink" xfId="1531" builtinId="8" hidden="1"/>
    <cellStyle name="Hyperlink" xfId="1533" builtinId="8" hidden="1"/>
    <cellStyle name="Hyperlink" xfId="1535" builtinId="8" hidden="1"/>
    <cellStyle name="Hyperlink" xfId="1537" builtinId="8" hidden="1"/>
    <cellStyle name="Hyperlink" xfId="1539" builtinId="8" hidden="1"/>
    <cellStyle name="Hyperlink" xfId="1541" builtinId="8" hidden="1"/>
    <cellStyle name="Hyperlink" xfId="1543" builtinId="8" hidden="1"/>
    <cellStyle name="Hyperlink" xfId="1545" builtinId="8" hidden="1"/>
    <cellStyle name="Hyperlink" xfId="1547" builtinId="8" hidden="1"/>
    <cellStyle name="Hyperlink" xfId="1549" builtinId="8" hidden="1"/>
    <cellStyle name="Hyperlink" xfId="1551" builtinId="8" hidden="1"/>
    <cellStyle name="Hyperlink" xfId="1559" builtinId="8" hidden="1"/>
    <cellStyle name="Hyperlink" xfId="1561" builtinId="8" hidden="1"/>
    <cellStyle name="Hyperlink" xfId="1563" builtinId="8" hidden="1"/>
    <cellStyle name="Hyperlink" xfId="1565" builtinId="8" hidden="1"/>
    <cellStyle name="Hyperlink" xfId="1567" builtinId="8" hidden="1"/>
    <cellStyle name="Hyperlink" xfId="1569" builtinId="8" hidden="1"/>
    <cellStyle name="Hyperlink" xfId="1571" builtinId="8" hidden="1"/>
    <cellStyle name="Hyperlink" xfId="1573" builtinId="8" hidden="1"/>
    <cellStyle name="Hyperlink" xfId="1575" builtinId="8" hidden="1"/>
    <cellStyle name="Hyperlink" xfId="1577" builtinId="8" hidden="1"/>
    <cellStyle name="Hyperlink" xfId="1579" builtinId="8" hidden="1"/>
    <cellStyle name="Hyperlink" xfId="1581" builtinId="8" hidden="1"/>
    <cellStyle name="Hyperlink" xfId="1583" builtinId="8" hidden="1"/>
    <cellStyle name="Hyperlink" xfId="1585" builtinId="8" hidden="1"/>
    <cellStyle name="Hyperlink" xfId="1587" builtinId="8" hidden="1"/>
    <cellStyle name="Hyperlink" xfId="1589" builtinId="8" hidden="1"/>
    <cellStyle name="Hyperlink" xfId="1591" builtinId="8" hidden="1"/>
    <cellStyle name="Hyperlink" xfId="1593" builtinId="8" hidden="1"/>
    <cellStyle name="Hyperlink" xfId="1595" builtinId="8" hidden="1"/>
    <cellStyle name="Hyperlink" xfId="1597" builtinId="8" hidden="1"/>
    <cellStyle name="Hyperlink" xfId="1599" builtinId="8" hidden="1"/>
    <cellStyle name="Hyperlink" xfId="1601" builtinId="8" hidden="1"/>
    <cellStyle name="Hyperlink" xfId="1603" builtinId="8" hidden="1"/>
    <cellStyle name="Hyperlink" xfId="1605" builtinId="8" hidden="1"/>
    <cellStyle name="Hyperlink" xfId="1607" builtinId="8" hidden="1"/>
    <cellStyle name="Hyperlink" xfId="1609" builtinId="8" hidden="1"/>
    <cellStyle name="Hyperlink" xfId="1611" builtinId="8" hidden="1"/>
    <cellStyle name="Hyperlink" xfId="1613" builtinId="8" hidden="1"/>
    <cellStyle name="Hyperlink" xfId="1615" builtinId="8" hidden="1"/>
    <cellStyle name="Hyperlink" xfId="1617" builtinId="8" hidden="1"/>
    <cellStyle name="Hyperlink" xfId="1619" builtinId="8" hidden="1"/>
    <cellStyle name="Hyperlink" xfId="1621" builtinId="8" hidden="1"/>
    <cellStyle name="Hyperlink" xfId="1623" builtinId="8" hidden="1"/>
    <cellStyle name="Hyperlink" xfId="1625" builtinId="8" hidden="1"/>
    <cellStyle name="Hyperlink" xfId="1627" builtinId="8" hidden="1"/>
    <cellStyle name="Hyperlink" xfId="1629" builtinId="8" hidden="1"/>
    <cellStyle name="Hyperlink" xfId="1631" builtinId="8" hidden="1"/>
    <cellStyle name="Hyperlink" xfId="1633" builtinId="8" hidden="1"/>
    <cellStyle name="Hyperlink" xfId="1635" builtinId="8" hidden="1"/>
    <cellStyle name="Hyperlink" xfId="1637" builtinId="8" hidden="1"/>
    <cellStyle name="Hyperlink" xfId="1639" builtinId="8" hidden="1"/>
    <cellStyle name="Hyperlink" xfId="1641" builtinId="8" hidden="1"/>
    <cellStyle name="Hyperlink" xfId="1643" builtinId="8" hidden="1"/>
    <cellStyle name="Hyperlink" xfId="1645" builtinId="8" hidden="1"/>
    <cellStyle name="Hyperlink" xfId="1647" builtinId="8" hidden="1"/>
    <cellStyle name="Hyperlink" xfId="1649" builtinId="8" hidden="1"/>
    <cellStyle name="Hyperlink" xfId="1651" builtinId="8" hidden="1"/>
    <cellStyle name="Hyperlink" xfId="1653" builtinId="8" hidden="1"/>
    <cellStyle name="Hyperlink" xfId="1655" builtinId="8" hidden="1"/>
    <cellStyle name="Hyperlink" xfId="1657" builtinId="8" hidden="1"/>
    <cellStyle name="Hyperlink" xfId="1659" builtinId="8" hidden="1"/>
    <cellStyle name="Hyperlink" xfId="1661" builtinId="8" hidden="1"/>
    <cellStyle name="Hyperlink" xfId="1663" builtinId="8" hidden="1"/>
    <cellStyle name="Hyperlink" xfId="1665" builtinId="8" hidden="1"/>
    <cellStyle name="Hyperlink" xfId="1667" builtinId="8" hidden="1"/>
    <cellStyle name="Hyperlink" xfId="1669" builtinId="8" hidden="1"/>
    <cellStyle name="Hyperlink" xfId="1671" builtinId="8" hidden="1"/>
    <cellStyle name="Hyperlink" xfId="1673" builtinId="8" hidden="1"/>
    <cellStyle name="Hyperlink" xfId="1675" builtinId="8" hidden="1"/>
    <cellStyle name="Hyperlink" xfId="1677" builtinId="8" hidden="1"/>
    <cellStyle name="Hyperlink" xfId="1679" builtinId="8" hidden="1"/>
    <cellStyle name="Hyperlink" xfId="1681" builtinId="8" hidden="1"/>
    <cellStyle name="Hyperlink" xfId="1683" builtinId="8" hidden="1"/>
    <cellStyle name="Hyperlink" xfId="1685" builtinId="8" hidden="1"/>
    <cellStyle name="Hyperlink" xfId="1687" builtinId="8" hidden="1"/>
    <cellStyle name="Hyperlink" xfId="1689" builtinId="8" hidden="1"/>
    <cellStyle name="Hyperlink" xfId="1691" builtinId="8" hidden="1"/>
    <cellStyle name="Hyperlink" xfId="1693" builtinId="8" hidden="1"/>
    <cellStyle name="Hyperlink" xfId="1695" builtinId="8" hidden="1"/>
    <cellStyle name="Hyperlink" xfId="1697" builtinId="8" hidden="1"/>
    <cellStyle name="Hyperlink" xfId="1699" builtinId="8" hidden="1"/>
    <cellStyle name="Hyperlink" xfId="1701" builtinId="8" hidden="1"/>
    <cellStyle name="Hyperlink" xfId="1703" builtinId="8" hidden="1"/>
    <cellStyle name="Hyperlink" xfId="1705" builtinId="8" hidden="1"/>
    <cellStyle name="Hyperlink" xfId="1707" builtinId="8" hidden="1"/>
    <cellStyle name="Hyperlink" xfId="1709" builtinId="8" hidden="1"/>
    <cellStyle name="Hyperlink" xfId="1711" builtinId="8" hidden="1"/>
    <cellStyle name="Hyperlink" xfId="1713" builtinId="8" hidden="1"/>
    <cellStyle name="Hyperlink" xfId="1715" builtinId="8" hidden="1"/>
    <cellStyle name="Hyperlink" xfId="1717" builtinId="8" hidden="1"/>
    <cellStyle name="Hyperlink" xfId="1719" builtinId="8" hidden="1"/>
    <cellStyle name="Hyperlink" xfId="1721" builtinId="8" hidden="1"/>
    <cellStyle name="Hyperlink" xfId="1723" builtinId="8" hidden="1"/>
    <cellStyle name="Hyperlink" xfId="1725" builtinId="8" hidden="1"/>
    <cellStyle name="Hyperlink" xfId="1727" builtinId="8" hidden="1"/>
    <cellStyle name="Hyperlink" xfId="1729" builtinId="8" hidden="1"/>
    <cellStyle name="Hyperlink" xfId="1731" builtinId="8" hidden="1"/>
    <cellStyle name="Hyperlink" xfId="1733" builtinId="8" hidden="1"/>
    <cellStyle name="Hyperlink" xfId="1735" builtinId="8" hidden="1"/>
    <cellStyle name="Hyperlink" xfId="1737" builtinId="8" hidden="1"/>
    <cellStyle name="Hyperlink" xfId="1739" builtinId="8" hidden="1"/>
    <cellStyle name="Hyperlink" xfId="1741" builtinId="8" hidden="1"/>
    <cellStyle name="Hyperlink" xfId="1743" builtinId="8" hidden="1"/>
    <cellStyle name="Hyperlink" xfId="1745" builtinId="8" hidden="1"/>
    <cellStyle name="Hyperlink" xfId="1747" builtinId="8" hidden="1"/>
    <cellStyle name="Hyperlink" xfId="1749" builtinId="8" hidden="1"/>
    <cellStyle name="Hyperlink" xfId="1751" builtinId="8" hidden="1"/>
    <cellStyle name="Hyperlink" xfId="1753" builtinId="8" hidden="1"/>
    <cellStyle name="Hyperlink" xfId="1755" builtinId="8" hidden="1"/>
    <cellStyle name="Hyperlink" xfId="1757" builtinId="8" hidden="1"/>
    <cellStyle name="Hyperlink" xfId="1759" builtinId="8" hidden="1"/>
    <cellStyle name="Hyperlink" xfId="1761" builtinId="8" hidden="1"/>
    <cellStyle name="Hyperlink" xfId="1763" builtinId="8" hidden="1"/>
    <cellStyle name="Hyperlink" xfId="1765" builtinId="8" hidden="1"/>
    <cellStyle name="Hyperlink" xfId="1767" builtinId="8" hidden="1"/>
    <cellStyle name="Hyperlink" xfId="1769" builtinId="8" hidden="1"/>
    <cellStyle name="Hyperlink" xfId="1771" builtinId="8" hidden="1"/>
    <cellStyle name="Hyperlink" xfId="1773" builtinId="8" hidden="1"/>
    <cellStyle name="Hyperlink" xfId="1775" builtinId="8" hidden="1"/>
    <cellStyle name="Hyperlink" xfId="1777" builtinId="8" hidden="1"/>
    <cellStyle name="Hyperlink" xfId="1779" builtinId="8" hidden="1"/>
    <cellStyle name="Hyperlink" xfId="1781" builtinId="8" hidden="1"/>
    <cellStyle name="Hyperlink" xfId="1783" builtinId="8" hidden="1"/>
    <cellStyle name="Hyperlink" xfId="1785" builtinId="8" hidden="1"/>
    <cellStyle name="Hyperlink" xfId="1787" builtinId="8" hidden="1"/>
    <cellStyle name="Hyperlink" xfId="1789" builtinId="8" hidden="1"/>
    <cellStyle name="Hyperlink" xfId="1791" builtinId="8" hidden="1"/>
    <cellStyle name="Hyperlink" xfId="1793" builtinId="8" hidden="1"/>
    <cellStyle name="Hyperlink" xfId="1795" builtinId="8" hidden="1"/>
    <cellStyle name="Hyperlink" xfId="1797" builtinId="8" hidden="1"/>
    <cellStyle name="Hyperlink" xfId="1799" builtinId="8" hidden="1"/>
    <cellStyle name="Hyperlink" xfId="1801" builtinId="8" hidden="1"/>
    <cellStyle name="Hyperlink" xfId="1803" builtinId="8" hidden="1"/>
    <cellStyle name="Hyperlink" xfId="1805" builtinId="8" hidden="1"/>
    <cellStyle name="Hyperlink" xfId="1807" builtinId="8" hidden="1"/>
    <cellStyle name="Hyperlink" xfId="1809" builtinId="8" hidden="1"/>
    <cellStyle name="Hyperlink" xfId="1811" builtinId="8" hidden="1"/>
    <cellStyle name="Hyperlink" xfId="1813" builtinId="8" hidden="1"/>
    <cellStyle name="Hyperlink" xfId="1815" builtinId="8" hidden="1"/>
    <cellStyle name="Hyperlink" xfId="1817" builtinId="8" hidden="1"/>
    <cellStyle name="Hyperlink" xfId="1819" builtinId="8" hidden="1"/>
    <cellStyle name="Hyperlink" xfId="1821" builtinId="8" hidden="1"/>
    <cellStyle name="Hyperlink" xfId="1823" builtinId="8" hidden="1"/>
    <cellStyle name="Hyperlink" xfId="1825" builtinId="8" hidden="1"/>
    <cellStyle name="Hyperlink" xfId="1827" builtinId="8" hidden="1"/>
    <cellStyle name="Hyperlink" xfId="1829" builtinId="8" hidden="1"/>
    <cellStyle name="Hyperlink" xfId="1831" builtinId="8" hidden="1"/>
    <cellStyle name="Hyperlink" xfId="1834" builtinId="8" hidden="1"/>
    <cellStyle name="Hyperlink" xfId="1836" builtinId="8" hidden="1"/>
    <cellStyle name="Hyperlink" xfId="1838" builtinId="8"/>
    <cellStyle name="Input" xfId="1555" builtinId="20"/>
    <cellStyle name="Neutral" xfId="1553" builtinId="28"/>
    <cellStyle name="Normal" xfId="0" builtinId="0"/>
    <cellStyle name="Normal 2" xfId="6"/>
    <cellStyle name="Normal 3" xfId="1557"/>
    <cellStyle name="Normal 3 2" xfId="1840"/>
    <cellStyle name="Normal 5" xfId="723"/>
    <cellStyle name="Percent" xfId="1554" builtinId="5"/>
    <cellStyle name="Warning Text" xfId="1558" builtinId="11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rgb="FF242729"/>
        <name val="Consolas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6" tint="0.3999755851924192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6" tint="0.3999755851924192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fill>
        <patternFill patternType="solid">
          <fgColor indexed="64"/>
          <bgColor theme="6" tint="0.3999755851924192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Medium4">
    <tableStyle name="MySqlDefault" pivot="0" table="0" count="2">
      <tableStyleElement type="wholeTable" dxfId="12"/>
      <tableStyleElement type="headerRow" dxfId="11"/>
    </tableStyle>
  </tableStyles>
  <colors>
    <mruColors>
      <color rgb="FFFFFF99"/>
      <color rgb="FFFF99FF"/>
      <color rgb="FF0066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2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5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1.xml"/><Relationship Id="rId38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Land Requirment and Feedbasket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'Land requirements'!$C$3</c:f>
              <c:strCache>
                <c:ptCount val="1"/>
                <c:pt idx="0">
                  <c:v>Season 1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C9D-4AA2-90B5-C02A4FA3599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C9D-4AA2-90B5-C02A4FA3599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C9D-4AA2-90B5-C02A4FA3599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BC9D-4AA2-90B5-C02A4FA3599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BC9D-4AA2-90B5-C02A4FA3599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BC9D-4AA2-90B5-C02A4FA35996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BC9D-4AA2-90B5-C02A4FA3599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'Land requirements'!$B$4:$B$11</c15:sqref>
                  </c15:fullRef>
                </c:ext>
              </c:extLst>
              <c:f>'Land requirements'!$B$4:$B$10</c:f>
              <c:strCache>
                <c:ptCount val="7"/>
                <c:pt idx="0">
                  <c:v>Purchased</c:v>
                </c:pt>
                <c:pt idx="1">
                  <c:v>Natural pasture</c:v>
                </c:pt>
                <c:pt idx="2">
                  <c:v>Maize</c:v>
                </c:pt>
                <c:pt idx="3">
                  <c:v>N/A</c:v>
                </c:pt>
                <c:pt idx="4">
                  <c:v>N/A</c:v>
                </c:pt>
                <c:pt idx="5">
                  <c:v>N/A</c:v>
                </c:pt>
                <c:pt idx="6">
                  <c:v>N/A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'Land requirements'!$C$4:$C$11</c15:sqref>
                  </c15:fullRef>
                </c:ext>
              </c:extLst>
              <c:f>'Land requirements'!$C$4:$C$10</c:f>
              <c:numCache>
                <c:formatCode>0.000</c:formatCode>
                <c:ptCount val="7"/>
                <c:pt idx="0">
                  <c:v>0</c:v>
                </c:pt>
                <c:pt idx="1">
                  <c:v>0.10740815740749278</c:v>
                </c:pt>
                <c:pt idx="2">
                  <c:v>1.1704943383294664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0-2A5A-419A-B175-B353121505C3}"/>
            </c:ext>
          </c:extLst>
        </c:ser>
        <c:ser>
          <c:idx val="1"/>
          <c:order val="1"/>
          <c:tx>
            <c:strRef>
              <c:f>'Land requirements'!$D$3</c:f>
              <c:strCache>
                <c:ptCount val="1"/>
                <c:pt idx="0">
                  <c:v>Season 2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BC9D-4AA2-90B5-C02A4FA3599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BC9D-4AA2-90B5-C02A4FA3599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BC9D-4AA2-90B5-C02A4FA3599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BC9D-4AA2-90B5-C02A4FA3599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BC9D-4AA2-90B5-C02A4FA3599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BC9D-4AA2-90B5-C02A4FA35996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B-BC9D-4AA2-90B5-C02A4FA3599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'Land requirements'!$B$4:$B$11</c15:sqref>
                  </c15:fullRef>
                </c:ext>
              </c:extLst>
              <c:f>'Land requirements'!$B$4:$B$10</c:f>
              <c:strCache>
                <c:ptCount val="7"/>
                <c:pt idx="0">
                  <c:v>Purchased</c:v>
                </c:pt>
                <c:pt idx="1">
                  <c:v>Natural pasture</c:v>
                </c:pt>
                <c:pt idx="2">
                  <c:v>Maize</c:v>
                </c:pt>
                <c:pt idx="3">
                  <c:v>N/A</c:v>
                </c:pt>
                <c:pt idx="4">
                  <c:v>N/A</c:v>
                </c:pt>
                <c:pt idx="5">
                  <c:v>N/A</c:v>
                </c:pt>
                <c:pt idx="6">
                  <c:v>N/A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'Land requirements'!$D$4:$D$11</c15:sqref>
                  </c15:fullRef>
                </c:ext>
              </c:extLst>
              <c:f>'Land requirements'!$D$4:$D$10</c:f>
              <c:numCache>
                <c:formatCode>0.000</c:formatCode>
                <c:ptCount val="7"/>
                <c:pt idx="0">
                  <c:v>0</c:v>
                </c:pt>
                <c:pt idx="1">
                  <c:v>6.9186335627348938E-2</c:v>
                </c:pt>
                <c:pt idx="2">
                  <c:v>0.75396707378880046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1-2A5A-419A-B175-B353121505C3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extLst>
          <c:ext xmlns:c15="http://schemas.microsoft.com/office/drawing/2012/chart" uri="{02D57815-91ED-43cb-92C2-25804820EDAC}">
            <c15:filteredPi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'Land requirements'!$E$3</c15:sqref>
                        </c15:formulaRef>
                      </c:ext>
                    </c:extLst>
                    <c:strCache>
                      <c:ptCount val="1"/>
                      <c:pt idx="0">
                        <c:v>Season 3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1D-BC9D-4AA2-90B5-C02A4FA35996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1F-BC9D-4AA2-90B5-C02A4FA35996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21-BC9D-4AA2-90B5-C02A4FA35996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23-BC9D-4AA2-90B5-C02A4FA35996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25-BC9D-4AA2-90B5-C02A4FA35996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27-BC9D-4AA2-90B5-C02A4FA35996}"/>
                    </c:ext>
                  </c:extLst>
                </c:dPt>
                <c:dPt>
                  <c:idx val="6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29-BC9D-4AA2-90B5-C02A4FA35996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inEnd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ullRef>
                          <c15:sqref>'Land requirements'!$B$4:$B$11</c15:sqref>
                        </c15:fullRef>
                        <c15:formulaRef>
                          <c15:sqref>'Land requirements'!$B$4:$B$10</c15:sqref>
                        </c15:formulaRef>
                      </c:ext>
                    </c:extLst>
                    <c:strCache>
                      <c:ptCount val="7"/>
                      <c:pt idx="0">
                        <c:v>Purchased</c:v>
                      </c:pt>
                      <c:pt idx="1">
                        <c:v>Natural pasture</c:v>
                      </c:pt>
                      <c:pt idx="2">
                        <c:v>Maize</c:v>
                      </c:pt>
                      <c:pt idx="3">
                        <c:v>N/A</c:v>
                      </c:pt>
                      <c:pt idx="4">
                        <c:v>N/A</c:v>
                      </c:pt>
                      <c:pt idx="5">
                        <c:v>N/A</c:v>
                      </c:pt>
                      <c:pt idx="6">
                        <c:v>N/A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'Land requirements'!$E$4:$E$11</c15:sqref>
                        </c15:fullRef>
                        <c15:formulaRef>
                          <c15:sqref>'Land requirements'!$E$4:$E$10</c15:sqref>
                        </c15:formulaRef>
                      </c:ext>
                    </c:extLst>
                    <c:numCache>
                      <c:formatCode>0.000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</c:numCache>
                  </c:numRef>
                </c:val>
                <c:extLst>
                  <c:ext uri="{02D57815-91ED-43cb-92C2-25804820EDAC}">
                    <c15:categoryFilterExceptions/>
                  </c:ext>
                  <c:ext xmlns:c16="http://schemas.microsoft.com/office/drawing/2014/chart" uri="{C3380CC4-5D6E-409C-BE32-E72D297353CC}">
                    <c16:uniqueId val="{00000002-2A5A-419A-B175-B353121505C3}"/>
                  </c:ext>
                </c:extLst>
              </c15:ser>
            </c15:filteredPieSeries>
          </c:ext>
        </c:extLst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 balance</a:t>
            </a:r>
            <a:r>
              <a:rPr lang="en-US" baseline="0"/>
              <a:t> </a:t>
            </a:r>
          </a:p>
        </c:rich>
      </c:tx>
      <c:layout>
        <c:manualLayout>
          <c:xMode val="edge"/>
          <c:yMode val="edge"/>
          <c:x val="0.45326688594305498"/>
          <c:y val="3.5587115246957797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'Soil impacts'!$B$9:$B$15</c:f>
              <c:strCache>
                <c:ptCount val="7"/>
                <c:pt idx="0">
                  <c:v>Purchased</c:v>
                </c:pt>
                <c:pt idx="1">
                  <c:v>Natural pasture</c:v>
                </c:pt>
                <c:pt idx="2">
                  <c:v>Maize</c:v>
                </c:pt>
                <c:pt idx="3">
                  <c:v>N/A</c:v>
                </c:pt>
                <c:pt idx="4">
                  <c:v>N/A</c:v>
                </c:pt>
                <c:pt idx="5">
                  <c:v>N/A</c:v>
                </c:pt>
                <c:pt idx="6">
                  <c:v>N/A</c:v>
                </c:pt>
              </c:strCache>
            </c:strRef>
          </c:cat>
          <c:val>
            <c:numRef>
              <c:f>'Soil impacts'!$E$9:$E$15</c:f>
              <c:numCache>
                <c:formatCode>0.00</c:formatCode>
                <c:ptCount val="7"/>
                <c:pt idx="0">
                  <c:v>0</c:v>
                </c:pt>
                <c:pt idx="1">
                  <c:v>-22.33032304190283</c:v>
                </c:pt>
                <c:pt idx="2">
                  <c:v>2.6470494501423332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50-48D9-AE2D-F3F7EB54D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342528"/>
        <c:axId val="117343088"/>
      </c:barChart>
      <c:catAx>
        <c:axId val="1173425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Crops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crossAx val="117343088"/>
        <c:crosses val="autoZero"/>
        <c:auto val="1"/>
        <c:lblAlgn val="ctr"/>
        <c:lblOffset val="100"/>
        <c:noMultiLvlLbl val="0"/>
      </c:catAx>
      <c:valAx>
        <c:axId val="1173430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kg N</a:t>
                </a:r>
                <a:r>
                  <a:rPr lang="en-US" baseline="0"/>
                  <a:t> </a:t>
                </a:r>
              </a:p>
            </c:rich>
          </c:tx>
          <c:layout>
            <c:manualLayout>
              <c:xMode val="edge"/>
              <c:yMode val="edge"/>
              <c:x val="3.0444558106065181E-2"/>
              <c:y val="0.44267145841608485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117342528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N inputs &amp;outputs 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'Soil impacts'!$C$7</c:f>
              <c:strCache>
                <c:ptCount val="1"/>
                <c:pt idx="0">
                  <c:v>Inputs 
(kg N/year)</c:v>
                </c:pt>
              </c:strCache>
            </c:strRef>
          </c:tx>
          <c:invertIfNegative val="0"/>
          <c:cat>
            <c:strRef>
              <c:f>'Soil impacts'!$B$9:$B$15</c:f>
              <c:strCache>
                <c:ptCount val="7"/>
                <c:pt idx="0">
                  <c:v>Purchased</c:v>
                </c:pt>
                <c:pt idx="1">
                  <c:v>Natural pasture</c:v>
                </c:pt>
                <c:pt idx="2">
                  <c:v>Maize</c:v>
                </c:pt>
                <c:pt idx="3">
                  <c:v>N/A</c:v>
                </c:pt>
                <c:pt idx="4">
                  <c:v>N/A</c:v>
                </c:pt>
                <c:pt idx="5">
                  <c:v>N/A</c:v>
                </c:pt>
                <c:pt idx="6">
                  <c:v>N/A</c:v>
                </c:pt>
              </c:strCache>
            </c:strRef>
          </c:cat>
          <c:val>
            <c:numRef>
              <c:f>'Soil impacts'!$C$9:$C$15</c:f>
              <c:numCache>
                <c:formatCode>0.00</c:formatCode>
                <c:ptCount val="7"/>
                <c:pt idx="0">
                  <c:v>0</c:v>
                </c:pt>
                <c:pt idx="1">
                  <c:v>3.9713135299094002</c:v>
                </c:pt>
                <c:pt idx="2">
                  <c:v>67.049308954289941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98-4046-B24C-6A21779DD429}"/>
            </c:ext>
          </c:extLst>
        </c:ser>
        <c:ser>
          <c:idx val="1"/>
          <c:order val="1"/>
          <c:tx>
            <c:strRef>
              <c:f>'Soil impacts'!$D$7</c:f>
              <c:strCache>
                <c:ptCount val="1"/>
                <c:pt idx="0">
                  <c:v>Outputs 
(kg N/year)</c:v>
                </c:pt>
              </c:strCache>
            </c:strRef>
          </c:tx>
          <c:invertIfNegative val="0"/>
          <c:cat>
            <c:strRef>
              <c:f>'Soil impacts'!$B$9:$B$15</c:f>
              <c:strCache>
                <c:ptCount val="7"/>
                <c:pt idx="0">
                  <c:v>Purchased</c:v>
                </c:pt>
                <c:pt idx="1">
                  <c:v>Natural pasture</c:v>
                </c:pt>
                <c:pt idx="2">
                  <c:v>Maize</c:v>
                </c:pt>
                <c:pt idx="3">
                  <c:v>N/A</c:v>
                </c:pt>
                <c:pt idx="4">
                  <c:v>N/A</c:v>
                </c:pt>
                <c:pt idx="5">
                  <c:v>N/A</c:v>
                </c:pt>
                <c:pt idx="6">
                  <c:v>N/A</c:v>
                </c:pt>
              </c:strCache>
            </c:strRef>
          </c:cat>
          <c:val>
            <c:numRef>
              <c:f>'Soil impacts'!$D$9:$D$15</c:f>
              <c:numCache>
                <c:formatCode>0.00</c:formatCode>
                <c:ptCount val="7"/>
                <c:pt idx="0">
                  <c:v>0</c:v>
                </c:pt>
                <c:pt idx="1">
                  <c:v>26.301636571812232</c:v>
                </c:pt>
                <c:pt idx="2">
                  <c:v>64.402259504147608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98-4046-B24C-6A21779DD4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208139504"/>
        <c:axId val="208140064"/>
      </c:barChart>
      <c:catAx>
        <c:axId val="208139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Crops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crossAx val="208140064"/>
        <c:crosses val="autoZero"/>
        <c:auto val="1"/>
        <c:lblAlgn val="ctr"/>
        <c:lblOffset val="100"/>
        <c:noMultiLvlLbl val="0"/>
      </c:catAx>
      <c:valAx>
        <c:axId val="208140064"/>
        <c:scaling>
          <c:orientation val="minMax"/>
        </c:scaling>
        <c:delete val="0"/>
        <c:axPos val="l"/>
        <c:majorGridlines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 sz="1100"/>
                </a:pPr>
                <a:r>
                  <a:rPr lang="en-US" sz="1100"/>
                  <a:t>kg N 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081395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water</a:t>
            </a:r>
            <a:r>
              <a:rPr lang="en-US" baseline="0"/>
              <a:t> Use per FEED Crop</a:t>
            </a:r>
            <a:endParaRPr lang="en-US"/>
          </a:p>
        </c:rich>
      </c:tx>
      <c:layout>
        <c:manualLayout>
          <c:xMode val="edge"/>
          <c:yMode val="edge"/>
          <c:x val="0.39942344706911637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83B3-49D6-B583-A092D2513A65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83B3-49D6-B583-A092D2513A65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5-83B3-49D6-B583-A092D2513A65}"/>
              </c:ext>
            </c:extLst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7-83B3-49D6-B583-A092D2513A65}"/>
              </c:ext>
            </c:extLst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9-83B3-49D6-B583-A092D2513A65}"/>
              </c:ext>
            </c:extLst>
          </c:dPt>
          <c:dPt>
            <c:idx val="5"/>
            <c:bubble3D val="0"/>
            <c:spPr>
              <a:pattFill prst="ltUpDiag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B-83B3-49D6-B583-A092D2513A65}"/>
              </c:ext>
            </c:extLst>
          </c:dPt>
          <c:dPt>
            <c:idx val="6"/>
            <c:bubble3D val="0"/>
            <c:spPr>
              <a:pattFill prst="ltUpDiag">
                <a:fgClr>
                  <a:schemeClr val="accent1">
                    <a:lumMod val="60000"/>
                  </a:schemeClr>
                </a:fgClr>
                <a:bgClr>
                  <a:schemeClr val="accent1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D-83B3-49D6-B583-A092D2513A6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'Water Impacts'!$A$10:$A$16</c:f>
              <c:strCache>
                <c:ptCount val="7"/>
                <c:pt idx="0">
                  <c:v>Concentrate (commercial)</c:v>
                </c:pt>
                <c:pt idx="1">
                  <c:v>Naturally occuring pasture - green fodder </c:v>
                </c:pt>
                <c:pt idx="2">
                  <c:v>Maize (Zea mays) - stover</c:v>
                </c:pt>
                <c:pt idx="3">
                  <c:v>N/A</c:v>
                </c:pt>
                <c:pt idx="4">
                  <c:v>N/A</c:v>
                </c:pt>
                <c:pt idx="5">
                  <c:v>N/A</c:v>
                </c:pt>
                <c:pt idx="6">
                  <c:v>N/A</c:v>
                </c:pt>
              </c:strCache>
            </c:strRef>
          </c:cat>
          <c:val>
            <c:numRef>
              <c:f>'Water Impacts'!$B$10:$B$16</c:f>
              <c:numCache>
                <c:formatCode>0</c:formatCode>
                <c:ptCount val="7"/>
                <c:pt idx="0">
                  <c:v>0</c:v>
                </c:pt>
                <c:pt idx="1">
                  <c:v>154.69677589852131</c:v>
                </c:pt>
                <c:pt idx="2">
                  <c:v>1470.7764210373243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D2-4B04-B31F-B28CA7AE2C8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GHG</a:t>
            </a:r>
            <a:r>
              <a:rPr lang="en-US" baseline="0"/>
              <a:t> emissions 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37640223147977"/>
          <c:y val="0.147756533743615"/>
          <c:w val="0.82941504575935399"/>
          <c:h val="0.5688866567447590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'GHG emissions'!$C$28</c:f>
              <c:strCache>
                <c:ptCount val="1"/>
                <c:pt idx="0">
                  <c:v>Tier 1</c:v>
                </c:pt>
              </c:strCache>
            </c:strRef>
          </c:tx>
          <c:invertIfNegative val="0"/>
          <c:cat>
            <c:strRef>
              <c:f>'GHG emissions'!$B$30:$B$36</c:f>
              <c:strCache>
                <c:ptCount val="7"/>
                <c:pt idx="0">
                  <c:v>Soil</c:v>
                </c:pt>
                <c:pt idx="1">
                  <c:v>Off-farm Soil</c:v>
                </c:pt>
                <c:pt idx="2">
                  <c:v>Liv. Manure</c:v>
                </c:pt>
                <c:pt idx="3">
                  <c:v>Liv.enteric fermentation</c:v>
                </c:pt>
                <c:pt idx="4">
                  <c:v>Burning</c:v>
                </c:pt>
                <c:pt idx="5">
                  <c:v>Rice</c:v>
                </c:pt>
                <c:pt idx="6">
                  <c:v>Off-farm emissions </c:v>
                </c:pt>
              </c:strCache>
            </c:strRef>
          </c:cat>
          <c:val>
            <c:numRef>
              <c:f>'GHG emissions'!$C$30:$C$36</c:f>
              <c:numCache>
                <c:formatCode>0.00</c:formatCode>
                <c:ptCount val="7"/>
                <c:pt idx="0">
                  <c:v>0.3170331308668437</c:v>
                </c:pt>
                <c:pt idx="1">
                  <c:v>0</c:v>
                </c:pt>
                <c:pt idx="2">
                  <c:v>0.26469026702595155</c:v>
                </c:pt>
                <c:pt idx="3">
                  <c:v>1.1594170312295824</c:v>
                </c:pt>
                <c:pt idx="4">
                  <c:v>0</c:v>
                </c:pt>
                <c:pt idx="5">
                  <c:v>0</c:v>
                </c:pt>
                <c:pt idx="6">
                  <c:v>1.8681083118128534E-3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C7-42B3-A321-DD223099DDCF}"/>
            </c:ext>
          </c:extLst>
        </c:ser>
        <c:ser>
          <c:idx val="1"/>
          <c:order val="1"/>
          <c:tx>
            <c:strRef>
              <c:f>'GHG emissions'!$D$28</c:f>
              <c:strCache>
                <c:ptCount val="1"/>
                <c:pt idx="0">
                  <c:v>Tier 2</c:v>
                </c:pt>
              </c:strCache>
            </c:strRef>
          </c:tx>
          <c:invertIfNegative val="0"/>
          <c:cat>
            <c:strRef>
              <c:f>'GHG emissions'!$B$30:$B$36</c:f>
              <c:strCache>
                <c:ptCount val="7"/>
                <c:pt idx="0">
                  <c:v>Soil</c:v>
                </c:pt>
                <c:pt idx="1">
                  <c:v>Off-farm Soil</c:v>
                </c:pt>
                <c:pt idx="2">
                  <c:v>Liv. Manure</c:v>
                </c:pt>
                <c:pt idx="3">
                  <c:v>Liv.enteric fermentation</c:v>
                </c:pt>
                <c:pt idx="4">
                  <c:v>Burning</c:v>
                </c:pt>
                <c:pt idx="5">
                  <c:v>Rice</c:v>
                </c:pt>
                <c:pt idx="6">
                  <c:v>Off-farm emissions </c:v>
                </c:pt>
              </c:strCache>
            </c:strRef>
          </c:cat>
          <c:val>
            <c:numRef>
              <c:f>'GHG emissions'!$D$30:$D$36</c:f>
              <c:numCache>
                <c:formatCode>0.00</c:formatCode>
                <c:ptCount val="7"/>
                <c:pt idx="0">
                  <c:v>0.18415985027297313</c:v>
                </c:pt>
                <c:pt idx="1">
                  <c:v>0</c:v>
                </c:pt>
                <c:pt idx="2">
                  <c:v>0.28799523017734902</c:v>
                </c:pt>
                <c:pt idx="3">
                  <c:v>2.2482387263006576</c:v>
                </c:pt>
                <c:pt idx="4">
                  <c:v>0</c:v>
                </c:pt>
                <c:pt idx="5">
                  <c:v>0</c:v>
                </c:pt>
                <c:pt idx="6">
                  <c:v>1.8681083118128534E-3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C7-42B3-A321-DD223099DD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8403488"/>
        <c:axId val="208404048"/>
      </c:barChart>
      <c:catAx>
        <c:axId val="2084034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 sz="1200"/>
            </a:pPr>
            <a:endParaRPr lang="en-US"/>
          </a:p>
        </c:txPr>
        <c:crossAx val="208404048"/>
        <c:crosses val="autoZero"/>
        <c:auto val="1"/>
        <c:lblAlgn val="ctr"/>
        <c:lblOffset val="100"/>
        <c:noMultiLvlLbl val="0"/>
      </c:catAx>
      <c:valAx>
        <c:axId val="2084040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/>
                </a:pPr>
                <a:r>
                  <a:rPr lang="en-US" sz="1200" b="0">
                    <a:latin typeface="+mn-lt"/>
                  </a:rPr>
                  <a:t>t CO2e/ ha </a:t>
                </a:r>
              </a:p>
              <a:p>
                <a:pPr>
                  <a:defRPr sz="1000"/>
                </a:pPr>
                <a:endParaRPr lang="en-US" sz="1000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20840348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3852242142819005"/>
          <c:y val="0.84636598496415405"/>
          <c:w val="7.3782954425273606E-2"/>
          <c:h val="8.0916402068881704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04" l="0.70000000000000395" r="0.70000000000000395" t="0.750000000000004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7819100291616499E-2"/>
          <c:y val="0.118465250007237"/>
          <c:w val="0.63186739079368803"/>
          <c:h val="0.82297426987692202"/>
        </c:manualLayout>
      </c:layout>
      <c:pieChart>
        <c:varyColors val="1"/>
        <c:ser>
          <c:idx val="0"/>
          <c:order val="0"/>
          <c:tx>
            <c:strRef>
              <c:f>'GHG emissions'!$B$2</c:f>
              <c:strCache>
                <c:ptCount val="1"/>
                <c:pt idx="0">
                  <c:v>TIER 1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5CA-4E5C-875C-59C865A18DF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5CA-4E5C-875C-59C865A18DF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5CA-4E5C-875C-59C865A18DF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5CA-4E5C-875C-59C865A18DF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5CA-4E5C-875C-59C865A18DF4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5CA-4E5C-875C-59C865A18DF4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05CA-4E5C-875C-59C865A18DF4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05CA-4E5C-875C-59C865A18DF4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05CA-4E5C-875C-59C865A18DF4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05CA-4E5C-875C-59C865A18DF4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5CC3-4B6A-88EE-B367F44588B1}"/>
              </c:ext>
            </c:extLst>
          </c:dPt>
          <c:cat>
            <c:strRef>
              <c:extLst>
                <c:ext xmlns:c15="http://schemas.microsoft.com/office/drawing/2012/chart" uri="{02D57815-91ED-43cb-92C2-25804820EDAC}">
                  <c15:fullRef>
                    <c15:sqref>'GHG emissions'!$B$5:$B$15</c15:sqref>
                  </c15:fullRef>
                </c:ext>
              </c:extLst>
              <c:f>'GHG emissions'!$B$5:$B$14</c:f>
              <c:strCache>
                <c:ptCount val="10"/>
                <c:pt idx="0">
                  <c:v>Enteric fermentation-Methane </c:v>
                </c:pt>
                <c:pt idx="1">
                  <c:v>Manure-Methane </c:v>
                </c:pt>
                <c:pt idx="2">
                  <c:v>Manure-Direct N2O</c:v>
                </c:pt>
                <c:pt idx="3">
                  <c:v>Manure-Indirect N2O</c:v>
                </c:pt>
                <c:pt idx="4">
                  <c:v>Soil-Direct N2O</c:v>
                </c:pt>
                <c:pt idx="5">
                  <c:v>Soil-Indirect N2O</c:v>
                </c:pt>
                <c:pt idx="6">
                  <c:v>OFF-Farm Soil-Direct N2O</c:v>
                </c:pt>
                <c:pt idx="7">
                  <c:v>OFF-Farm Soil-Indirect N2O</c:v>
                </c:pt>
                <c:pt idx="8">
                  <c:v>Burning</c:v>
                </c:pt>
                <c:pt idx="9">
                  <c:v>Rice production-Methane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'GHG emissions'!$E$5:$E$15</c15:sqref>
                  </c15:fullRef>
                </c:ext>
              </c:extLst>
              <c:f>'GHG emissions'!$E$5:$E$14</c:f>
              <c:numCache>
                <c:formatCode>0.00</c:formatCode>
                <c:ptCount val="10"/>
                <c:pt idx="0">
                  <c:v>1159.4170312295823</c:v>
                </c:pt>
                <c:pt idx="1">
                  <c:v>26.653265085737523</c:v>
                </c:pt>
                <c:pt idx="2">
                  <c:v>148.77312621263374</c:v>
                </c:pt>
                <c:pt idx="3">
                  <c:v>89.263875727580242</c:v>
                </c:pt>
                <c:pt idx="4">
                  <c:v>269.39963286522686</c:v>
                </c:pt>
                <c:pt idx="5">
                  <c:v>47.633498001616807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6-05CA-4E5C-875C-59C865A18D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716383804172998"/>
          <c:y val="0.116708985869246"/>
          <c:w val="0.29907777263593599"/>
          <c:h val="0.730769747697600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'GHG emissions'!$I$2</c:f>
              <c:strCache>
                <c:ptCount val="1"/>
                <c:pt idx="0">
                  <c:v>TIER 2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8E9-41A9-948B-81A633EE90E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8E9-41A9-948B-81A633EE90E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8E9-41A9-948B-81A633EE90E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8E9-41A9-948B-81A633EE90E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8E9-41A9-948B-81A633EE90E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8E9-41A9-948B-81A633EE90E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C8E9-41A9-948B-81A633EE90E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C8E9-41A9-948B-81A633EE90E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C8E9-41A9-948B-81A633EE90E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C8E9-41A9-948B-81A633EE90E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FFC8-4BCC-A067-CFE544E1DA7E}"/>
              </c:ext>
            </c:extLst>
          </c:dPt>
          <c:cat>
            <c:strRef>
              <c:extLst>
                <c:ext xmlns:c15="http://schemas.microsoft.com/office/drawing/2012/chart" uri="{02D57815-91ED-43cb-92C2-25804820EDAC}">
                  <c15:fullRef>
                    <c15:sqref>'GHG emissions'!$I$5:$I$15</c15:sqref>
                  </c15:fullRef>
                </c:ext>
              </c:extLst>
              <c:f>'GHG emissions'!$I$5:$I$14</c:f>
              <c:strCache>
                <c:ptCount val="10"/>
                <c:pt idx="0">
                  <c:v>Enteric fermentation-Methane </c:v>
                </c:pt>
                <c:pt idx="1">
                  <c:v>Manure-Methane </c:v>
                </c:pt>
                <c:pt idx="2">
                  <c:v>Manure-Direct N2O</c:v>
                </c:pt>
                <c:pt idx="3">
                  <c:v>Manure-Indirect N2O</c:v>
                </c:pt>
                <c:pt idx="4">
                  <c:v>Soil-Direct N2O</c:v>
                </c:pt>
                <c:pt idx="5">
                  <c:v>Soil-Indirect N2O</c:v>
                </c:pt>
                <c:pt idx="6">
                  <c:v>OFF-Farm Soil-Direct N2O</c:v>
                </c:pt>
                <c:pt idx="7">
                  <c:v>OFF-Farm Soil-Indirect N2O</c:v>
                </c:pt>
                <c:pt idx="8">
                  <c:v>Burning</c:v>
                </c:pt>
                <c:pt idx="9">
                  <c:v>Rice production-Methane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'GHG emissions'!$L$5:$L$15</c15:sqref>
                  </c15:fullRef>
                </c:ext>
              </c:extLst>
              <c:f>'GHG emissions'!$L$5:$L$14</c:f>
              <c:numCache>
                <c:formatCode>0.00</c:formatCode>
                <c:ptCount val="10"/>
                <c:pt idx="0">
                  <c:v>2248.2387263006576</c:v>
                </c:pt>
                <c:pt idx="1">
                  <c:v>191.68972753726362</c:v>
                </c:pt>
                <c:pt idx="2">
                  <c:v>60.190939150053374</c:v>
                </c:pt>
                <c:pt idx="3">
                  <c:v>36.114563490032026</c:v>
                </c:pt>
                <c:pt idx="4">
                  <c:v>158.67189903700142</c:v>
                </c:pt>
                <c:pt idx="5">
                  <c:v>25.487951235971718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6-C8E9-41A9-948B-81A633EE90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GHG</a:t>
            </a:r>
            <a:r>
              <a:rPr lang="en-US" baseline="0"/>
              <a:t> emissions 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37640223147977"/>
          <c:y val="0.147756533743615"/>
          <c:w val="0.82941504575935399"/>
          <c:h val="0.5688866567447590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'[4]GHG emissions'!$C$28</c:f>
              <c:strCache>
                <c:ptCount val="1"/>
                <c:pt idx="0">
                  <c:v>Tier 1</c:v>
                </c:pt>
              </c:strCache>
            </c:strRef>
          </c:tx>
          <c:invertIfNegative val="0"/>
          <c:cat>
            <c:strRef>
              <c:f>'[4]GHG emissions'!$B$30:$B$36</c:f>
              <c:strCache>
                <c:ptCount val="7"/>
                <c:pt idx="0">
                  <c:v>Soil</c:v>
                </c:pt>
                <c:pt idx="1">
                  <c:v>Off-farm Soil</c:v>
                </c:pt>
                <c:pt idx="2">
                  <c:v>Liv. Manure</c:v>
                </c:pt>
                <c:pt idx="3">
                  <c:v>Liv.enteric fermentation</c:v>
                </c:pt>
                <c:pt idx="4">
                  <c:v>Burning</c:v>
                </c:pt>
                <c:pt idx="5">
                  <c:v>Rice</c:v>
                </c:pt>
                <c:pt idx="6">
                  <c:v>Off-farm emissions </c:v>
                </c:pt>
              </c:strCache>
            </c:strRef>
          </c:cat>
          <c:val>
            <c:numRef>
              <c:f>'[4]GHG emissions'!$C$30:$C$36</c:f>
              <c:numCache>
                <c:formatCode>General</c:formatCode>
                <c:ptCount val="7"/>
                <c:pt idx="0">
                  <c:v>1.1608315490881542</c:v>
                </c:pt>
                <c:pt idx="1">
                  <c:v>0</c:v>
                </c:pt>
                <c:pt idx="2">
                  <c:v>0.58793900089030982</c:v>
                </c:pt>
                <c:pt idx="3">
                  <c:v>2.4932972141419287</c:v>
                </c:pt>
                <c:pt idx="4">
                  <c:v>0</c:v>
                </c:pt>
                <c:pt idx="5">
                  <c:v>0</c:v>
                </c:pt>
                <c:pt idx="6">
                  <c:v>7.357881764394671E-3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EC-40FD-A761-694ABBFEA63E}"/>
            </c:ext>
          </c:extLst>
        </c:ser>
        <c:ser>
          <c:idx val="1"/>
          <c:order val="1"/>
          <c:tx>
            <c:strRef>
              <c:f>'[4]GHG emissions'!$D$28</c:f>
              <c:strCache>
                <c:ptCount val="1"/>
                <c:pt idx="0">
                  <c:v>Tier 2</c:v>
                </c:pt>
              </c:strCache>
            </c:strRef>
          </c:tx>
          <c:invertIfNegative val="0"/>
          <c:cat>
            <c:strRef>
              <c:f>'[4]GHG emissions'!$B$30:$B$36</c:f>
              <c:strCache>
                <c:ptCount val="7"/>
                <c:pt idx="0">
                  <c:v>Soil</c:v>
                </c:pt>
                <c:pt idx="1">
                  <c:v>Off-farm Soil</c:v>
                </c:pt>
                <c:pt idx="2">
                  <c:v>Liv. Manure</c:v>
                </c:pt>
                <c:pt idx="3">
                  <c:v>Liv.enteric fermentation</c:v>
                </c:pt>
                <c:pt idx="4">
                  <c:v>Burning</c:v>
                </c:pt>
                <c:pt idx="5">
                  <c:v>Rice</c:v>
                </c:pt>
                <c:pt idx="6">
                  <c:v>Off-farm emissions </c:v>
                </c:pt>
              </c:strCache>
            </c:strRef>
          </c:cat>
          <c:val>
            <c:numRef>
              <c:f>'[4]GHG emissions'!$D$30:$D$36</c:f>
              <c:numCache>
                <c:formatCode>General</c:formatCode>
                <c:ptCount val="7"/>
                <c:pt idx="0">
                  <c:v>0.62514999877105981</c:v>
                </c:pt>
                <c:pt idx="1">
                  <c:v>0</c:v>
                </c:pt>
                <c:pt idx="2">
                  <c:v>0.77502265271864379</c:v>
                </c:pt>
                <c:pt idx="3">
                  <c:v>2.3696906604137511</c:v>
                </c:pt>
                <c:pt idx="4">
                  <c:v>0</c:v>
                </c:pt>
                <c:pt idx="5">
                  <c:v>0</c:v>
                </c:pt>
                <c:pt idx="6">
                  <c:v>7.357881764394671E-3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EC-40FD-A761-694ABBFEA6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8403488"/>
        <c:axId val="208404048"/>
      </c:barChart>
      <c:catAx>
        <c:axId val="2084034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 sz="1200"/>
            </a:pPr>
            <a:endParaRPr lang="en-US"/>
          </a:p>
        </c:txPr>
        <c:crossAx val="208404048"/>
        <c:crosses val="autoZero"/>
        <c:auto val="1"/>
        <c:lblAlgn val="ctr"/>
        <c:lblOffset val="100"/>
        <c:noMultiLvlLbl val="0"/>
      </c:catAx>
      <c:valAx>
        <c:axId val="2084040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/>
                </a:pPr>
                <a:r>
                  <a:rPr lang="en-US" sz="1200" b="0">
                    <a:latin typeface="+mn-lt"/>
                  </a:rPr>
                  <a:t>t CO2e/ ha </a:t>
                </a:r>
              </a:p>
              <a:p>
                <a:pPr>
                  <a:defRPr sz="1000"/>
                </a:pPr>
                <a:endParaRPr lang="en-US" sz="1000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20840348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3852242142819005"/>
          <c:y val="0.84636598496415405"/>
          <c:w val="7.3782954425273606E-2"/>
          <c:h val="8.0916402068881704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04" l="0.70000000000000395" r="0.70000000000000395" t="0.750000000000004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7819100291616499E-2"/>
          <c:y val="0.118465250007237"/>
          <c:w val="0.63186739079368803"/>
          <c:h val="0.82297426987692202"/>
        </c:manualLayout>
      </c:layout>
      <c:pieChart>
        <c:varyColors val="1"/>
        <c:ser>
          <c:idx val="0"/>
          <c:order val="0"/>
          <c:tx>
            <c:strRef>
              <c:f>'[4]GHG emissions'!$B$2</c:f>
              <c:strCache>
                <c:ptCount val="1"/>
                <c:pt idx="0">
                  <c:v>TIER 1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6F5-4347-BD20-93E5A68A609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6F5-4347-BD20-93E5A68A609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6F5-4347-BD20-93E5A68A609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6F5-4347-BD20-93E5A68A609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6F5-4347-BD20-93E5A68A609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66F5-4347-BD20-93E5A68A609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66F5-4347-BD20-93E5A68A609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66F5-4347-BD20-93E5A68A609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66F5-4347-BD20-93E5A68A609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66F5-4347-BD20-93E5A68A609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66F5-4347-BD20-93E5A68A609F}"/>
              </c:ext>
            </c:extLst>
          </c:dPt>
          <c:cat>
            <c:strRef>
              <c:extLst>
                <c:ext xmlns:c15="http://schemas.microsoft.com/office/drawing/2012/chart" uri="{02D57815-91ED-43cb-92C2-25804820EDAC}">
                  <c15:fullRef>
                    <c15:sqref>'[4]GHG emissions'!$B$5:$B$15</c15:sqref>
                  </c15:fullRef>
                </c:ext>
              </c:extLst>
              <c:f>'[4]GHG emissions'!$B$5:$B$14</c:f>
              <c:strCache>
                <c:ptCount val="10"/>
                <c:pt idx="0">
                  <c:v>Enteric fermentation-Methane </c:v>
                </c:pt>
                <c:pt idx="1">
                  <c:v>Manure-Methane </c:v>
                </c:pt>
                <c:pt idx="2">
                  <c:v>Manure-Direct N2O</c:v>
                </c:pt>
                <c:pt idx="3">
                  <c:v>Manure-Indirect N2O</c:v>
                </c:pt>
                <c:pt idx="4">
                  <c:v>Soil-Direct N2O</c:v>
                </c:pt>
                <c:pt idx="5">
                  <c:v>Soil-Indirect N2O</c:v>
                </c:pt>
                <c:pt idx="6">
                  <c:v>OFF-Farm Soil-Direct N2O</c:v>
                </c:pt>
                <c:pt idx="7">
                  <c:v>OFF-Farm Soil-Indirect N2O</c:v>
                </c:pt>
                <c:pt idx="8">
                  <c:v>Burning</c:v>
                </c:pt>
                <c:pt idx="9">
                  <c:v>Rice production-Methane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'[4]GHG emissions'!$E$5:$E$15</c15:sqref>
                  </c15:fullRef>
                </c:ext>
              </c:extLst>
              <c:f>'[4]GHG emissions'!$E$5:$E$14</c:f>
              <c:numCache>
                <c:formatCode>General</c:formatCode>
                <c:ptCount val="10"/>
                <c:pt idx="0">
                  <c:v>2493.2972141419286</c:v>
                </c:pt>
                <c:pt idx="1">
                  <c:v>73.086601754579135</c:v>
                </c:pt>
                <c:pt idx="2">
                  <c:v>339.24547650630575</c:v>
                </c:pt>
                <c:pt idx="3">
                  <c:v>175.6069226294249</c:v>
                </c:pt>
                <c:pt idx="4">
                  <c:v>985.07378939100715</c:v>
                </c:pt>
                <c:pt idx="5">
                  <c:v>175.75775969714709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6-66F5-4347-BD20-93E5A68A60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716383804172998"/>
          <c:y val="0.116708985869246"/>
          <c:w val="0.29907777263593599"/>
          <c:h val="0.730769747697600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'[4]GHG emissions'!$I$2</c:f>
              <c:strCache>
                <c:ptCount val="1"/>
                <c:pt idx="0">
                  <c:v>TIER 2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6F0-473A-8B78-1D223961567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6F0-473A-8B78-1D223961567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6F0-473A-8B78-1D223961567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6F0-473A-8B78-1D223961567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6F0-473A-8B78-1D223961567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6F0-473A-8B78-1D223961567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6F0-473A-8B78-1D223961567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6F0-473A-8B78-1D2239615677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6F0-473A-8B78-1D2239615677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6F0-473A-8B78-1D2239615677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6F0-473A-8B78-1D2239615677}"/>
              </c:ext>
            </c:extLst>
          </c:dPt>
          <c:cat>
            <c:strRef>
              <c:extLst>
                <c:ext xmlns:c15="http://schemas.microsoft.com/office/drawing/2012/chart" uri="{02D57815-91ED-43cb-92C2-25804820EDAC}">
                  <c15:fullRef>
                    <c15:sqref>'[4]GHG emissions'!$I$5:$I$15</c15:sqref>
                  </c15:fullRef>
                </c:ext>
              </c:extLst>
              <c:f>'[4]GHG emissions'!$I$5:$I$14</c:f>
              <c:strCache>
                <c:ptCount val="10"/>
                <c:pt idx="0">
                  <c:v>Enteric fermentation-Methane </c:v>
                </c:pt>
                <c:pt idx="1">
                  <c:v>Manure-Methane </c:v>
                </c:pt>
                <c:pt idx="2">
                  <c:v>Manure-Direct N2O</c:v>
                </c:pt>
                <c:pt idx="3">
                  <c:v>Manure-Indirect N2O</c:v>
                </c:pt>
                <c:pt idx="4">
                  <c:v>Soil-Direct N2O</c:v>
                </c:pt>
                <c:pt idx="5">
                  <c:v>Soil-Indirect N2O</c:v>
                </c:pt>
                <c:pt idx="6">
                  <c:v>OFF-Farm Soil-Direct N2O</c:v>
                </c:pt>
                <c:pt idx="7">
                  <c:v>OFF-Farm Soil-Indirect N2O</c:v>
                </c:pt>
                <c:pt idx="8">
                  <c:v>Burning</c:v>
                </c:pt>
                <c:pt idx="9">
                  <c:v>Rice production-Methane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'[4]GHG emissions'!$L$5:$L$15</c15:sqref>
                  </c15:fullRef>
                </c:ext>
              </c:extLst>
              <c:f>'[4]GHG emissions'!$L$5:$L$14</c:f>
              <c:numCache>
                <c:formatCode>General</c:formatCode>
                <c:ptCount val="10"/>
                <c:pt idx="0">
                  <c:v>2369.6906604137512</c:v>
                </c:pt>
                <c:pt idx="1">
                  <c:v>139.96808260846927</c:v>
                </c:pt>
                <c:pt idx="2">
                  <c:v>396.90910631885907</c:v>
                </c:pt>
                <c:pt idx="3">
                  <c:v>238.14546379131548</c:v>
                </c:pt>
                <c:pt idx="4">
                  <c:v>525.03154914846436</c:v>
                </c:pt>
                <c:pt idx="5">
                  <c:v>100.11844962259545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6-B6F0-473A-8B78-1D2239615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1828272</xdr:colOff>
      <xdr:row>0</xdr:row>
      <xdr:rowOff>100541</xdr:rowOff>
    </xdr:from>
    <xdr:to>
      <xdr:col>8</xdr:col>
      <xdr:colOff>592667</xdr:colOff>
      <xdr:row>13</xdr:row>
      <xdr:rowOff>65302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52022" y="100541"/>
          <a:ext cx="4495270" cy="2653986"/>
        </a:xfrm>
        <a:prstGeom prst="rect">
          <a:avLst/>
        </a:prstGeom>
      </xdr:spPr>
    </xdr:pic>
    <xdr:clientData/>
  </xdr:twoCellAnchor>
  <xdr:twoCellAnchor editAs="oneCell">
    <xdr:from>
      <xdr:col>8</xdr:col>
      <xdr:colOff>416985</xdr:colOff>
      <xdr:row>5</xdr:row>
      <xdr:rowOff>47626</xdr:rowOff>
    </xdr:from>
    <xdr:to>
      <xdr:col>10</xdr:col>
      <xdr:colOff>1276657</xdr:colOff>
      <xdr:row>14</xdr:row>
      <xdr:rowOff>104077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371610" y="666751"/>
          <a:ext cx="3653672" cy="1913826"/>
        </a:xfrm>
        <a:prstGeom prst="rect">
          <a:avLst/>
        </a:prstGeom>
      </xdr:spPr>
    </xdr:pic>
    <xdr:clientData/>
  </xdr:twoCellAnchor>
  <xdr:twoCellAnchor editAs="oneCell">
    <xdr:from>
      <xdr:col>11</xdr:col>
      <xdr:colOff>295275</xdr:colOff>
      <xdr:row>5</xdr:row>
      <xdr:rowOff>127000</xdr:rowOff>
    </xdr:from>
    <xdr:to>
      <xdr:col>12</xdr:col>
      <xdr:colOff>125943</xdr:colOff>
      <xdr:row>14</xdr:row>
      <xdr:rowOff>54126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456775" y="746125"/>
          <a:ext cx="1688043" cy="17876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1076325</xdr:colOff>
          <xdr:row>125</xdr:row>
          <xdr:rowOff>95250</xdr:rowOff>
        </xdr:from>
        <xdr:to>
          <xdr:col>6</xdr:col>
          <xdr:colOff>800100</xdr:colOff>
          <xdr:row>129</xdr:row>
          <xdr:rowOff>152400</xdr:rowOff>
        </xdr:to>
        <xdr:sp macro="" textlink="">
          <xdr:nvSpPr>
            <xdr:cNvPr id="142352" name="CommandButton1" hidden="1">
              <a:extLst>
                <a:ext uri="{63B3BB69-23CF-44E3-9099-C40C66FF867C}">
                  <a14:compatExt spid="_x0000_s142352"/>
                </a:ext>
                <a:ext uri="{FF2B5EF4-FFF2-40B4-BE49-F238E27FC236}">
                  <a16:creationId xmlns:a16="http://schemas.microsoft.com/office/drawing/2014/main" id="{00000000-0008-0000-0000-000010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572999</xdr:colOff>
      <xdr:row>11</xdr:row>
      <xdr:rowOff>43022</xdr:rowOff>
    </xdr:from>
    <xdr:to>
      <xdr:col>13</xdr:col>
      <xdr:colOff>211049</xdr:colOff>
      <xdr:row>26</xdr:row>
      <xdr:rowOff>134474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876298</xdr:colOff>
      <xdr:row>17</xdr:row>
      <xdr:rowOff>4764</xdr:rowOff>
    </xdr:from>
    <xdr:to>
      <xdr:col>9</xdr:col>
      <xdr:colOff>71436</xdr:colOff>
      <xdr:row>30</xdr:row>
      <xdr:rowOff>11907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16</xdr:row>
      <xdr:rowOff>190500</xdr:rowOff>
    </xdr:from>
    <xdr:to>
      <xdr:col>2</xdr:col>
      <xdr:colOff>619124</xdr:colOff>
      <xdr:row>29</xdr:row>
      <xdr:rowOff>190500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582083</xdr:colOff>
      <xdr:row>3</xdr:row>
      <xdr:rowOff>110066</xdr:rowOff>
    </xdr:from>
    <xdr:to>
      <xdr:col>11</xdr:col>
      <xdr:colOff>338666</xdr:colOff>
      <xdr:row>17</xdr:row>
      <xdr:rowOff>27516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123982</xdr:colOff>
      <xdr:row>26</xdr:row>
      <xdr:rowOff>139234</xdr:rowOff>
    </xdr:from>
    <xdr:to>
      <xdr:col>11</xdr:col>
      <xdr:colOff>636107</xdr:colOff>
      <xdr:row>49</xdr:row>
      <xdr:rowOff>151005</xdr:rowOff>
    </xdr:to>
    <xdr:graphicFrame macro="">
      <xdr:nvGraphicFramePr>
        <xdr:cNvPr id="3" name="GHG Balance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246255</xdr:colOff>
      <xdr:row>1</xdr:row>
      <xdr:rowOff>68767</xdr:rowOff>
    </xdr:from>
    <xdr:to>
      <xdr:col>21</xdr:col>
      <xdr:colOff>428624</xdr:colOff>
      <xdr:row>20</xdr:row>
      <xdr:rowOff>583406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188177</xdr:colOff>
      <xdr:row>21</xdr:row>
      <xdr:rowOff>22303</xdr:rowOff>
    </xdr:from>
    <xdr:to>
      <xdr:col>21</xdr:col>
      <xdr:colOff>821531</xdr:colOff>
      <xdr:row>40</xdr:row>
      <xdr:rowOff>95250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123982</xdr:colOff>
      <xdr:row>26</xdr:row>
      <xdr:rowOff>139234</xdr:rowOff>
    </xdr:from>
    <xdr:to>
      <xdr:col>11</xdr:col>
      <xdr:colOff>636107</xdr:colOff>
      <xdr:row>49</xdr:row>
      <xdr:rowOff>151005</xdr:rowOff>
    </xdr:to>
    <xdr:graphicFrame macro="">
      <xdr:nvGraphicFramePr>
        <xdr:cNvPr id="10" name="GHG Balance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246255</xdr:colOff>
      <xdr:row>1</xdr:row>
      <xdr:rowOff>68767</xdr:rowOff>
    </xdr:from>
    <xdr:to>
      <xdr:col>21</xdr:col>
      <xdr:colOff>428624</xdr:colOff>
      <xdr:row>20</xdr:row>
      <xdr:rowOff>583406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188177</xdr:colOff>
      <xdr:row>21</xdr:row>
      <xdr:rowOff>22303</xdr:rowOff>
    </xdr:from>
    <xdr:to>
      <xdr:col>21</xdr:col>
      <xdr:colOff>821531</xdr:colOff>
      <xdr:row>40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70</xdr:col>
      <xdr:colOff>474890</xdr:colOff>
      <xdr:row>5</xdr:row>
      <xdr:rowOff>1091838</xdr:rowOff>
    </xdr:from>
    <xdr:to>
      <xdr:col>71</xdr:col>
      <xdr:colOff>274865</xdr:colOff>
      <xdr:row>6</xdr:row>
      <xdr:rowOff>112939</xdr:rowOff>
    </xdr:to>
    <xdr:sp macro="" textlink="">
      <xdr:nvSpPr>
        <xdr:cNvPr id="3" name="Right Arrow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30335765" y="2091963"/>
          <a:ext cx="476250" cy="249826"/>
        </a:xfrm>
        <a:prstGeom prst="rightArrow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70</xdr:col>
      <xdr:colOff>474890</xdr:colOff>
      <xdr:row>5</xdr:row>
      <xdr:rowOff>1091838</xdr:rowOff>
    </xdr:from>
    <xdr:to>
      <xdr:col>71</xdr:col>
      <xdr:colOff>274865</xdr:colOff>
      <xdr:row>6</xdr:row>
      <xdr:rowOff>112939</xdr:rowOff>
    </xdr:to>
    <xdr:sp macro="" textlink="">
      <xdr:nvSpPr>
        <xdr:cNvPr id="4" name="Right Arrow 2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/>
      </xdr:nvSpPr>
      <xdr:spPr>
        <a:xfrm>
          <a:off x="50471615" y="2095138"/>
          <a:ext cx="479425" cy="246651"/>
        </a:xfrm>
        <a:prstGeom prst="rightArrow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122465</xdr:colOff>
      <xdr:row>2</xdr:row>
      <xdr:rowOff>348888</xdr:rowOff>
    </xdr:from>
    <xdr:to>
      <xdr:col>13</xdr:col>
      <xdr:colOff>598715</xdr:colOff>
      <xdr:row>2</xdr:row>
      <xdr:rowOff>598714</xdr:rowOff>
    </xdr:to>
    <xdr:sp macro="" textlink="">
      <xdr:nvSpPr>
        <xdr:cNvPr id="2" name="Right Arrow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28164065" y="1349013"/>
          <a:ext cx="476250" cy="249826"/>
        </a:xfrm>
        <a:prstGeom prst="rightArrow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Tobackup\an2018\papers\VCs\2018_analysis\20_12_2017_T1_BA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WUR_GHG_050411_calculation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ToBackup\@CIAT\CRP%20@Livestock%20and%20Environment\@CLEANED\Kalkulator%20June%202017\T1_Nica_GENERAL_051217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giar-my.sharepoint.com/Users/reinv/Documents/@CIAT/@CLEANED/@Versions/CLEANED_V4_020620_3%20seasons_test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OneDrive%20-%20CGIAR\CLEANED\Vivien%20data%20WK_SAC\Dropbox%20folder\CLEANED_N_maybe%20still%20wrong\B1_WesternKenya_1KN_corrected_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S"/>
      <sheetName val="Land requirements"/>
      <sheetName val="Productivity"/>
      <sheetName val="Economics "/>
      <sheetName val="Soil impacts"/>
      <sheetName val="GHG emissions"/>
      <sheetName val="SUMMARY "/>
      <sheetName val="Crop parameters"/>
      <sheetName val="Feed parameters"/>
      <sheetName val="Livestock parameters"/>
      <sheetName val="Economics_Parameters"/>
      <sheetName val="Soil erosion parameters"/>
      <sheetName val="GHG Parameters"/>
      <sheetName val="Area Parameters"/>
      <sheetName val="Feed"/>
      <sheetName val="Land Requirement "/>
      <sheetName val="Meat &amp; Milk "/>
      <sheetName val="Water"/>
      <sheetName val="Economics_TVP"/>
      <sheetName val="N balance"/>
      <sheetName val="SOC"/>
      <sheetName val="Biomass"/>
      <sheetName val="Soil erosion"/>
      <sheetName val="GHG Ent fermentation"/>
      <sheetName val="GHG Manure"/>
      <sheetName val="GHG Burning"/>
      <sheetName val="GHG Soil"/>
      <sheetName val="GHG Off-farm"/>
      <sheetName val="GHG Rice"/>
      <sheetName val="Macro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3">
          <cell r="A3" t="str">
            <v>Beans</v>
          </cell>
          <cell r="B3">
            <v>0.9</v>
          </cell>
          <cell r="C3">
            <v>0.88</v>
          </cell>
          <cell r="D3">
            <v>0.79200000000000004</v>
          </cell>
          <cell r="E3">
            <v>0.5</v>
          </cell>
          <cell r="F3">
            <v>3</v>
          </cell>
          <cell r="G3">
            <v>0.88</v>
          </cell>
          <cell r="H3">
            <v>2.64</v>
          </cell>
          <cell r="I3">
            <v>66</v>
          </cell>
          <cell r="J3">
            <v>4.1000000000000002E-2</v>
          </cell>
          <cell r="K3">
            <v>2.5000000000000001E-2</v>
          </cell>
          <cell r="L3">
            <v>0.1</v>
          </cell>
          <cell r="M3">
            <v>49.236000000000004</v>
          </cell>
          <cell r="N3">
            <v>337</v>
          </cell>
          <cell r="O3">
            <v>11.75</v>
          </cell>
          <cell r="P3">
            <v>381.86968838526911</v>
          </cell>
          <cell r="Q3">
            <v>16032</v>
          </cell>
        </row>
        <row r="4">
          <cell r="A4" t="str">
            <v>Brachiaria hybrid</v>
          </cell>
          <cell r="B4">
            <v>17</v>
          </cell>
          <cell r="C4">
            <v>0.25</v>
          </cell>
          <cell r="D4">
            <v>4.25</v>
          </cell>
          <cell r="E4">
            <v>0.9</v>
          </cell>
          <cell r="F4">
            <v>1.8888888888888884</v>
          </cell>
          <cell r="H4">
            <v>0</v>
          </cell>
          <cell r="J4">
            <v>2.2400000000000003E-2</v>
          </cell>
        </row>
        <row r="5">
          <cell r="A5" t="str">
            <v>Calliandra</v>
          </cell>
          <cell r="B5">
            <v>17.777777777777779</v>
          </cell>
          <cell r="C5">
            <v>0.45</v>
          </cell>
          <cell r="D5">
            <v>8</v>
          </cell>
          <cell r="E5">
            <v>0.9</v>
          </cell>
          <cell r="M5">
            <v>0</v>
          </cell>
        </row>
        <row r="6">
          <cell r="A6" t="str">
            <v>Cotton</v>
          </cell>
        </row>
        <row r="7">
          <cell r="A7" t="str">
            <v>Cowpea</v>
          </cell>
          <cell r="B7">
            <v>3.2</v>
          </cell>
          <cell r="C7">
            <v>0.89900000000000002</v>
          </cell>
          <cell r="D7">
            <v>2.9</v>
          </cell>
          <cell r="E7">
            <v>0.21990000000000001</v>
          </cell>
          <cell r="F7">
            <v>11.352069122328331</v>
          </cell>
          <cell r="G7">
            <v>0.88050000000000006</v>
          </cell>
          <cell r="H7">
            <v>9.9954968622100964</v>
          </cell>
          <cell r="I7">
            <v>229.89642783083224</v>
          </cell>
          <cell r="J7">
            <v>3.7999999999999999E-2</v>
          </cell>
          <cell r="K7">
            <v>2.3E-2</v>
          </cell>
          <cell r="L7">
            <v>0.11700000000000001</v>
          </cell>
          <cell r="M7">
            <v>170.04821391541611</v>
          </cell>
          <cell r="N7">
            <v>336</v>
          </cell>
          <cell r="O7">
            <v>11.95</v>
          </cell>
          <cell r="P7">
            <v>381.60136286201021</v>
          </cell>
          <cell r="Q7">
            <v>16062</v>
          </cell>
        </row>
        <row r="8">
          <cell r="A8" t="str">
            <v>Fodder maize</v>
          </cell>
          <cell r="B8">
            <v>1.33</v>
          </cell>
          <cell r="C8">
            <v>0.8</v>
          </cell>
          <cell r="D8">
            <v>1.0640000000000001</v>
          </cell>
          <cell r="E8">
            <v>0.47</v>
          </cell>
          <cell r="F8">
            <v>1.4997872340425535</v>
          </cell>
          <cell r="G8">
            <v>0.89629999999999999</v>
          </cell>
          <cell r="H8">
            <v>1.3442592978723407</v>
          </cell>
          <cell r="I8">
            <v>9.409815085106386</v>
          </cell>
          <cell r="J8">
            <v>1.7000000000000001E-2</v>
          </cell>
          <cell r="K8">
            <v>7.0000000000000001E-3</v>
          </cell>
          <cell r="L8">
            <v>0.05</v>
          </cell>
          <cell r="M8">
            <v>0</v>
          </cell>
          <cell r="N8">
            <v>365</v>
          </cell>
          <cell r="O8">
            <v>10.37</v>
          </cell>
          <cell r="P8">
            <v>407.22972219123062</v>
          </cell>
          <cell r="Q8">
            <v>20314</v>
          </cell>
        </row>
        <row r="9">
          <cell r="A9" t="str">
            <v xml:space="preserve">Green leaf desmodium </v>
          </cell>
          <cell r="B9">
            <v>12.5</v>
          </cell>
          <cell r="C9">
            <v>0.32</v>
          </cell>
          <cell r="D9">
            <v>4</v>
          </cell>
          <cell r="E9">
            <v>0.9</v>
          </cell>
          <cell r="H9">
            <v>0.05</v>
          </cell>
          <cell r="J9">
            <v>4.1000000000000002E-2</v>
          </cell>
          <cell r="K9">
            <v>2.5000000000000001E-2</v>
          </cell>
          <cell r="L9">
            <v>0.1</v>
          </cell>
          <cell r="M9">
            <v>82.625</v>
          </cell>
          <cell r="N9">
            <v>337</v>
          </cell>
          <cell r="O9">
            <v>11.75</v>
          </cell>
          <cell r="P9">
            <v>381.86968838526911</v>
          </cell>
        </row>
        <row r="10">
          <cell r="A10" t="str">
            <v>Improved pastures</v>
          </cell>
          <cell r="B10">
            <v>40</v>
          </cell>
          <cell r="C10">
            <v>0.28000000000000003</v>
          </cell>
          <cell r="D10">
            <v>11.200000000000001</v>
          </cell>
          <cell r="F10">
            <v>80</v>
          </cell>
          <cell r="G10">
            <v>1</v>
          </cell>
          <cell r="H10">
            <v>80</v>
          </cell>
          <cell r="I10">
            <v>640</v>
          </cell>
          <cell r="J10">
            <v>1.6E-2</v>
          </cell>
          <cell r="K10">
            <v>8.0000000000000002E-3</v>
          </cell>
          <cell r="M10">
            <v>409.6</v>
          </cell>
          <cell r="P10">
            <v>0</v>
          </cell>
        </row>
        <row r="11">
          <cell r="A11" t="str">
            <v>Lablab bean</v>
          </cell>
          <cell r="B11">
            <v>1.843</v>
          </cell>
          <cell r="C11">
            <v>0.88</v>
          </cell>
          <cell r="D11">
            <v>1.6218399999999999</v>
          </cell>
          <cell r="E11">
            <v>0.5</v>
          </cell>
          <cell r="F11">
            <v>1.843</v>
          </cell>
          <cell r="G11">
            <v>0.89410000000000001</v>
          </cell>
          <cell r="H11">
            <v>1.6478263</v>
          </cell>
          <cell r="I11">
            <v>65.913051999999993</v>
          </cell>
          <cell r="J11">
            <v>4.0000000000000001E-3</v>
          </cell>
          <cell r="K11">
            <v>0.04</v>
          </cell>
          <cell r="M11">
            <v>36.200206000000001</v>
          </cell>
          <cell r="N11">
            <v>343</v>
          </cell>
          <cell r="O11">
            <v>10.59</v>
          </cell>
          <cell r="P11">
            <v>383.62599261827535</v>
          </cell>
          <cell r="Q11">
            <v>16101</v>
          </cell>
        </row>
        <row r="12">
          <cell r="A12" t="str">
            <v>Leucaena</v>
          </cell>
          <cell r="B12">
            <v>23.333333333333336</v>
          </cell>
          <cell r="C12">
            <v>0.3</v>
          </cell>
          <cell r="D12">
            <v>7</v>
          </cell>
          <cell r="G12">
            <v>1</v>
          </cell>
          <cell r="H12">
            <v>7</v>
          </cell>
          <cell r="I12">
            <v>238.00000000000003</v>
          </cell>
          <cell r="J12">
            <v>3.4000000000000002E-2</v>
          </cell>
          <cell r="K12">
            <v>3.4000000000000002E-2</v>
          </cell>
          <cell r="M12">
            <v>238.00000000000003</v>
          </cell>
          <cell r="P12">
            <v>0</v>
          </cell>
        </row>
        <row r="13">
          <cell r="A13" t="str">
            <v>Local mixed grasses</v>
          </cell>
          <cell r="B13">
            <v>13</v>
          </cell>
          <cell r="C13">
            <v>0.25</v>
          </cell>
          <cell r="D13">
            <v>3.25</v>
          </cell>
          <cell r="E13">
            <v>0.95</v>
          </cell>
          <cell r="F13">
            <v>0.68421052631579016</v>
          </cell>
          <cell r="G13">
            <v>8.5999999999999965E-2</v>
          </cell>
          <cell r="H13">
            <v>5.8842105263157932E-2</v>
          </cell>
          <cell r="I13">
            <v>0.82378947368421107</v>
          </cell>
          <cell r="J13">
            <v>1.4E-2</v>
          </cell>
          <cell r="K13">
            <v>1.4E-2</v>
          </cell>
          <cell r="L13">
            <v>0.1</v>
          </cell>
          <cell r="M13">
            <v>0</v>
          </cell>
          <cell r="N13">
            <v>23</v>
          </cell>
          <cell r="O13">
            <v>91.4</v>
          </cell>
          <cell r="P13">
            <v>267.44186046511646</v>
          </cell>
        </row>
        <row r="14">
          <cell r="A14" t="str">
            <v>Maize</v>
          </cell>
          <cell r="B14">
            <v>1.33</v>
          </cell>
          <cell r="C14">
            <v>0.8</v>
          </cell>
          <cell r="D14">
            <v>1.0640000000000001</v>
          </cell>
          <cell r="E14">
            <v>0.47</v>
          </cell>
          <cell r="F14">
            <v>3</v>
          </cell>
          <cell r="G14">
            <v>0.89629999999999999</v>
          </cell>
          <cell r="H14">
            <v>2.6888999999999998</v>
          </cell>
          <cell r="I14">
            <v>18.822299999999998</v>
          </cell>
          <cell r="J14">
            <v>1.7000000000000001E-2</v>
          </cell>
          <cell r="K14">
            <v>7.0000000000000001E-3</v>
          </cell>
          <cell r="L14">
            <v>0.05</v>
          </cell>
          <cell r="M14">
            <v>0</v>
          </cell>
          <cell r="N14">
            <v>365</v>
          </cell>
          <cell r="O14">
            <v>10.37</v>
          </cell>
          <cell r="P14">
            <v>407.22972219123062</v>
          </cell>
          <cell r="Q14">
            <v>20314</v>
          </cell>
        </row>
        <row r="15">
          <cell r="A15" t="str">
            <v>N/A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P15">
            <v>0</v>
          </cell>
        </row>
        <row r="16">
          <cell r="A16" t="str">
            <v>Napier</v>
          </cell>
          <cell r="B16">
            <v>35</v>
          </cell>
          <cell r="C16">
            <v>0.18</v>
          </cell>
          <cell r="D16">
            <v>6.3</v>
          </cell>
          <cell r="E16">
            <v>0.9</v>
          </cell>
          <cell r="F16">
            <v>3.8888888888888875</v>
          </cell>
          <cell r="G16">
            <v>0.85</v>
          </cell>
          <cell r="H16">
            <v>3.3055555555555545</v>
          </cell>
          <cell r="I16">
            <v>76.027777777777743</v>
          </cell>
          <cell r="J16">
            <v>2.3E-2</v>
          </cell>
          <cell r="K16">
            <v>2.3E-2</v>
          </cell>
          <cell r="L16">
            <v>2.7E-2</v>
          </cell>
          <cell r="M16">
            <v>0</v>
          </cell>
          <cell r="P16">
            <v>0</v>
          </cell>
        </row>
        <row r="17">
          <cell r="A17" t="str">
            <v>Natural pasture</v>
          </cell>
          <cell r="B17">
            <v>2</v>
          </cell>
          <cell r="C17">
            <v>0.9</v>
          </cell>
          <cell r="D17">
            <v>1.8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2.7E-2</v>
          </cell>
          <cell r="M17">
            <v>0</v>
          </cell>
          <cell r="N17">
            <v>0</v>
          </cell>
          <cell r="P17">
            <v>0</v>
          </cell>
          <cell r="Q17">
            <v>0</v>
          </cell>
        </row>
        <row r="18">
          <cell r="A18" t="str">
            <v>Purchased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</row>
        <row r="19">
          <cell r="A19" t="str">
            <v>Red Clover</v>
          </cell>
          <cell r="B19">
            <v>12</v>
          </cell>
          <cell r="C19">
            <v>0.9</v>
          </cell>
          <cell r="D19">
            <v>10.8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3.2</v>
          </cell>
          <cell r="K19">
            <v>0</v>
          </cell>
          <cell r="L19">
            <v>2.7E-2</v>
          </cell>
          <cell r="M19">
            <v>80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</row>
        <row r="20">
          <cell r="A20" t="str">
            <v>Rhodes grass</v>
          </cell>
          <cell r="B20">
            <v>6.4444444444444438</v>
          </cell>
          <cell r="C20">
            <v>0.9</v>
          </cell>
          <cell r="D20">
            <v>5.8</v>
          </cell>
          <cell r="E20">
            <v>0.9</v>
          </cell>
        </row>
        <row r="21">
          <cell r="A21" t="str">
            <v>Sesbania</v>
          </cell>
          <cell r="B21">
            <v>20.689655172413794</v>
          </cell>
          <cell r="C21">
            <v>0.28999999999999998</v>
          </cell>
          <cell r="D21">
            <v>6</v>
          </cell>
          <cell r="E21" t="str">
            <v>0.9</v>
          </cell>
        </row>
        <row r="22">
          <cell r="A22" t="str">
            <v xml:space="preserve">Silver leaf desmodium </v>
          </cell>
          <cell r="B22">
            <v>12</v>
          </cell>
          <cell r="C22">
            <v>0.26</v>
          </cell>
          <cell r="D22">
            <v>3.12</v>
          </cell>
          <cell r="E22">
            <v>0.9</v>
          </cell>
          <cell r="J22">
            <v>4.1000000000000002E-2</v>
          </cell>
          <cell r="K22">
            <v>2.5000000000000001E-2</v>
          </cell>
          <cell r="L22">
            <v>0.1</v>
          </cell>
          <cell r="M22">
            <v>63.96</v>
          </cell>
          <cell r="N22">
            <v>337</v>
          </cell>
          <cell r="O22">
            <v>11.75</v>
          </cell>
          <cell r="P22">
            <v>381.86968838526911</v>
          </cell>
        </row>
        <row r="23">
          <cell r="A23" t="str">
            <v>Soyabean</v>
          </cell>
          <cell r="B23">
            <v>0.98</v>
          </cell>
          <cell r="C23">
            <v>0.91549999999999998</v>
          </cell>
          <cell r="D23">
            <v>0.89718999999999993</v>
          </cell>
          <cell r="E23">
            <v>0.4</v>
          </cell>
          <cell r="F23">
            <v>1.4699999999999998</v>
          </cell>
          <cell r="G23">
            <v>0.91549999999999998</v>
          </cell>
          <cell r="H23">
            <v>1.3457849999999998</v>
          </cell>
          <cell r="I23">
            <v>17.495204999999999</v>
          </cell>
          <cell r="J23">
            <v>6.2E-2</v>
          </cell>
          <cell r="K23">
            <v>1.2999999999999999E-2</v>
          </cell>
          <cell r="L23">
            <v>0.1</v>
          </cell>
          <cell r="M23">
            <v>36.560492499999995</v>
          </cell>
          <cell r="N23">
            <v>446</v>
          </cell>
          <cell r="O23">
            <v>8.4499999999999993</v>
          </cell>
          <cell r="P23">
            <v>487.16548334243583</v>
          </cell>
          <cell r="Q23">
            <v>16108</v>
          </cell>
        </row>
        <row r="24">
          <cell r="A24" t="str">
            <v xml:space="preserve">Sugarcane </v>
          </cell>
          <cell r="B24">
            <v>10.8</v>
          </cell>
          <cell r="C24">
            <v>0.32000000000000006</v>
          </cell>
          <cell r="D24">
            <v>3.4560000000000008</v>
          </cell>
          <cell r="E24">
            <v>0.71399999999999997</v>
          </cell>
          <cell r="F24">
            <v>4.3260504201680687</v>
          </cell>
          <cell r="G24">
            <v>0.31999999999999995</v>
          </cell>
          <cell r="H24">
            <v>1.3843361344537817</v>
          </cell>
          <cell r="I24">
            <v>1.3843361344537817</v>
          </cell>
          <cell r="J24">
            <v>1E-3</v>
          </cell>
          <cell r="K24">
            <v>1E-3</v>
          </cell>
          <cell r="L24">
            <v>0.17100000000000001</v>
          </cell>
          <cell r="M24">
            <v>0</v>
          </cell>
          <cell r="O24">
            <v>68</v>
          </cell>
          <cell r="P24">
            <v>0</v>
          </cell>
        </row>
        <row r="25">
          <cell r="A25" t="str">
            <v>Sweet potato</v>
          </cell>
          <cell r="B25">
            <v>8.5</v>
          </cell>
          <cell r="C25">
            <v>0.22719999999999996</v>
          </cell>
          <cell r="D25">
            <v>1.9311999999999996</v>
          </cell>
          <cell r="E25">
            <v>0.55000000000000004</v>
          </cell>
          <cell r="F25">
            <v>6.9545454545454533</v>
          </cell>
          <cell r="G25">
            <v>0.22719999999999996</v>
          </cell>
          <cell r="H25">
            <v>1.5800727272727266</v>
          </cell>
          <cell r="I25">
            <v>3.1601454545454533</v>
          </cell>
          <cell r="J25">
            <v>5.0000000000000001E-3</v>
          </cell>
          <cell r="K25">
            <v>2E-3</v>
          </cell>
          <cell r="L25">
            <v>0.05</v>
          </cell>
          <cell r="M25">
            <v>0</v>
          </cell>
          <cell r="N25">
            <v>86</v>
          </cell>
          <cell r="O25">
            <v>77.28</v>
          </cell>
          <cell r="P25">
            <v>378.52112676056339</v>
          </cell>
          <cell r="Q25">
            <v>11507</v>
          </cell>
        </row>
        <row r="26">
          <cell r="A26" t="str">
            <v>Traditional pastures</v>
          </cell>
          <cell r="B26">
            <v>15</v>
          </cell>
          <cell r="C26">
            <v>0.28000000000000003</v>
          </cell>
          <cell r="D26">
            <v>4.2</v>
          </cell>
          <cell r="E26">
            <v>0</v>
          </cell>
          <cell r="F26">
            <v>30</v>
          </cell>
          <cell r="G26">
            <v>1</v>
          </cell>
          <cell r="H26">
            <v>30</v>
          </cell>
          <cell r="I26">
            <v>210</v>
          </cell>
          <cell r="J26">
            <v>1.2999999999999999E-2</v>
          </cell>
          <cell r="K26">
            <v>7.0000000000000001E-3</v>
          </cell>
          <cell r="L26">
            <v>2.7E-2</v>
          </cell>
          <cell r="M26">
            <v>132.30000000000001</v>
          </cell>
          <cell r="P26">
            <v>0</v>
          </cell>
        </row>
        <row r="27">
          <cell r="A27" t="str">
            <v xml:space="preserve">Wild desmodium </v>
          </cell>
          <cell r="B27">
            <v>20</v>
          </cell>
          <cell r="C27">
            <v>0.3</v>
          </cell>
          <cell r="D27">
            <v>6</v>
          </cell>
          <cell r="E27">
            <v>0.9</v>
          </cell>
        </row>
      </sheetData>
      <sheetData sheetId="8" refreshError="1"/>
      <sheetData sheetId="9" refreshError="1"/>
      <sheetData sheetId="10" refreshError="1"/>
      <sheetData sheetId="11">
        <row r="3">
          <cell r="F3" t="str">
            <v>Flat (0-5%)</v>
          </cell>
        </row>
        <row r="4">
          <cell r="F4" t="str">
            <v>Hilly (5-20%)</v>
          </cell>
        </row>
        <row r="5">
          <cell r="F5" t="str">
            <v>Steep (20-30%)</v>
          </cell>
        </row>
        <row r="6">
          <cell r="F6" t="str">
            <v>Extremely steep (30%+)</v>
          </cell>
        </row>
        <row r="7">
          <cell r="F7" t="str">
            <v>Non-agricultural (all slope categories)</v>
          </cell>
        </row>
        <row r="13">
          <cell r="B13" t="str">
            <v>Andosol</v>
          </cell>
        </row>
        <row r="14">
          <cell r="B14" t="str">
            <v>Cambisol</v>
          </cell>
        </row>
        <row r="15">
          <cell r="B15" t="str">
            <v>Lixisol</v>
          </cell>
        </row>
        <row r="16">
          <cell r="B16" t="str">
            <v>Fluvisol</v>
          </cell>
        </row>
        <row r="17">
          <cell r="B17" t="str">
            <v>Vertisol</v>
          </cell>
        </row>
        <row r="18">
          <cell r="B18" t="str">
            <v>Phaeozem</v>
          </cell>
        </row>
        <row r="19">
          <cell r="B19" t="str">
            <v>Nitosol</v>
          </cell>
        </row>
        <row r="20">
          <cell r="B20" t="str">
            <v>Xerosol</v>
          </cell>
        </row>
        <row r="23">
          <cell r="B23" t="str">
            <v>Dense forest</v>
          </cell>
        </row>
        <row r="24">
          <cell r="B24" t="str">
            <v>Other forest</v>
          </cell>
        </row>
        <row r="25">
          <cell r="B25" t="str">
            <v>Badlands hard</v>
          </cell>
        </row>
        <row r="26">
          <cell r="B26" t="str">
            <v>Badlands soft</v>
          </cell>
        </row>
        <row r="27">
          <cell r="B27" t="str">
            <v>Sorghum</v>
          </cell>
        </row>
        <row r="28">
          <cell r="B28" t="str">
            <v>Maize</v>
          </cell>
        </row>
        <row r="29">
          <cell r="B29" t="str">
            <v>Cereals</v>
          </cell>
        </row>
        <row r="30">
          <cell r="B30" t="str">
            <v>Pulses</v>
          </cell>
        </row>
        <row r="31">
          <cell r="B31" t="str">
            <v>Dense grass</v>
          </cell>
        </row>
        <row r="32">
          <cell r="B32" t="str">
            <v>Degraded grass</v>
          </cell>
        </row>
        <row r="33">
          <cell r="B33" t="str">
            <v>Fallow hard</v>
          </cell>
        </row>
        <row r="34">
          <cell r="B34" t="str">
            <v>Fallow plouged</v>
          </cell>
        </row>
        <row r="35">
          <cell r="B35" t="str">
            <v>Ethiopian teff</v>
          </cell>
        </row>
        <row r="36">
          <cell r="B36" t="str">
            <v>Continuous fallow</v>
          </cell>
        </row>
        <row r="44">
          <cell r="C44">
            <v>1</v>
          </cell>
          <cell r="D44">
            <v>3</v>
          </cell>
          <cell r="E44">
            <v>5</v>
          </cell>
          <cell r="F44">
            <v>15</v>
          </cell>
          <cell r="G44">
            <v>30</v>
          </cell>
          <cell r="H44">
            <v>90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"/>
      <sheetName val="Tier 1"/>
      <sheetName val="Tier 2"/>
      <sheetName val="Tier 3"/>
      <sheetName val="Animal"/>
      <sheetName val="Manure"/>
      <sheetName val="SoilT1"/>
      <sheetName val="SoilT2"/>
      <sheetName val="Calc"/>
      <sheetName val="EF_T1"/>
      <sheetName val="EF_T3"/>
      <sheetName val="LossFr"/>
      <sheetName val="Sheet1"/>
      <sheetName val="Parameters"/>
    </sheetNames>
    <sheetDataSet>
      <sheetData sheetId="0">
        <row r="21">
          <cell r="D21">
            <v>23.12</v>
          </cell>
        </row>
        <row r="30">
          <cell r="D30">
            <v>38.4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S"/>
      <sheetName val="Land requirements"/>
      <sheetName val="Productivity"/>
      <sheetName val="Economics "/>
      <sheetName val="Soil impacts"/>
      <sheetName val="GHG emissions"/>
      <sheetName val="SUMMARY "/>
      <sheetName val="Crop parameters"/>
      <sheetName val="Feed parameters"/>
      <sheetName val="Livestock parameters"/>
      <sheetName val="Economics_Parameters"/>
      <sheetName val="Soil erosion parameters"/>
      <sheetName val="GHG Parameters"/>
      <sheetName val="Feed"/>
      <sheetName val="Land Requirement "/>
      <sheetName val="Meat &amp; Milk "/>
      <sheetName val="Economics_Payback "/>
      <sheetName val="N balance"/>
      <sheetName val="SOC"/>
      <sheetName val="Biomass"/>
      <sheetName val="Soil erosion"/>
      <sheetName val="GHG Ent fermentation"/>
      <sheetName val="GHG Manure"/>
      <sheetName val="GHG Burning"/>
      <sheetName val="GHG Soil"/>
      <sheetName val="GHG Off-farm"/>
      <sheetName val="GHG Rice"/>
      <sheetName val="Macro1"/>
      <sheetName val="T1_Nica_GENERAL_051217"/>
    </sheetNames>
    <sheetDataSet>
      <sheetData sheetId="0" refreshError="1"/>
      <sheetData sheetId="1" refreshError="1"/>
      <sheetData sheetId="2">
        <row r="13">
          <cell r="B13">
            <v>1063.0625</v>
          </cell>
        </row>
      </sheetData>
      <sheetData sheetId="3" refreshError="1"/>
      <sheetData sheetId="4" refreshError="1"/>
      <sheetData sheetId="5">
        <row r="39">
          <cell r="D39">
            <v>92.120846060654216</v>
          </cell>
        </row>
      </sheetData>
      <sheetData sheetId="6">
        <row r="4">
          <cell r="C4">
            <v>14.573303401727555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9">
          <cell r="D9">
            <v>0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S"/>
      <sheetName val="Land requirements"/>
      <sheetName val="Productivity"/>
      <sheetName val="Economics "/>
      <sheetName val="Soil impacts"/>
      <sheetName val="Water Impacts"/>
      <sheetName val="GHG emissions"/>
      <sheetName val="SUMMARY"/>
      <sheetName val="Area Parameters"/>
      <sheetName val="Livestock parameters"/>
      <sheetName val="Crop parameters"/>
      <sheetName val="Feed parameters"/>
      <sheetName val="Economics_Parameters"/>
      <sheetName val="GHG Parameters"/>
      <sheetName val="SOC parameters"/>
      <sheetName val="Soil erosion parameters"/>
      <sheetName val="Feed"/>
      <sheetName val="Land Requirement "/>
      <sheetName val="Meat &amp; Milk "/>
      <sheetName val="Economics_Payback "/>
      <sheetName val="N balance"/>
      <sheetName val="Water"/>
      <sheetName val="SOC"/>
      <sheetName val="Biomass"/>
      <sheetName val="Soil erosion"/>
      <sheetName val="GHG Ent fermentation"/>
      <sheetName val="GHG Manure"/>
      <sheetName val="GHG Soil"/>
      <sheetName val="GHG Burning"/>
      <sheetName val="GHG Off-farm"/>
      <sheetName val="GHG Rice"/>
      <sheetName val="Trees-Carbon"/>
    </sheetNames>
    <sheetDataSet>
      <sheetData sheetId="0"/>
      <sheetData sheetId="1">
        <row r="3">
          <cell r="C3" t="str">
            <v>Season 1</v>
          </cell>
        </row>
      </sheetData>
      <sheetData sheetId="2"/>
      <sheetData sheetId="3" refreshError="1"/>
      <sheetData sheetId="4" refreshError="1"/>
      <sheetData sheetId="5" refreshError="1"/>
      <sheetData sheetId="6">
        <row r="2">
          <cell r="B2" t="str">
            <v>TIER 1</v>
          </cell>
          <cell r="I2" t="str">
            <v>TIER 2</v>
          </cell>
        </row>
        <row r="5">
          <cell r="B5" t="str">
            <v xml:space="preserve">Enteric fermentation-Methane </v>
          </cell>
          <cell r="E5">
            <v>2493.2972141419286</v>
          </cell>
          <cell r="I5" t="str">
            <v xml:space="preserve">Enteric fermentation-Methane </v>
          </cell>
          <cell r="L5">
            <v>2369.6906604137512</v>
          </cell>
        </row>
        <row r="6">
          <cell r="B6" t="str">
            <v xml:space="preserve">Manure-Methane </v>
          </cell>
          <cell r="E6">
            <v>73.086601754579135</v>
          </cell>
          <cell r="I6" t="str">
            <v xml:space="preserve">Manure-Methane </v>
          </cell>
          <cell r="L6">
            <v>139.96808260846927</v>
          </cell>
        </row>
        <row r="7">
          <cell r="B7" t="str">
            <v>Manure-Direct N2O</v>
          </cell>
          <cell r="E7">
            <v>339.24547650630575</v>
          </cell>
          <cell r="I7" t="str">
            <v>Manure-Direct N2O</v>
          </cell>
          <cell r="L7">
            <v>396.90910631885907</v>
          </cell>
        </row>
        <row r="8">
          <cell r="B8" t="str">
            <v>Manure-Indirect N2O</v>
          </cell>
          <cell r="E8">
            <v>175.6069226294249</v>
          </cell>
          <cell r="I8" t="str">
            <v>Manure-Indirect N2O</v>
          </cell>
          <cell r="L8">
            <v>238.14546379131548</v>
          </cell>
        </row>
        <row r="9">
          <cell r="B9" t="str">
            <v>Soil-Direct N2O</v>
          </cell>
          <cell r="E9">
            <v>985.07378939100715</v>
          </cell>
          <cell r="I9" t="str">
            <v>Soil-Direct N2O</v>
          </cell>
          <cell r="L9">
            <v>525.03154914846436</v>
          </cell>
        </row>
        <row r="10">
          <cell r="B10" t="str">
            <v>Soil-Indirect N2O</v>
          </cell>
          <cell r="E10">
            <v>175.75775969714709</v>
          </cell>
          <cell r="I10" t="str">
            <v>Soil-Indirect N2O</v>
          </cell>
          <cell r="L10">
            <v>100.11844962259545</v>
          </cell>
        </row>
        <row r="11">
          <cell r="B11" t="str">
            <v>OFF-Farm Soil-Direct N2O</v>
          </cell>
          <cell r="E11">
            <v>0</v>
          </cell>
          <cell r="I11" t="str">
            <v>OFF-Farm Soil-Direct N2O</v>
          </cell>
          <cell r="L11">
            <v>0</v>
          </cell>
        </row>
        <row r="12">
          <cell r="B12" t="str">
            <v>OFF-Farm Soil-Indirect N2O</v>
          </cell>
          <cell r="E12">
            <v>0</v>
          </cell>
          <cell r="I12" t="str">
            <v>OFF-Farm Soil-Indirect N2O</v>
          </cell>
          <cell r="L12">
            <v>0</v>
          </cell>
        </row>
        <row r="13">
          <cell r="B13" t="str">
            <v>Burning</v>
          </cell>
          <cell r="E13">
            <v>0</v>
          </cell>
          <cell r="I13" t="str">
            <v>Burning</v>
          </cell>
          <cell r="L13">
            <v>0</v>
          </cell>
        </row>
        <row r="14">
          <cell r="B14" t="str">
            <v>Rice production-Methane</v>
          </cell>
          <cell r="E14">
            <v>0</v>
          </cell>
          <cell r="I14" t="str">
            <v>Rice production-Methane</v>
          </cell>
          <cell r="L14">
            <v>0</v>
          </cell>
        </row>
        <row r="15">
          <cell r="B15" t="str">
            <v xml:space="preserve">Off-farm emissions </v>
          </cell>
          <cell r="E15">
            <v>7.357881764394671</v>
          </cell>
          <cell r="I15" t="str">
            <v xml:space="preserve">Off-farm emissions </v>
          </cell>
          <cell r="L15">
            <v>7.357881764394671</v>
          </cell>
        </row>
        <row r="28">
          <cell r="C28" t="str">
            <v>Tier 1</v>
          </cell>
          <cell r="D28" t="str">
            <v>Tier 2</v>
          </cell>
        </row>
        <row r="30">
          <cell r="B30" t="str">
            <v>Soil</v>
          </cell>
          <cell r="C30">
            <v>1.1608315490881542</v>
          </cell>
          <cell r="D30">
            <v>0.62514999877105981</v>
          </cell>
        </row>
        <row r="31">
          <cell r="B31" t="str">
            <v>Off-farm Soil</v>
          </cell>
          <cell r="C31">
            <v>0</v>
          </cell>
          <cell r="D31">
            <v>0</v>
          </cell>
        </row>
        <row r="32">
          <cell r="B32" t="str">
            <v>Liv. Manure</v>
          </cell>
          <cell r="C32">
            <v>0.58793900089030982</v>
          </cell>
          <cell r="D32">
            <v>0.77502265271864379</v>
          </cell>
        </row>
        <row r="33">
          <cell r="B33" t="str">
            <v>Liv.enteric fermentation</v>
          </cell>
          <cell r="C33">
            <v>2.4932972141419287</v>
          </cell>
          <cell r="D33">
            <v>2.3696906604137511</v>
          </cell>
        </row>
        <row r="34">
          <cell r="B34" t="str">
            <v>Burning</v>
          </cell>
          <cell r="C34">
            <v>0</v>
          </cell>
          <cell r="D34">
            <v>0</v>
          </cell>
        </row>
        <row r="35">
          <cell r="B35" t="str">
            <v>Rice</v>
          </cell>
          <cell r="C35">
            <v>0</v>
          </cell>
          <cell r="D35">
            <v>0</v>
          </cell>
        </row>
        <row r="36">
          <cell r="B36" t="str">
            <v xml:space="preserve">Off-farm emissions </v>
          </cell>
          <cell r="C36">
            <v>7.357881764394671E-3</v>
          </cell>
          <cell r="D36">
            <v>7.357881764394671E-3</v>
          </cell>
        </row>
      </sheetData>
      <sheetData sheetId="7" refreshError="1"/>
      <sheetData sheetId="8"/>
      <sheetData sheetId="9"/>
      <sheetData sheetId="10"/>
      <sheetData sheetId="11"/>
      <sheetData sheetId="12"/>
      <sheetData sheetId="13"/>
      <sheetData sheetId="14"/>
      <sheetData sheetId="15" refreshError="1"/>
      <sheetData sheetId="16"/>
      <sheetData sheetId="17"/>
      <sheetData sheetId="18"/>
      <sheetData sheetId="19" refreshError="1"/>
      <sheetData sheetId="20" refreshError="1"/>
      <sheetData sheetId="21"/>
      <sheetData sheetId="22" refreshError="1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HG Parameters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id="1" name="FEED_P" displayName="FEED_P" ref="A2:I113" totalsRowShown="0" headerRowDxfId="10" headerRowBorderDxfId="9">
  <autoFilter ref="A2:I113">
    <filterColumn colId="0">
      <filters>
        <filter val="Concentrate (commercial)"/>
        <filter val="Guatemala (Tripsacum andersonii) - forage"/>
        <filter val="Maize (Zea mays) - stover"/>
        <filter val="Naturally occuring pasture - green fodder"/>
        <filter val="Pennisetum purpureum - forage"/>
        <filter val="Rhodes grass (Chloris gayana) - forage"/>
      </filters>
    </filterColumn>
  </autoFilter>
  <sortState ref="A3:I113">
    <sortCondition ref="A2:A113"/>
  </sortState>
  <tableColumns count="9">
    <tableColumn id="1" name="Feed" dataDxfId="8"/>
    <tableColumn id="2" name="DM content (%)" dataDxfId="7"/>
    <tableColumn id="3" name="ME content (MJ/kg DM)" dataDxfId="6"/>
    <tableColumn id="4" name="ME (MJ/kg fresh)" dataDxfId="5">
      <calculatedColumnFormula>C3*(0.01*B3)</calculatedColumnFormula>
    </tableColumn>
    <tableColumn id="5" name="CP content (% DM)" dataDxfId="4"/>
    <tableColumn id="6" name="CP content (% fresh)" dataDxfId="3"/>
    <tableColumn id="7" name="DE (fraction)" dataDxfId="2"/>
    <tableColumn id="8" name="Origin of feed Purchased (off farm or outside landscape) = 0, Produced =1 in situ" dataDxfId="1"/>
    <tableColumn id="9" name="Associated crop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://www.sciencedirect.com/science/article/pii/S0889157504000146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2060"/>
  </sheetPr>
  <dimension ref="A1:FI235"/>
  <sheetViews>
    <sheetView showGridLines="0" zoomScale="75" zoomScaleNormal="75" workbookViewId="0">
      <selection activeCell="D67" sqref="D67:D69"/>
    </sheetView>
  </sheetViews>
  <sheetFormatPr defaultColWidth="10.875" defaultRowHeight="15.75"/>
  <cols>
    <col min="1" max="1" width="7" style="416" customWidth="1"/>
    <col min="2" max="2" width="42.375" style="418" customWidth="1"/>
    <col min="3" max="3" width="53.25" style="418" customWidth="1"/>
    <col min="4" max="4" width="27.875" style="416" customWidth="1"/>
    <col min="5" max="5" width="29.75" style="416" customWidth="1"/>
    <col min="6" max="6" width="30.75" style="416" customWidth="1"/>
    <col min="7" max="7" width="25.75" style="416" customWidth="1"/>
    <col min="8" max="8" width="18.625" style="416" customWidth="1"/>
    <col min="9" max="9" width="20.625" style="416" customWidth="1"/>
    <col min="10" max="10" width="16.125" style="416" customWidth="1"/>
    <col min="11" max="11" width="18.5" style="416" customWidth="1"/>
    <col min="12" max="12" width="24.375" style="416" customWidth="1"/>
    <col min="13" max="13" width="15" style="416" customWidth="1"/>
    <col min="14" max="14" width="17.5" style="416" customWidth="1"/>
    <col min="15" max="15" width="31.125" style="416" customWidth="1"/>
    <col min="16" max="16" width="15.5" style="416" customWidth="1"/>
    <col min="17" max="17" width="38" style="416" customWidth="1"/>
    <col min="18" max="18" width="30.375" style="416" customWidth="1"/>
    <col min="19" max="27" width="15.5" style="416" customWidth="1"/>
    <col min="28" max="16384" width="10.875" style="416"/>
  </cols>
  <sheetData>
    <row r="1" spans="1:17">
      <c r="B1" s="419" t="s">
        <v>1211</v>
      </c>
      <c r="C1" s="419"/>
      <c r="D1" s="415"/>
      <c r="E1" s="415"/>
      <c r="G1" s="72"/>
      <c r="H1" s="72"/>
      <c r="I1" s="72"/>
    </row>
    <row r="2" spans="1:17" ht="16.5" thickBot="1">
      <c r="A2" s="655"/>
      <c r="B2" s="117"/>
      <c r="C2" s="117"/>
      <c r="G2" s="72"/>
      <c r="H2" s="72"/>
      <c r="I2" s="72"/>
    </row>
    <row r="3" spans="1:17" ht="16.5" thickBot="1">
      <c r="A3" s="655"/>
      <c r="B3" s="117"/>
      <c r="C3" s="117"/>
      <c r="D3" s="1232" t="s">
        <v>69</v>
      </c>
      <c r="E3" s="1242" t="s">
        <v>95</v>
      </c>
      <c r="G3" s="72"/>
      <c r="H3" s="72"/>
      <c r="I3" s="72"/>
    </row>
    <row r="4" spans="1:17" ht="16.5" thickBot="1">
      <c r="A4" s="655"/>
      <c r="B4" s="117"/>
      <c r="C4" s="117"/>
      <c r="G4" s="72"/>
      <c r="H4" s="72"/>
      <c r="I4" s="72"/>
    </row>
    <row r="5" spans="1:17">
      <c r="A5" s="655"/>
      <c r="B5" s="1433" t="s">
        <v>1213</v>
      </c>
      <c r="C5" s="1211" t="s">
        <v>1212</v>
      </c>
      <c r="D5" s="1208" t="s">
        <v>77</v>
      </c>
      <c r="E5" s="429" t="s">
        <v>1134</v>
      </c>
      <c r="G5" s="72"/>
      <c r="H5" s="72"/>
      <c r="I5" s="72"/>
    </row>
    <row r="6" spans="1:17">
      <c r="A6" s="655"/>
      <c r="B6" s="1434"/>
      <c r="C6" s="1206" t="s">
        <v>1214</v>
      </c>
      <c r="D6" s="1209" t="s">
        <v>635</v>
      </c>
      <c r="E6" s="351" t="s">
        <v>1883</v>
      </c>
      <c r="G6" s="72"/>
      <c r="H6" s="72"/>
      <c r="I6" s="72"/>
    </row>
    <row r="7" spans="1:17" ht="16.5" thickBot="1">
      <c r="A7" s="655"/>
      <c r="B7" s="1435"/>
      <c r="C7" s="1210" t="s">
        <v>1215</v>
      </c>
      <c r="D7" s="677" t="s">
        <v>635</v>
      </c>
      <c r="E7" s="1221" t="s">
        <v>1884</v>
      </c>
      <c r="G7" s="72"/>
      <c r="H7" s="72"/>
      <c r="I7" s="72"/>
    </row>
    <row r="8" spans="1:17" ht="16.5" thickBot="1">
      <c r="B8" s="416"/>
      <c r="C8" s="1220"/>
      <c r="D8" s="437">
        <f>'Land requirements'!E11</f>
        <v>0</v>
      </c>
      <c r="G8" s="72"/>
      <c r="H8" s="72"/>
      <c r="I8" s="72"/>
    </row>
    <row r="9" spans="1:17" ht="16.5" thickBot="1">
      <c r="B9" s="30"/>
      <c r="C9" s="1233"/>
      <c r="D9" s="423" t="s">
        <v>1789</v>
      </c>
      <c r="E9" s="1220"/>
      <c r="G9" s="1220"/>
    </row>
    <row r="10" spans="1:17">
      <c r="B10" s="578" t="s">
        <v>1810</v>
      </c>
      <c r="C10" s="1235"/>
      <c r="D10" s="1410">
        <v>222</v>
      </c>
      <c r="E10" s="1220"/>
      <c r="G10" s="1220"/>
    </row>
    <row r="11" spans="1:17" ht="16.5" thickBot="1">
      <c r="B11" s="1234" t="s">
        <v>815</v>
      </c>
      <c r="C11" s="1236"/>
      <c r="D11" s="1411">
        <v>143</v>
      </c>
      <c r="E11" s="1220"/>
      <c r="G11" s="1220"/>
    </row>
    <row r="12" spans="1:17" ht="16.5" thickBot="1">
      <c r="B12" s="1234" t="s">
        <v>1812</v>
      </c>
      <c r="C12" s="1236"/>
      <c r="D12" s="1307">
        <v>0</v>
      </c>
      <c r="E12" s="30"/>
      <c r="F12" s="154"/>
      <c r="G12" s="154"/>
      <c r="H12" s="168"/>
      <c r="I12" s="168"/>
    </row>
    <row r="13" spans="1:17">
      <c r="B13" s="765"/>
      <c r="C13" s="1237">
        <f>SUM(C10:C11)</f>
        <v>0</v>
      </c>
      <c r="D13" s="1237">
        <f>SUM(D10:D12)</f>
        <v>365</v>
      </c>
      <c r="E13" s="30"/>
      <c r="F13" s="154"/>
      <c r="G13" s="154"/>
      <c r="H13" s="168"/>
      <c r="I13" s="168"/>
    </row>
    <row r="14" spans="1:17">
      <c r="B14" s="419" t="s">
        <v>825</v>
      </c>
      <c r="C14" s="415"/>
      <c r="D14" s="415"/>
      <c r="E14" s="420"/>
      <c r="F14" s="415"/>
      <c r="G14" s="415"/>
      <c r="H14" s="415"/>
      <c r="I14" s="415"/>
      <c r="J14" s="415"/>
      <c r="K14" s="415"/>
      <c r="L14" s="415"/>
      <c r="M14" s="415"/>
      <c r="N14" s="415"/>
      <c r="O14" s="415"/>
      <c r="P14" s="415"/>
      <c r="Q14" s="415"/>
    </row>
    <row r="15" spans="1:17" ht="16.5" thickBot="1"/>
    <row r="16" spans="1:17" s="418" customFormat="1" ht="79.5" customHeight="1">
      <c r="B16" s="1436" t="s">
        <v>1045</v>
      </c>
      <c r="C16" s="424"/>
      <c r="D16" s="687" t="s">
        <v>1177</v>
      </c>
      <c r="E16" s="891" t="s">
        <v>1474</v>
      </c>
      <c r="F16" s="1189" t="s">
        <v>1475</v>
      </c>
      <c r="G16" s="1193"/>
      <c r="H16" s="1194" t="s">
        <v>1040</v>
      </c>
      <c r="I16" s="940" t="s">
        <v>1547</v>
      </c>
      <c r="J16" s="1266" t="s">
        <v>1041</v>
      </c>
      <c r="K16" s="688" t="s">
        <v>1042</v>
      </c>
      <c r="L16" s="688" t="s">
        <v>1574</v>
      </c>
      <c r="M16" s="1025" t="s">
        <v>1043</v>
      </c>
      <c r="N16" s="941" t="s">
        <v>1548</v>
      </c>
      <c r="O16" s="584" t="s">
        <v>1126</v>
      </c>
      <c r="P16" s="426"/>
      <c r="Q16" s="689" t="s">
        <v>1044</v>
      </c>
    </row>
    <row r="17" spans="1:17">
      <c r="A17" s="427"/>
      <c r="B17" s="1437"/>
      <c r="C17" s="428" t="s">
        <v>1787</v>
      </c>
      <c r="D17" s="353">
        <v>1</v>
      </c>
      <c r="E17" s="892">
        <v>1525</v>
      </c>
      <c r="F17" s="1190">
        <v>0</v>
      </c>
      <c r="G17" s="1100"/>
      <c r="H17" s="355">
        <v>1</v>
      </c>
      <c r="I17" s="356">
        <v>0</v>
      </c>
      <c r="J17" s="354">
        <v>0</v>
      </c>
      <c r="K17" s="354">
        <v>0</v>
      </c>
      <c r="L17" s="354">
        <v>0</v>
      </c>
      <c r="M17" s="355">
        <v>1</v>
      </c>
      <c r="N17" s="356">
        <v>0</v>
      </c>
      <c r="O17" s="354">
        <v>0</v>
      </c>
      <c r="P17" s="1222"/>
      <c r="Q17" s="1267">
        <v>0.9</v>
      </c>
    </row>
    <row r="18" spans="1:17">
      <c r="B18" s="1437"/>
      <c r="C18" s="428" t="s">
        <v>1843</v>
      </c>
      <c r="D18" s="353">
        <v>1</v>
      </c>
      <c r="E18" s="353">
        <v>0</v>
      </c>
      <c r="F18" s="1190">
        <v>156</v>
      </c>
      <c r="G18" s="1100"/>
      <c r="H18" s="355">
        <v>1</v>
      </c>
      <c r="I18" s="356">
        <v>0</v>
      </c>
      <c r="J18" s="354">
        <v>0</v>
      </c>
      <c r="K18" s="354">
        <v>0</v>
      </c>
      <c r="L18" s="354">
        <v>0</v>
      </c>
      <c r="M18" s="355">
        <v>1</v>
      </c>
      <c r="N18" s="356">
        <v>0</v>
      </c>
      <c r="O18" s="354">
        <v>0</v>
      </c>
      <c r="P18" s="1222"/>
      <c r="Q18" s="1267">
        <v>0.9</v>
      </c>
    </row>
    <row r="19" spans="1:17">
      <c r="B19" s="1437"/>
      <c r="C19" s="428"/>
      <c r="D19" s="353">
        <v>0</v>
      </c>
      <c r="E19" s="353">
        <v>0</v>
      </c>
      <c r="F19" s="1190">
        <v>0</v>
      </c>
      <c r="G19" s="1100"/>
      <c r="H19" s="355">
        <v>1</v>
      </c>
      <c r="I19" s="356">
        <v>0</v>
      </c>
      <c r="J19" s="354">
        <v>0</v>
      </c>
      <c r="K19" s="354">
        <v>0</v>
      </c>
      <c r="L19" s="354">
        <v>0</v>
      </c>
      <c r="M19" s="355">
        <v>1</v>
      </c>
      <c r="N19" s="356">
        <v>0</v>
      </c>
      <c r="O19" s="354">
        <v>0</v>
      </c>
      <c r="P19" s="1222"/>
      <c r="Q19" s="1267">
        <v>0.9</v>
      </c>
    </row>
    <row r="20" spans="1:17">
      <c r="B20" s="1437"/>
      <c r="C20" s="428"/>
      <c r="D20" s="353">
        <v>0</v>
      </c>
      <c r="E20" s="353">
        <v>0</v>
      </c>
      <c r="F20" s="1190">
        <v>0</v>
      </c>
      <c r="G20" s="1100"/>
      <c r="H20" s="355">
        <v>0</v>
      </c>
      <c r="I20" s="356">
        <v>0</v>
      </c>
      <c r="J20" s="354">
        <v>0</v>
      </c>
      <c r="K20" s="354">
        <v>0</v>
      </c>
      <c r="L20" s="354">
        <v>0</v>
      </c>
      <c r="M20" s="355">
        <v>0</v>
      </c>
      <c r="N20" s="356">
        <v>0</v>
      </c>
      <c r="O20" s="354">
        <v>0</v>
      </c>
      <c r="P20" s="1222"/>
      <c r="Q20" s="1267">
        <v>0</v>
      </c>
    </row>
    <row r="21" spans="1:17">
      <c r="B21" s="1437"/>
      <c r="C21" s="428"/>
      <c r="D21" s="353">
        <v>0</v>
      </c>
      <c r="E21" s="353">
        <v>0</v>
      </c>
      <c r="F21" s="1190">
        <v>0</v>
      </c>
      <c r="G21" s="1100"/>
      <c r="H21" s="355">
        <v>0</v>
      </c>
      <c r="I21" s="356">
        <v>0</v>
      </c>
      <c r="J21" s="354">
        <v>0</v>
      </c>
      <c r="K21" s="354">
        <v>0</v>
      </c>
      <c r="L21" s="354">
        <v>0</v>
      </c>
      <c r="M21" s="355">
        <v>0</v>
      </c>
      <c r="N21" s="356">
        <v>0</v>
      </c>
      <c r="O21" s="354">
        <v>0</v>
      </c>
      <c r="P21" s="1222"/>
      <c r="Q21" s="1267">
        <v>0</v>
      </c>
    </row>
    <row r="22" spans="1:17">
      <c r="B22" s="1437"/>
      <c r="C22" s="428"/>
      <c r="D22" s="353">
        <v>0</v>
      </c>
      <c r="E22" s="353">
        <v>0</v>
      </c>
      <c r="F22" s="1190">
        <v>0</v>
      </c>
      <c r="G22" s="1100"/>
      <c r="H22" s="355">
        <v>0</v>
      </c>
      <c r="I22" s="356">
        <v>0</v>
      </c>
      <c r="J22" s="354">
        <v>0</v>
      </c>
      <c r="K22" s="354">
        <v>0</v>
      </c>
      <c r="L22" s="354">
        <v>0</v>
      </c>
      <c r="M22" s="355">
        <v>0</v>
      </c>
      <c r="N22" s="356">
        <v>0</v>
      </c>
      <c r="O22" s="354">
        <v>0</v>
      </c>
      <c r="P22" s="1222"/>
      <c r="Q22" s="1267">
        <v>0</v>
      </c>
    </row>
    <row r="23" spans="1:17">
      <c r="B23" s="1437"/>
      <c r="C23" s="428"/>
      <c r="D23" s="353">
        <v>0</v>
      </c>
      <c r="E23" s="353">
        <v>0</v>
      </c>
      <c r="F23" s="1190">
        <v>0</v>
      </c>
      <c r="G23" s="1100"/>
      <c r="H23" s="355">
        <v>0</v>
      </c>
      <c r="I23" s="356">
        <v>0</v>
      </c>
      <c r="J23" s="354">
        <v>0</v>
      </c>
      <c r="K23" s="354">
        <v>0</v>
      </c>
      <c r="L23" s="354">
        <v>0</v>
      </c>
      <c r="M23" s="355">
        <v>0</v>
      </c>
      <c r="N23" s="356">
        <v>0</v>
      </c>
      <c r="O23" s="354">
        <v>0</v>
      </c>
      <c r="P23" s="1222"/>
      <c r="Q23" s="1267">
        <v>0</v>
      </c>
    </row>
    <row r="24" spans="1:17">
      <c r="B24" s="1437"/>
      <c r="C24" s="428"/>
      <c r="D24" s="353">
        <v>0</v>
      </c>
      <c r="E24" s="353">
        <v>0</v>
      </c>
      <c r="F24" s="1190">
        <v>0</v>
      </c>
      <c r="G24" s="1100"/>
      <c r="H24" s="355">
        <v>0</v>
      </c>
      <c r="I24" s="356">
        <v>0</v>
      </c>
      <c r="J24" s="354">
        <v>0</v>
      </c>
      <c r="K24" s="354">
        <v>0</v>
      </c>
      <c r="L24" s="354">
        <v>0</v>
      </c>
      <c r="M24" s="355">
        <v>0</v>
      </c>
      <c r="N24" s="356">
        <v>0</v>
      </c>
      <c r="O24" s="354">
        <v>0</v>
      </c>
      <c r="P24" s="1222"/>
      <c r="Q24" s="1267">
        <v>0</v>
      </c>
    </row>
    <row r="25" spans="1:17">
      <c r="B25" s="1437"/>
      <c r="C25" s="428"/>
      <c r="D25" s="1090">
        <v>0</v>
      </c>
      <c r="E25" s="1090">
        <v>0</v>
      </c>
      <c r="F25" s="1101">
        <v>0</v>
      </c>
      <c r="G25" s="1100"/>
      <c r="H25" s="355">
        <v>0</v>
      </c>
      <c r="I25" s="356">
        <v>0</v>
      </c>
      <c r="J25" s="354">
        <v>0</v>
      </c>
      <c r="K25" s="354">
        <v>0</v>
      </c>
      <c r="L25" s="1091">
        <v>0</v>
      </c>
      <c r="M25" s="355">
        <v>0</v>
      </c>
      <c r="N25" s="1412">
        <v>0</v>
      </c>
      <c r="O25" s="1091">
        <v>0</v>
      </c>
      <c r="P25" s="1222"/>
      <c r="Q25" s="1413">
        <v>0</v>
      </c>
    </row>
    <row r="26" spans="1:17">
      <c r="B26" s="1223"/>
      <c r="C26" s="428"/>
      <c r="D26" s="1090">
        <v>0</v>
      </c>
      <c r="E26" s="1090">
        <v>0</v>
      </c>
      <c r="F26" s="1101">
        <v>0</v>
      </c>
      <c r="G26" s="1100"/>
      <c r="H26" s="355">
        <v>0</v>
      </c>
      <c r="I26" s="356">
        <v>0</v>
      </c>
      <c r="J26" s="354">
        <v>0</v>
      </c>
      <c r="K26" s="354">
        <v>0</v>
      </c>
      <c r="L26" s="1091">
        <v>0</v>
      </c>
      <c r="M26" s="355">
        <v>0</v>
      </c>
      <c r="N26" s="1412">
        <v>0</v>
      </c>
      <c r="O26" s="1091">
        <v>0</v>
      </c>
      <c r="P26" s="1222"/>
      <c r="Q26" s="1413">
        <v>0</v>
      </c>
    </row>
    <row r="27" spans="1:17">
      <c r="B27" s="1223"/>
      <c r="C27" s="428"/>
      <c r="D27" s="1090">
        <v>0</v>
      </c>
      <c r="E27" s="1090">
        <v>0</v>
      </c>
      <c r="F27" s="1101">
        <v>0</v>
      </c>
      <c r="G27" s="1100"/>
      <c r="H27" s="355">
        <v>0</v>
      </c>
      <c r="I27" s="356">
        <v>0</v>
      </c>
      <c r="J27" s="354">
        <v>0</v>
      </c>
      <c r="K27" s="354">
        <v>0</v>
      </c>
      <c r="L27" s="1091">
        <v>0</v>
      </c>
      <c r="M27" s="355">
        <v>0</v>
      </c>
      <c r="N27" s="1412">
        <v>0</v>
      </c>
      <c r="O27" s="1091">
        <v>0</v>
      </c>
      <c r="P27" s="1222"/>
      <c r="Q27" s="1413">
        <v>0</v>
      </c>
    </row>
    <row r="28" spans="1:17">
      <c r="B28" s="1223"/>
      <c r="C28" s="428"/>
      <c r="D28" s="1090">
        <v>0</v>
      </c>
      <c r="E28" s="1090">
        <v>0</v>
      </c>
      <c r="F28" s="1101">
        <v>0</v>
      </c>
      <c r="G28" s="1100"/>
      <c r="H28" s="355">
        <v>0</v>
      </c>
      <c r="I28" s="356">
        <v>0</v>
      </c>
      <c r="J28" s="354">
        <v>0</v>
      </c>
      <c r="K28" s="354">
        <v>0</v>
      </c>
      <c r="L28" s="1091">
        <v>0</v>
      </c>
      <c r="M28" s="355">
        <v>0</v>
      </c>
      <c r="N28" s="1412">
        <v>0</v>
      </c>
      <c r="O28" s="1091">
        <v>0</v>
      </c>
      <c r="P28" s="1222"/>
      <c r="Q28" s="1413">
        <v>0</v>
      </c>
    </row>
    <row r="29" spans="1:17">
      <c r="B29" s="1223"/>
      <c r="C29" s="428"/>
      <c r="D29" s="1090">
        <v>0</v>
      </c>
      <c r="E29" s="1090">
        <v>0</v>
      </c>
      <c r="F29" s="1101">
        <v>0</v>
      </c>
      <c r="G29" s="1100"/>
      <c r="H29" s="355">
        <v>0</v>
      </c>
      <c r="I29" s="356">
        <v>0</v>
      </c>
      <c r="J29" s="354">
        <v>0</v>
      </c>
      <c r="K29" s="354">
        <v>0</v>
      </c>
      <c r="L29" s="1091">
        <v>0</v>
      </c>
      <c r="M29" s="355">
        <v>0</v>
      </c>
      <c r="N29" s="1412">
        <v>0</v>
      </c>
      <c r="O29" s="1091">
        <v>0</v>
      </c>
      <c r="P29" s="1222"/>
      <c r="Q29" s="1413">
        <v>0</v>
      </c>
    </row>
    <row r="30" spans="1:17" ht="16.5" thickBot="1">
      <c r="B30" s="1224"/>
      <c r="C30" s="835"/>
      <c r="D30" s="1225">
        <v>0</v>
      </c>
      <c r="E30" s="1225">
        <v>0</v>
      </c>
      <c r="F30" s="1102">
        <v>0</v>
      </c>
      <c r="G30" s="1226"/>
      <c r="H30" s="1414">
        <v>0</v>
      </c>
      <c r="I30" s="929">
        <v>0</v>
      </c>
      <c r="J30" s="933">
        <v>0</v>
      </c>
      <c r="K30" s="933">
        <v>0</v>
      </c>
      <c r="L30" s="933">
        <v>0</v>
      </c>
      <c r="M30" s="1414">
        <v>0</v>
      </c>
      <c r="N30" s="929">
        <v>0</v>
      </c>
      <c r="O30" s="933">
        <v>0</v>
      </c>
      <c r="P30" s="1227"/>
      <c r="Q30" s="1415">
        <v>0</v>
      </c>
    </row>
    <row r="31" spans="1:17" ht="16.5" thickBot="1"/>
    <row r="32" spans="1:17" ht="46.5" customHeight="1">
      <c r="B32" s="1438" t="s">
        <v>1578</v>
      </c>
      <c r="C32" s="1191"/>
      <c r="D32" s="230" t="s">
        <v>1579</v>
      </c>
      <c r="E32" s="154"/>
      <c r="F32" s="154"/>
      <c r="G32" s="154"/>
      <c r="H32" s="154"/>
      <c r="I32" s="154"/>
      <c r="J32" s="154"/>
    </row>
    <row r="33" spans="1:10" ht="19.5" customHeight="1">
      <c r="A33" s="427"/>
      <c r="B33" s="1439"/>
      <c r="C33" s="13" t="s">
        <v>1047</v>
      </c>
      <c r="D33" s="1190" t="s">
        <v>452</v>
      </c>
      <c r="E33" s="1026"/>
      <c r="F33" s="1026"/>
      <c r="G33" s="1026"/>
      <c r="H33" s="1026"/>
      <c r="I33" s="1026"/>
      <c r="J33" s="1026"/>
    </row>
    <row r="34" spans="1:10">
      <c r="B34" s="1439"/>
      <c r="C34" s="13" t="s">
        <v>1048</v>
      </c>
      <c r="D34" s="1190" t="s">
        <v>120</v>
      </c>
      <c r="E34" s="1026"/>
      <c r="F34" s="1026"/>
      <c r="G34" s="1026"/>
      <c r="H34" s="1026"/>
      <c r="I34" s="1026"/>
      <c r="J34" s="1026"/>
    </row>
    <row r="35" spans="1:10" ht="16.5" customHeight="1" thickBot="1">
      <c r="B35" s="1440"/>
      <c r="C35" s="1192" t="s">
        <v>1049</v>
      </c>
      <c r="D35" s="1102" t="s">
        <v>448</v>
      </c>
      <c r="E35" s="1026"/>
      <c r="F35" s="1026"/>
      <c r="G35" s="1026"/>
      <c r="H35" s="1026"/>
      <c r="I35" s="1026"/>
      <c r="J35" s="1026"/>
    </row>
    <row r="36" spans="1:10" ht="16.5" thickBot="1">
      <c r="B36" s="690"/>
      <c r="C36" s="690"/>
      <c r="D36" s="690"/>
      <c r="E36" s="691"/>
    </row>
    <row r="37" spans="1:10" ht="15.75" customHeight="1">
      <c r="B37" s="1451" t="s">
        <v>1046</v>
      </c>
      <c r="C37" s="417"/>
      <c r="D37" s="429" t="s">
        <v>1051</v>
      </c>
    </row>
    <row r="38" spans="1:10">
      <c r="A38" s="692"/>
      <c r="B38" s="1452"/>
      <c r="C38" s="939" t="s">
        <v>127</v>
      </c>
      <c r="D38" s="694">
        <v>0</v>
      </c>
      <c r="E38" s="692"/>
    </row>
    <row r="39" spans="1:10" ht="30.75" customHeight="1">
      <c r="A39" s="692"/>
      <c r="B39" s="1452"/>
      <c r="C39" s="939" t="s">
        <v>1546</v>
      </c>
      <c r="D39" s="694">
        <v>0</v>
      </c>
      <c r="E39" s="692"/>
    </row>
    <row r="40" spans="1:10">
      <c r="A40" s="692"/>
      <c r="B40" s="1452"/>
      <c r="C40" s="693" t="s">
        <v>128</v>
      </c>
      <c r="D40" s="694">
        <v>4.66</v>
      </c>
      <c r="E40" s="692"/>
    </row>
    <row r="41" spans="1:10">
      <c r="A41" s="692"/>
      <c r="B41" s="1452"/>
      <c r="C41" s="693" t="s">
        <v>129</v>
      </c>
      <c r="D41" s="694">
        <v>0</v>
      </c>
      <c r="E41" s="692"/>
    </row>
    <row r="42" spans="1:10" ht="16.5" thickBot="1">
      <c r="A42" s="692"/>
      <c r="B42" s="1453"/>
      <c r="C42" s="695" t="s">
        <v>130</v>
      </c>
      <c r="D42" s="696">
        <v>0</v>
      </c>
      <c r="E42" s="692"/>
    </row>
    <row r="43" spans="1:10" ht="16.5" thickBot="1">
      <c r="A43" s="692"/>
      <c r="B43" s="691"/>
      <c r="C43" s="691"/>
      <c r="D43" s="697"/>
      <c r="E43" s="692"/>
      <c r="F43" s="431"/>
    </row>
    <row r="44" spans="1:10" ht="15" customHeight="1" thickBot="1">
      <c r="B44" s="72"/>
      <c r="C44" s="72"/>
      <c r="D44" s="819" t="s">
        <v>1329</v>
      </c>
      <c r="E44" s="423" t="s">
        <v>1420</v>
      </c>
      <c r="F44" s="431"/>
    </row>
    <row r="45" spans="1:10" ht="15.75" customHeight="1">
      <c r="B45" s="1448" t="s">
        <v>1419</v>
      </c>
      <c r="C45" s="432" t="s">
        <v>1464</v>
      </c>
      <c r="D45" s="352">
        <v>3</v>
      </c>
      <c r="E45" s="352">
        <v>3</v>
      </c>
      <c r="F45" s="457"/>
    </row>
    <row r="46" spans="1:10">
      <c r="B46" s="1449"/>
      <c r="C46" s="433" t="s">
        <v>1086</v>
      </c>
      <c r="D46" s="653">
        <v>3</v>
      </c>
      <c r="E46" s="653">
        <v>3</v>
      </c>
      <c r="F46" s="457"/>
    </row>
    <row r="47" spans="1:10">
      <c r="B47" s="1449"/>
      <c r="C47" s="433" t="s">
        <v>1087</v>
      </c>
      <c r="D47" s="653">
        <v>5</v>
      </c>
      <c r="E47" s="653">
        <v>5</v>
      </c>
      <c r="F47" s="457"/>
    </row>
    <row r="48" spans="1:10">
      <c r="B48" s="1449"/>
      <c r="C48" s="433" t="s">
        <v>1178</v>
      </c>
      <c r="D48" s="653">
        <v>2</v>
      </c>
      <c r="E48" s="653">
        <v>2</v>
      </c>
      <c r="F48" s="457"/>
    </row>
    <row r="49" spans="1:41" ht="16.5" thickBot="1">
      <c r="B49" s="1450"/>
      <c r="C49" s="434" t="s">
        <v>126</v>
      </c>
      <c r="D49" s="435">
        <f>(1-((100-D45)/100*(100-D46)/100*(100-D47)/100*(100-D48)/100))*100</f>
        <v>12.402209999999991</v>
      </c>
      <c r="E49" s="435">
        <f>(1-((100-E45)/100*(100-E46)/100*(100-E47)/100*(100-E48)/100))*100</f>
        <v>12.402209999999991</v>
      </c>
      <c r="F49" s="457"/>
    </row>
    <row r="50" spans="1:41">
      <c r="A50" s="692"/>
      <c r="B50" s="691"/>
      <c r="C50" s="691"/>
      <c r="D50" s="692"/>
      <c r="E50" s="697"/>
      <c r="F50" s="456"/>
      <c r="N50" s="307"/>
    </row>
    <row r="51" spans="1:41">
      <c r="B51" s="419" t="s">
        <v>1062</v>
      </c>
      <c r="C51" s="415"/>
      <c r="D51" s="415"/>
      <c r="E51" s="420"/>
      <c r="F51" s="415"/>
      <c r="G51" s="415"/>
      <c r="H51" s="415"/>
      <c r="I51" s="415"/>
      <c r="J51" s="415"/>
      <c r="K51" s="415"/>
      <c r="L51" s="415"/>
      <c r="M51" s="415"/>
      <c r="N51" s="415"/>
      <c r="O51" s="415"/>
      <c r="P51" s="415"/>
      <c r="Q51" s="419"/>
      <c r="R51" s="415"/>
      <c r="S51" s="415"/>
      <c r="T51" s="420"/>
      <c r="U51" s="415"/>
      <c r="V51" s="415"/>
      <c r="W51" s="415"/>
      <c r="X51" s="415"/>
      <c r="Y51" s="415"/>
      <c r="Z51" s="415"/>
      <c r="AA51" s="415"/>
      <c r="AB51" s="415"/>
      <c r="AC51" s="415"/>
      <c r="AD51" s="415"/>
      <c r="AE51" s="415"/>
    </row>
    <row r="52" spans="1:41" ht="16.5" thickBot="1">
      <c r="B52" s="416"/>
      <c r="D52" s="902"/>
      <c r="E52" s="307"/>
      <c r="O52" s="12"/>
      <c r="P52" s="902"/>
    </row>
    <row r="53" spans="1:41" ht="16.5" thickBot="1">
      <c r="B53" s="1233" t="s">
        <v>1808</v>
      </c>
      <c r="D53" s="902"/>
      <c r="E53" s="307"/>
      <c r="O53" s="12"/>
      <c r="P53" s="902"/>
    </row>
    <row r="54" spans="1:41" ht="16.5" thickBot="1">
      <c r="B54" s="416"/>
      <c r="D54" s="902"/>
      <c r="E54" s="307"/>
      <c r="O54" s="12"/>
      <c r="P54" s="902"/>
    </row>
    <row r="55" spans="1:41" ht="16.5" thickBot="1">
      <c r="B55" s="951"/>
      <c r="C55" s="952" t="str">
        <f>C17</f>
        <v>Cows (improved)</v>
      </c>
      <c r="D55" s="952" t="str">
        <f>C18</f>
        <v>Steers/heifers (improved)</v>
      </c>
      <c r="E55" s="952">
        <f>C19</f>
        <v>0</v>
      </c>
      <c r="F55" s="952">
        <f>C20</f>
        <v>0</v>
      </c>
      <c r="G55" s="952">
        <f>C21</f>
        <v>0</v>
      </c>
      <c r="H55" s="952">
        <f>C22</f>
        <v>0</v>
      </c>
      <c r="I55" s="952">
        <f>C23</f>
        <v>0</v>
      </c>
      <c r="J55" s="952">
        <f>C24</f>
        <v>0</v>
      </c>
      <c r="K55" s="1092">
        <f>C25</f>
        <v>0</v>
      </c>
      <c r="L55" s="1092">
        <f>C26</f>
        <v>0</v>
      </c>
      <c r="M55" s="1092">
        <f>C27</f>
        <v>0</v>
      </c>
      <c r="N55" s="1092">
        <f>C28</f>
        <v>0</v>
      </c>
      <c r="O55" s="1092">
        <f>C29</f>
        <v>0</v>
      </c>
      <c r="P55" s="953">
        <f>C30</f>
        <v>0</v>
      </c>
      <c r="AI55" s="922"/>
      <c r="AJ55" s="922"/>
      <c r="AK55" s="922"/>
    </row>
    <row r="56" spans="1:41" ht="34.5" customHeight="1">
      <c r="B56" s="949" t="s">
        <v>1597</v>
      </c>
      <c r="C56" s="950">
        <v>0.05</v>
      </c>
      <c r="D56" s="950">
        <v>0.05</v>
      </c>
      <c r="E56" s="950">
        <v>0</v>
      </c>
      <c r="F56" s="950">
        <v>0</v>
      </c>
      <c r="G56" s="950">
        <v>0</v>
      </c>
      <c r="H56" s="950">
        <v>0</v>
      </c>
      <c r="I56" s="950">
        <v>0</v>
      </c>
      <c r="J56" s="950">
        <v>0</v>
      </c>
      <c r="K56" s="950">
        <v>0</v>
      </c>
      <c r="L56" s="950">
        <v>0</v>
      </c>
      <c r="M56" s="950">
        <v>0</v>
      </c>
      <c r="N56" s="950">
        <v>0</v>
      </c>
      <c r="O56" s="950">
        <v>0</v>
      </c>
      <c r="P56" s="950">
        <v>0</v>
      </c>
    </row>
    <row r="57" spans="1:41" ht="34.5" customHeight="1">
      <c r="B57" s="949" t="s">
        <v>1491</v>
      </c>
      <c r="C57" s="357">
        <v>0.52</v>
      </c>
      <c r="D57" s="357">
        <v>0.52</v>
      </c>
      <c r="E57" s="357">
        <v>0</v>
      </c>
      <c r="F57" s="357">
        <v>0</v>
      </c>
      <c r="G57" s="357">
        <v>0</v>
      </c>
      <c r="H57" s="357">
        <v>0</v>
      </c>
      <c r="I57" s="357">
        <v>0</v>
      </c>
      <c r="J57" s="357">
        <v>0</v>
      </c>
      <c r="K57" s="357">
        <v>0</v>
      </c>
      <c r="L57" s="357">
        <v>0</v>
      </c>
      <c r="M57" s="357">
        <v>0</v>
      </c>
      <c r="N57" s="357">
        <v>0</v>
      </c>
      <c r="O57" s="357">
        <v>0</v>
      </c>
      <c r="P57" s="357">
        <v>0</v>
      </c>
    </row>
    <row r="58" spans="1:41" ht="34.5" customHeight="1">
      <c r="B58" s="949" t="s">
        <v>1485</v>
      </c>
      <c r="C58" s="357">
        <v>0.43</v>
      </c>
      <c r="D58" s="357">
        <v>0.43</v>
      </c>
      <c r="E58" s="357">
        <v>0</v>
      </c>
      <c r="F58" s="357">
        <v>0</v>
      </c>
      <c r="G58" s="357">
        <v>0</v>
      </c>
      <c r="H58" s="357">
        <v>0</v>
      </c>
      <c r="I58" s="357">
        <v>0</v>
      </c>
      <c r="J58" s="357">
        <v>0</v>
      </c>
      <c r="K58" s="357">
        <v>0</v>
      </c>
      <c r="L58" s="357">
        <v>0</v>
      </c>
      <c r="M58" s="357">
        <v>0</v>
      </c>
      <c r="N58" s="357">
        <v>0</v>
      </c>
      <c r="O58" s="357">
        <v>0</v>
      </c>
      <c r="P58" s="357">
        <v>0</v>
      </c>
    </row>
    <row r="59" spans="1:41" ht="34.5" customHeight="1">
      <c r="B59" s="949" t="s">
        <v>1137</v>
      </c>
      <c r="C59" s="357">
        <v>0</v>
      </c>
      <c r="D59" s="357">
        <v>0</v>
      </c>
      <c r="E59" s="357">
        <v>0</v>
      </c>
      <c r="F59" s="357">
        <v>0</v>
      </c>
      <c r="G59" s="357">
        <v>0</v>
      </c>
      <c r="H59" s="357">
        <v>0</v>
      </c>
      <c r="I59" s="357">
        <v>0</v>
      </c>
      <c r="J59" s="357">
        <v>0</v>
      </c>
      <c r="K59" s="357">
        <v>0</v>
      </c>
      <c r="L59" s="357">
        <v>0</v>
      </c>
      <c r="M59" s="357">
        <v>0</v>
      </c>
      <c r="N59" s="357">
        <v>0</v>
      </c>
      <c r="O59" s="357">
        <v>0</v>
      </c>
      <c r="P59" s="357">
        <v>0</v>
      </c>
    </row>
    <row r="60" spans="1:41" ht="34.5" customHeight="1">
      <c r="B60" s="949" t="s">
        <v>1137</v>
      </c>
      <c r="C60" s="357">
        <v>0</v>
      </c>
      <c r="D60" s="357">
        <v>0</v>
      </c>
      <c r="E60" s="357">
        <v>0</v>
      </c>
      <c r="F60" s="357">
        <v>0</v>
      </c>
      <c r="G60" s="357">
        <v>0</v>
      </c>
      <c r="H60" s="357">
        <v>0</v>
      </c>
      <c r="I60" s="357">
        <v>0</v>
      </c>
      <c r="J60" s="357">
        <v>0</v>
      </c>
      <c r="K60" s="357">
        <v>0</v>
      </c>
      <c r="L60" s="357">
        <v>0</v>
      </c>
      <c r="M60" s="357">
        <v>0</v>
      </c>
      <c r="N60" s="357">
        <v>0</v>
      </c>
      <c r="O60" s="357">
        <v>0</v>
      </c>
      <c r="P60" s="357">
        <v>0</v>
      </c>
    </row>
    <row r="61" spans="1:41" ht="34.5" customHeight="1">
      <c r="B61" s="949" t="s">
        <v>1137</v>
      </c>
      <c r="C61" s="357">
        <v>0</v>
      </c>
      <c r="D61" s="357">
        <v>0</v>
      </c>
      <c r="E61" s="357">
        <v>0</v>
      </c>
      <c r="F61" s="357">
        <v>0</v>
      </c>
      <c r="G61" s="357">
        <v>0</v>
      </c>
      <c r="H61" s="357">
        <v>0</v>
      </c>
      <c r="I61" s="357">
        <v>0</v>
      </c>
      <c r="J61" s="357">
        <v>0</v>
      </c>
      <c r="K61" s="357">
        <v>0</v>
      </c>
      <c r="L61" s="357">
        <v>0</v>
      </c>
      <c r="M61" s="357">
        <v>0</v>
      </c>
      <c r="N61" s="357">
        <v>0</v>
      </c>
      <c r="O61" s="357">
        <v>0</v>
      </c>
      <c r="P61" s="357">
        <v>0</v>
      </c>
    </row>
    <row r="62" spans="1:41" ht="34.5" customHeight="1" thickBot="1">
      <c r="B62" s="949" t="s">
        <v>1137</v>
      </c>
      <c r="C62" s="948">
        <v>0</v>
      </c>
      <c r="D62" s="948">
        <v>0</v>
      </c>
      <c r="E62" s="948">
        <v>0</v>
      </c>
      <c r="F62" s="948">
        <v>0</v>
      </c>
      <c r="G62" s="948">
        <v>0</v>
      </c>
      <c r="H62" s="948">
        <v>0</v>
      </c>
      <c r="I62" s="948">
        <v>0</v>
      </c>
      <c r="J62" s="948">
        <v>0</v>
      </c>
      <c r="K62" s="948">
        <v>0</v>
      </c>
      <c r="L62" s="948">
        <v>0</v>
      </c>
      <c r="M62" s="948">
        <v>0</v>
      </c>
      <c r="N62" s="948">
        <v>0</v>
      </c>
      <c r="O62" s="948">
        <v>0</v>
      </c>
      <c r="P62" s="948">
        <v>0</v>
      </c>
      <c r="AI62" s="921"/>
      <c r="AJ62" s="921"/>
      <c r="AK62" s="921"/>
      <c r="AL62" s="921"/>
      <c r="AM62" s="921"/>
      <c r="AN62" s="921"/>
      <c r="AO62" s="921"/>
    </row>
    <row r="63" spans="1:41" ht="16.5" thickBot="1">
      <c r="B63" s="416"/>
      <c r="C63" s="938">
        <f>SUM(C56:C62)</f>
        <v>1</v>
      </c>
      <c r="D63" s="938">
        <f t="shared" ref="D63:M63" si="0">SUM(D56:D62)</f>
        <v>1</v>
      </c>
      <c r="E63" s="938">
        <f t="shared" si="0"/>
        <v>0</v>
      </c>
      <c r="F63" s="938">
        <f t="shared" si="0"/>
        <v>0</v>
      </c>
      <c r="G63" s="938">
        <f t="shared" si="0"/>
        <v>0</v>
      </c>
      <c r="H63" s="938">
        <f t="shared" si="0"/>
        <v>0</v>
      </c>
      <c r="I63" s="938">
        <f t="shared" si="0"/>
        <v>0</v>
      </c>
      <c r="J63" s="938">
        <f t="shared" si="0"/>
        <v>0</v>
      </c>
      <c r="K63" s="938">
        <f t="shared" si="0"/>
        <v>0</v>
      </c>
      <c r="L63" s="938">
        <f t="shared" si="0"/>
        <v>0</v>
      </c>
      <c r="M63" s="938">
        <f t="shared" si="0"/>
        <v>0</v>
      </c>
      <c r="N63" s="938">
        <f t="shared" ref="N63:P63" si="1">SUM(N56:N62)</f>
        <v>0</v>
      </c>
      <c r="O63" s="938">
        <f t="shared" si="1"/>
        <v>0</v>
      </c>
      <c r="P63" s="938">
        <f t="shared" si="1"/>
        <v>0</v>
      </c>
    </row>
    <row r="64" spans="1:41" ht="16.5" thickBot="1">
      <c r="B64" s="1233" t="s">
        <v>1809</v>
      </c>
      <c r="C64" s="416"/>
      <c r="J64" s="12"/>
      <c r="K64" s="12"/>
      <c r="L64" s="12"/>
      <c r="Q64" s="938"/>
      <c r="R64" s="938"/>
      <c r="S64" s="938"/>
      <c r="T64" s="938"/>
      <c r="U64" s="938"/>
      <c r="V64" s="938"/>
      <c r="W64" s="938"/>
      <c r="X64" s="938"/>
      <c r="Y64" s="938"/>
      <c r="Z64" s="938"/>
      <c r="AA64" s="938"/>
      <c r="AB64" s="938"/>
      <c r="AC64" s="938"/>
      <c r="AD64" s="938"/>
      <c r="AE64" s="938"/>
    </row>
    <row r="65" spans="2:31" ht="16.5" thickBot="1">
      <c r="B65" s="416"/>
      <c r="C65" s="416"/>
      <c r="J65" s="12"/>
      <c r="K65" s="12"/>
      <c r="L65" s="12"/>
      <c r="Q65" s="938"/>
      <c r="R65" s="938"/>
      <c r="S65" s="938"/>
      <c r="T65" s="938"/>
      <c r="U65" s="938"/>
      <c r="V65" s="938"/>
      <c r="W65" s="938"/>
      <c r="X65" s="938"/>
      <c r="Y65" s="938"/>
      <c r="Z65" s="938"/>
      <c r="AA65" s="938"/>
      <c r="AB65" s="938"/>
      <c r="AC65" s="938"/>
      <c r="AD65" s="938"/>
      <c r="AE65" s="938"/>
    </row>
    <row r="66" spans="2:31" ht="16.5" thickBot="1">
      <c r="B66" s="30"/>
      <c r="C66" s="954" t="str">
        <f t="shared" ref="C66:P66" si="2">C55</f>
        <v>Cows (improved)</v>
      </c>
      <c r="D66" s="952" t="str">
        <f t="shared" si="2"/>
        <v>Steers/heifers (improved)</v>
      </c>
      <c r="E66" s="952">
        <f t="shared" si="2"/>
        <v>0</v>
      </c>
      <c r="F66" s="952">
        <f t="shared" si="2"/>
        <v>0</v>
      </c>
      <c r="G66" s="952">
        <f t="shared" si="2"/>
        <v>0</v>
      </c>
      <c r="H66" s="952">
        <f t="shared" si="2"/>
        <v>0</v>
      </c>
      <c r="I66" s="952">
        <f t="shared" si="2"/>
        <v>0</v>
      </c>
      <c r="J66" s="952">
        <f t="shared" si="2"/>
        <v>0</v>
      </c>
      <c r="K66" s="1092">
        <f t="shared" si="2"/>
        <v>0</v>
      </c>
      <c r="L66" s="1092">
        <f t="shared" si="2"/>
        <v>0</v>
      </c>
      <c r="M66" s="1092">
        <f t="shared" si="2"/>
        <v>0</v>
      </c>
      <c r="N66" s="953">
        <f t="shared" si="2"/>
        <v>0</v>
      </c>
      <c r="O66" s="953">
        <f t="shared" si="2"/>
        <v>0</v>
      </c>
      <c r="P66" s="953">
        <f t="shared" si="2"/>
        <v>0</v>
      </c>
      <c r="Q66" s="938"/>
      <c r="R66" s="938"/>
      <c r="S66" s="938"/>
      <c r="T66" s="938"/>
      <c r="U66" s="938"/>
      <c r="V66" s="938"/>
      <c r="W66" s="938"/>
      <c r="X66" s="938"/>
      <c r="Y66" s="938"/>
      <c r="Z66" s="938"/>
      <c r="AA66" s="938"/>
      <c r="AB66" s="938"/>
      <c r="AC66" s="938"/>
      <c r="AD66" s="938"/>
      <c r="AE66" s="938"/>
    </row>
    <row r="67" spans="2:31">
      <c r="B67" s="1420" t="str">
        <f t="shared" ref="B67:B73" si="3">B56</f>
        <v>Concentrate (commercial)</v>
      </c>
      <c r="C67" s="950">
        <v>0.05</v>
      </c>
      <c r="D67" s="950">
        <v>0.05</v>
      </c>
      <c r="E67" s="950">
        <v>0.08</v>
      </c>
      <c r="F67" s="950">
        <v>0</v>
      </c>
      <c r="G67" s="950">
        <v>0</v>
      </c>
      <c r="H67" s="950">
        <v>0</v>
      </c>
      <c r="I67" s="950">
        <v>0</v>
      </c>
      <c r="J67" s="950">
        <v>0</v>
      </c>
      <c r="K67" s="950">
        <v>0</v>
      </c>
      <c r="L67" s="950">
        <v>0</v>
      </c>
      <c r="M67" s="950">
        <v>0</v>
      </c>
      <c r="N67" s="950">
        <v>0</v>
      </c>
      <c r="O67" s="950">
        <v>0</v>
      </c>
      <c r="P67" s="950">
        <v>0</v>
      </c>
      <c r="Q67" s="938"/>
      <c r="R67" s="938"/>
      <c r="S67" s="938"/>
      <c r="T67" s="938"/>
      <c r="U67" s="938"/>
      <c r="V67" s="938"/>
      <c r="W67" s="938"/>
      <c r="X67" s="938"/>
      <c r="Y67" s="938"/>
      <c r="Z67" s="938"/>
      <c r="AA67" s="938"/>
      <c r="AB67" s="938"/>
      <c r="AC67" s="938"/>
      <c r="AD67" s="938"/>
      <c r="AE67" s="938"/>
    </row>
    <row r="68" spans="2:31">
      <c r="B68" s="1420" t="str">
        <f t="shared" si="3"/>
        <v xml:space="preserve">Naturally occuring pasture - green fodder </v>
      </c>
      <c r="C68" s="357">
        <v>0.52</v>
      </c>
      <c r="D68" s="357">
        <v>0.52</v>
      </c>
      <c r="E68" s="357">
        <v>0.2</v>
      </c>
      <c r="F68" s="357">
        <v>0</v>
      </c>
      <c r="G68" s="357">
        <v>0</v>
      </c>
      <c r="H68" s="357">
        <v>0</v>
      </c>
      <c r="I68" s="357">
        <v>0</v>
      </c>
      <c r="J68" s="357">
        <v>0</v>
      </c>
      <c r="K68" s="357">
        <v>0</v>
      </c>
      <c r="L68" s="357">
        <v>0</v>
      </c>
      <c r="M68" s="357">
        <v>0</v>
      </c>
      <c r="N68" s="357">
        <v>0</v>
      </c>
      <c r="O68" s="357">
        <v>0</v>
      </c>
      <c r="P68" s="357">
        <v>0</v>
      </c>
      <c r="Q68" s="938"/>
      <c r="R68" s="938"/>
      <c r="S68" s="938"/>
      <c r="T68" s="938"/>
      <c r="U68" s="938"/>
      <c r="V68" s="938"/>
      <c r="W68" s="938"/>
      <c r="X68" s="938"/>
      <c r="Y68" s="938"/>
      <c r="Z68" s="938"/>
      <c r="AA68" s="938"/>
      <c r="AB68" s="938"/>
      <c r="AC68" s="938"/>
      <c r="AD68" s="938"/>
      <c r="AE68" s="938"/>
    </row>
    <row r="69" spans="2:31">
      <c r="B69" s="1420" t="str">
        <f t="shared" si="3"/>
        <v>Maize (Zea mays) - stover</v>
      </c>
      <c r="C69" s="357">
        <v>0.43</v>
      </c>
      <c r="D69" s="357">
        <v>0.43</v>
      </c>
      <c r="E69" s="357">
        <v>0.15</v>
      </c>
      <c r="F69" s="357">
        <v>0</v>
      </c>
      <c r="G69" s="357">
        <v>0</v>
      </c>
      <c r="H69" s="357">
        <v>0</v>
      </c>
      <c r="I69" s="357">
        <v>0</v>
      </c>
      <c r="J69" s="357">
        <v>0</v>
      </c>
      <c r="K69" s="357">
        <v>0</v>
      </c>
      <c r="L69" s="357">
        <v>0</v>
      </c>
      <c r="M69" s="357">
        <v>0</v>
      </c>
      <c r="N69" s="357">
        <v>0</v>
      </c>
      <c r="O69" s="357">
        <v>0</v>
      </c>
      <c r="P69" s="357">
        <v>0</v>
      </c>
      <c r="Q69" s="938"/>
      <c r="R69" s="938"/>
      <c r="S69" s="938"/>
      <c r="T69" s="938"/>
      <c r="U69" s="938"/>
      <c r="V69" s="938"/>
      <c r="W69" s="938"/>
      <c r="X69" s="938"/>
      <c r="Y69" s="938"/>
      <c r="Z69" s="938"/>
      <c r="AA69" s="938"/>
      <c r="AB69" s="938"/>
      <c r="AC69" s="938"/>
      <c r="AD69" s="938"/>
      <c r="AE69" s="938"/>
    </row>
    <row r="70" spans="2:31">
      <c r="B70" s="1420" t="str">
        <f t="shared" si="3"/>
        <v>N/A</v>
      </c>
      <c r="C70" s="357">
        <v>0</v>
      </c>
      <c r="D70" s="357">
        <v>0</v>
      </c>
      <c r="E70" s="357">
        <v>0</v>
      </c>
      <c r="F70" s="357">
        <v>0</v>
      </c>
      <c r="G70" s="357">
        <v>0</v>
      </c>
      <c r="H70" s="357">
        <v>0</v>
      </c>
      <c r="I70" s="357">
        <v>0</v>
      </c>
      <c r="J70" s="357">
        <v>0</v>
      </c>
      <c r="K70" s="357">
        <v>0</v>
      </c>
      <c r="L70" s="357">
        <v>0</v>
      </c>
      <c r="M70" s="357">
        <v>0</v>
      </c>
      <c r="N70" s="357">
        <v>0</v>
      </c>
      <c r="O70" s="357">
        <v>0</v>
      </c>
      <c r="P70" s="357">
        <v>0</v>
      </c>
      <c r="Q70" s="938"/>
      <c r="R70" s="938"/>
      <c r="S70" s="938"/>
      <c r="T70" s="938"/>
      <c r="U70" s="938"/>
      <c r="V70" s="938"/>
      <c r="W70" s="938"/>
      <c r="X70" s="938"/>
      <c r="Y70" s="938"/>
      <c r="Z70" s="938"/>
      <c r="AA70" s="938"/>
      <c r="AB70" s="938"/>
      <c r="AC70" s="938"/>
      <c r="AD70" s="938"/>
      <c r="AE70" s="938"/>
    </row>
    <row r="71" spans="2:31">
      <c r="B71" s="1420" t="str">
        <f t="shared" si="3"/>
        <v>N/A</v>
      </c>
      <c r="C71" s="357">
        <v>0</v>
      </c>
      <c r="D71" s="357">
        <v>0</v>
      </c>
      <c r="E71" s="357">
        <v>0</v>
      </c>
      <c r="F71" s="357">
        <v>0</v>
      </c>
      <c r="G71" s="357">
        <v>0</v>
      </c>
      <c r="H71" s="357">
        <v>0</v>
      </c>
      <c r="I71" s="357">
        <v>0</v>
      </c>
      <c r="J71" s="357">
        <v>0</v>
      </c>
      <c r="K71" s="357">
        <v>0</v>
      </c>
      <c r="L71" s="357">
        <v>0</v>
      </c>
      <c r="M71" s="357">
        <v>0</v>
      </c>
      <c r="N71" s="357">
        <v>0</v>
      </c>
      <c r="O71" s="357">
        <v>0</v>
      </c>
      <c r="P71" s="357">
        <v>0</v>
      </c>
      <c r="Q71" s="938"/>
      <c r="R71" s="938"/>
      <c r="S71" s="938"/>
      <c r="T71" s="938"/>
      <c r="U71" s="938"/>
      <c r="V71" s="938"/>
      <c r="W71" s="938"/>
      <c r="X71" s="938"/>
      <c r="Y71" s="938"/>
      <c r="Z71" s="938"/>
      <c r="AA71" s="938"/>
      <c r="AB71" s="938"/>
      <c r="AC71" s="938"/>
      <c r="AD71" s="938"/>
      <c r="AE71" s="938"/>
    </row>
    <row r="72" spans="2:31">
      <c r="B72" s="1420" t="str">
        <f t="shared" si="3"/>
        <v>N/A</v>
      </c>
      <c r="C72" s="357">
        <v>0</v>
      </c>
      <c r="D72" s="357">
        <v>0</v>
      </c>
      <c r="E72" s="357">
        <v>0</v>
      </c>
      <c r="F72" s="357">
        <v>0</v>
      </c>
      <c r="G72" s="357">
        <v>0</v>
      </c>
      <c r="H72" s="357">
        <v>0</v>
      </c>
      <c r="I72" s="357">
        <v>0</v>
      </c>
      <c r="J72" s="357">
        <v>0</v>
      </c>
      <c r="K72" s="357">
        <v>0</v>
      </c>
      <c r="L72" s="357">
        <v>0</v>
      </c>
      <c r="M72" s="357">
        <v>0</v>
      </c>
      <c r="N72" s="357">
        <v>0</v>
      </c>
      <c r="O72" s="357">
        <v>0</v>
      </c>
      <c r="P72" s="357">
        <v>0</v>
      </c>
      <c r="Q72" s="938"/>
      <c r="R72" s="938"/>
      <c r="S72" s="938"/>
      <c r="T72" s="938"/>
      <c r="U72" s="938"/>
      <c r="V72" s="938"/>
      <c r="W72" s="938"/>
      <c r="X72" s="938"/>
      <c r="Y72" s="938"/>
      <c r="Z72" s="938"/>
      <c r="AA72" s="938"/>
      <c r="AB72" s="938"/>
      <c r="AC72" s="938"/>
      <c r="AD72" s="938"/>
      <c r="AE72" s="938"/>
    </row>
    <row r="73" spans="2:31" ht="16.5" thickBot="1">
      <c r="B73" s="1420" t="str">
        <f t="shared" si="3"/>
        <v>N/A</v>
      </c>
      <c r="C73" s="948">
        <v>0</v>
      </c>
      <c r="D73" s="948">
        <v>0</v>
      </c>
      <c r="E73" s="948">
        <v>0</v>
      </c>
      <c r="F73" s="948">
        <v>0</v>
      </c>
      <c r="G73" s="948">
        <v>0</v>
      </c>
      <c r="H73" s="948">
        <v>0</v>
      </c>
      <c r="I73" s="948">
        <v>0</v>
      </c>
      <c r="J73" s="948">
        <v>0</v>
      </c>
      <c r="K73" s="948">
        <v>0</v>
      </c>
      <c r="L73" s="948">
        <v>0</v>
      </c>
      <c r="M73" s="948">
        <v>0</v>
      </c>
      <c r="N73" s="948">
        <v>0</v>
      </c>
      <c r="O73" s="948">
        <v>0</v>
      </c>
      <c r="P73" s="948">
        <v>0</v>
      </c>
      <c r="Q73" s="938"/>
      <c r="R73" s="938"/>
      <c r="S73" s="938"/>
      <c r="T73" s="938"/>
      <c r="U73" s="938"/>
      <c r="V73" s="938"/>
      <c r="W73" s="938"/>
      <c r="X73" s="938"/>
      <c r="Y73" s="938"/>
      <c r="Z73" s="938"/>
      <c r="AA73" s="938"/>
      <c r="AB73" s="938"/>
      <c r="AC73" s="938"/>
      <c r="AD73" s="938"/>
      <c r="AE73" s="938"/>
    </row>
    <row r="74" spans="2:31" ht="16.5" thickBot="1">
      <c r="B74" s="1421"/>
      <c r="C74" s="938">
        <f t="shared" ref="C74:P74" si="4">SUM(C67:C73)</f>
        <v>1</v>
      </c>
      <c r="D74" s="938">
        <f t="shared" si="4"/>
        <v>1</v>
      </c>
      <c r="E74" s="938">
        <f t="shared" si="4"/>
        <v>0.43000000000000005</v>
      </c>
      <c r="F74" s="938">
        <f t="shared" si="4"/>
        <v>0</v>
      </c>
      <c r="G74" s="938">
        <f t="shared" si="4"/>
        <v>0</v>
      </c>
      <c r="H74" s="938">
        <f t="shared" si="4"/>
        <v>0</v>
      </c>
      <c r="I74" s="938">
        <f t="shared" si="4"/>
        <v>0</v>
      </c>
      <c r="J74" s="938">
        <f t="shared" si="4"/>
        <v>0</v>
      </c>
      <c r="K74" s="938">
        <f t="shared" si="4"/>
        <v>0</v>
      </c>
      <c r="L74" s="938">
        <f t="shared" si="4"/>
        <v>0</v>
      </c>
      <c r="M74" s="938">
        <f t="shared" si="4"/>
        <v>0</v>
      </c>
      <c r="N74" s="938">
        <f t="shared" si="4"/>
        <v>0</v>
      </c>
      <c r="O74" s="938">
        <f t="shared" si="4"/>
        <v>0</v>
      </c>
      <c r="P74" s="938">
        <f t="shared" si="4"/>
        <v>0</v>
      </c>
      <c r="Q74" s="938"/>
      <c r="R74" s="938"/>
      <c r="S74" s="938"/>
      <c r="T74" s="938"/>
      <c r="U74" s="938"/>
      <c r="V74" s="938"/>
      <c r="W74" s="938"/>
      <c r="X74" s="938"/>
      <c r="Y74" s="938"/>
      <c r="Z74" s="938"/>
      <c r="AA74" s="938"/>
      <c r="AB74" s="938"/>
      <c r="AC74" s="938"/>
      <c r="AD74" s="938"/>
      <c r="AE74" s="938"/>
    </row>
    <row r="75" spans="2:31" ht="16.5" thickBot="1">
      <c r="B75" s="1422" t="s">
        <v>1811</v>
      </c>
      <c r="C75" s="416"/>
      <c r="J75" s="12"/>
      <c r="K75" s="12"/>
      <c r="L75" s="12"/>
      <c r="Q75" s="938"/>
      <c r="R75" s="938"/>
      <c r="S75" s="938"/>
      <c r="T75" s="938"/>
      <c r="U75" s="938"/>
      <c r="V75" s="938"/>
      <c r="W75" s="938"/>
      <c r="X75" s="938"/>
      <c r="Y75" s="938"/>
      <c r="Z75" s="938"/>
      <c r="AA75" s="938"/>
      <c r="AB75" s="938"/>
      <c r="AC75" s="938"/>
      <c r="AD75" s="938"/>
      <c r="AE75" s="938"/>
    </row>
    <row r="76" spans="2:31" ht="16.5" thickBot="1">
      <c r="B76" s="1423"/>
      <c r="C76" s="416"/>
      <c r="J76" s="12"/>
      <c r="K76" s="12"/>
      <c r="L76" s="12"/>
      <c r="Q76" s="938"/>
      <c r="R76" s="938"/>
      <c r="S76" s="938"/>
      <c r="T76" s="938"/>
      <c r="U76" s="938"/>
      <c r="V76" s="938"/>
      <c r="W76" s="938"/>
      <c r="X76" s="938"/>
      <c r="Y76" s="938"/>
      <c r="Z76" s="938"/>
      <c r="AA76" s="938"/>
      <c r="AB76" s="938"/>
      <c r="AC76" s="938"/>
      <c r="AD76" s="938"/>
      <c r="AE76" s="938"/>
    </row>
    <row r="77" spans="2:31" ht="16.5" thickBot="1">
      <c r="B77" s="1424"/>
      <c r="C77" s="954" t="str">
        <f t="shared" ref="C77:P77" si="5">C66</f>
        <v>Cows (improved)</v>
      </c>
      <c r="D77" s="952" t="str">
        <f t="shared" si="5"/>
        <v>Steers/heifers (improved)</v>
      </c>
      <c r="E77" s="952">
        <f t="shared" si="5"/>
        <v>0</v>
      </c>
      <c r="F77" s="952">
        <f t="shared" si="5"/>
        <v>0</v>
      </c>
      <c r="G77" s="952">
        <f t="shared" si="5"/>
        <v>0</v>
      </c>
      <c r="H77" s="952">
        <f t="shared" si="5"/>
        <v>0</v>
      </c>
      <c r="I77" s="952">
        <f t="shared" si="5"/>
        <v>0</v>
      </c>
      <c r="J77" s="952">
        <f t="shared" si="5"/>
        <v>0</v>
      </c>
      <c r="K77" s="1092">
        <f t="shared" si="5"/>
        <v>0</v>
      </c>
      <c r="L77" s="1092">
        <f t="shared" si="5"/>
        <v>0</v>
      </c>
      <c r="M77" s="1092">
        <f t="shared" si="5"/>
        <v>0</v>
      </c>
      <c r="N77" s="953">
        <f t="shared" si="5"/>
        <v>0</v>
      </c>
      <c r="O77" s="953">
        <f t="shared" si="5"/>
        <v>0</v>
      </c>
      <c r="P77" s="953">
        <f t="shared" si="5"/>
        <v>0</v>
      </c>
      <c r="Q77" s="938"/>
      <c r="R77" s="938"/>
      <c r="S77" s="938"/>
      <c r="T77" s="938"/>
      <c r="U77" s="938"/>
      <c r="V77" s="938"/>
      <c r="W77" s="938"/>
      <c r="X77" s="938"/>
      <c r="Y77" s="938"/>
      <c r="Z77" s="938"/>
      <c r="AA77" s="938"/>
      <c r="AB77" s="938"/>
      <c r="AC77" s="938"/>
      <c r="AD77" s="938"/>
      <c r="AE77" s="938"/>
    </row>
    <row r="78" spans="2:31">
      <c r="B78" s="1420" t="str">
        <f t="shared" ref="B78:B84" si="6">B67</f>
        <v>Concentrate (commercial)</v>
      </c>
      <c r="C78" s="950">
        <v>0</v>
      </c>
      <c r="D78" s="950">
        <v>0</v>
      </c>
      <c r="E78" s="950">
        <v>0</v>
      </c>
      <c r="F78" s="950">
        <v>0</v>
      </c>
      <c r="G78" s="950">
        <v>0</v>
      </c>
      <c r="H78" s="950">
        <v>0</v>
      </c>
      <c r="I78" s="950">
        <v>0</v>
      </c>
      <c r="J78" s="950">
        <v>0</v>
      </c>
      <c r="K78" s="950">
        <v>0</v>
      </c>
      <c r="L78" s="950">
        <v>0</v>
      </c>
      <c r="M78" s="950">
        <v>0</v>
      </c>
      <c r="N78" s="950">
        <v>0</v>
      </c>
      <c r="O78" s="950">
        <v>0</v>
      </c>
      <c r="P78" s="950">
        <v>0</v>
      </c>
      <c r="Q78" s="938"/>
      <c r="R78" s="938"/>
      <c r="S78" s="938"/>
      <c r="T78" s="938"/>
      <c r="U78" s="938"/>
      <c r="V78" s="938"/>
      <c r="W78" s="938"/>
      <c r="X78" s="938"/>
      <c r="Y78" s="938"/>
      <c r="Z78" s="938"/>
      <c r="AA78" s="938"/>
      <c r="AB78" s="938"/>
      <c r="AC78" s="938"/>
      <c r="AD78" s="938"/>
      <c r="AE78" s="938"/>
    </row>
    <row r="79" spans="2:31">
      <c r="B79" s="1420" t="str">
        <f t="shared" si="6"/>
        <v xml:space="preserve">Naturally occuring pasture - green fodder </v>
      </c>
      <c r="C79" s="357">
        <v>0</v>
      </c>
      <c r="D79" s="357">
        <v>0</v>
      </c>
      <c r="E79" s="357">
        <v>0</v>
      </c>
      <c r="F79" s="357">
        <v>0</v>
      </c>
      <c r="G79" s="357">
        <v>0</v>
      </c>
      <c r="H79" s="357">
        <v>0</v>
      </c>
      <c r="I79" s="357">
        <v>0</v>
      </c>
      <c r="J79" s="357">
        <v>0</v>
      </c>
      <c r="K79" s="357">
        <v>0</v>
      </c>
      <c r="L79" s="357">
        <v>0</v>
      </c>
      <c r="M79" s="357">
        <v>0</v>
      </c>
      <c r="N79" s="357">
        <v>0</v>
      </c>
      <c r="O79" s="357">
        <v>0</v>
      </c>
      <c r="P79" s="357">
        <v>0</v>
      </c>
      <c r="Q79" s="938"/>
      <c r="R79" s="938"/>
      <c r="S79" s="938"/>
      <c r="T79" s="938"/>
      <c r="U79" s="938"/>
      <c r="V79" s="938"/>
      <c r="W79" s="938"/>
      <c r="X79" s="938"/>
      <c r="Y79" s="938"/>
      <c r="Z79" s="938"/>
      <c r="AA79" s="938"/>
      <c r="AB79" s="938"/>
      <c r="AC79" s="938"/>
      <c r="AD79" s="938"/>
      <c r="AE79" s="938"/>
    </row>
    <row r="80" spans="2:31">
      <c r="B80" s="1420" t="str">
        <f t="shared" si="6"/>
        <v>Maize (Zea mays) - stover</v>
      </c>
      <c r="C80" s="357">
        <v>0</v>
      </c>
      <c r="D80" s="357">
        <v>0</v>
      </c>
      <c r="E80" s="357">
        <v>0</v>
      </c>
      <c r="F80" s="357">
        <v>0</v>
      </c>
      <c r="G80" s="357">
        <v>0</v>
      </c>
      <c r="H80" s="357">
        <v>0</v>
      </c>
      <c r="I80" s="357">
        <v>0</v>
      </c>
      <c r="J80" s="357">
        <v>0</v>
      </c>
      <c r="K80" s="357">
        <v>0</v>
      </c>
      <c r="L80" s="357">
        <v>0</v>
      </c>
      <c r="M80" s="357">
        <v>0</v>
      </c>
      <c r="N80" s="357">
        <v>0</v>
      </c>
      <c r="O80" s="357">
        <v>0</v>
      </c>
      <c r="P80" s="357">
        <v>0</v>
      </c>
      <c r="Q80" s="938"/>
      <c r="R80" s="938"/>
      <c r="S80" s="938"/>
      <c r="T80" s="938"/>
      <c r="U80" s="938"/>
      <c r="V80" s="938"/>
      <c r="W80" s="938"/>
      <c r="X80" s="938"/>
      <c r="Y80" s="938"/>
      <c r="Z80" s="938"/>
      <c r="AA80" s="938"/>
      <c r="AB80" s="938"/>
      <c r="AC80" s="938"/>
      <c r="AD80" s="938"/>
      <c r="AE80" s="938"/>
    </row>
    <row r="81" spans="1:165">
      <c r="B81" s="1420" t="str">
        <f t="shared" si="6"/>
        <v>N/A</v>
      </c>
      <c r="C81" s="357">
        <v>0</v>
      </c>
      <c r="D81" s="357">
        <v>0</v>
      </c>
      <c r="E81" s="357">
        <v>0</v>
      </c>
      <c r="F81" s="357">
        <v>0</v>
      </c>
      <c r="G81" s="357">
        <v>0</v>
      </c>
      <c r="H81" s="357">
        <v>0</v>
      </c>
      <c r="I81" s="357">
        <v>0</v>
      </c>
      <c r="J81" s="357">
        <v>0</v>
      </c>
      <c r="K81" s="357">
        <v>0</v>
      </c>
      <c r="L81" s="357">
        <v>0</v>
      </c>
      <c r="M81" s="357">
        <v>0</v>
      </c>
      <c r="N81" s="357">
        <v>0</v>
      </c>
      <c r="O81" s="357">
        <v>0</v>
      </c>
      <c r="P81" s="357">
        <v>0</v>
      </c>
      <c r="Q81" s="938"/>
      <c r="R81" s="938"/>
      <c r="S81" s="938"/>
      <c r="T81" s="938"/>
      <c r="U81" s="938"/>
      <c r="V81" s="938"/>
      <c r="W81" s="938"/>
      <c r="X81" s="938"/>
      <c r="Y81" s="938"/>
      <c r="Z81" s="938"/>
      <c r="AA81" s="938"/>
      <c r="AB81" s="938"/>
      <c r="AC81" s="938"/>
      <c r="AD81" s="938"/>
      <c r="AE81" s="938"/>
    </row>
    <row r="82" spans="1:165">
      <c r="B82" s="1420" t="str">
        <f t="shared" si="6"/>
        <v>N/A</v>
      </c>
      <c r="C82" s="357">
        <v>0</v>
      </c>
      <c r="D82" s="357">
        <v>0</v>
      </c>
      <c r="E82" s="357">
        <v>0</v>
      </c>
      <c r="F82" s="357">
        <v>0</v>
      </c>
      <c r="G82" s="357">
        <v>0</v>
      </c>
      <c r="H82" s="357">
        <v>0</v>
      </c>
      <c r="I82" s="357">
        <v>0</v>
      </c>
      <c r="J82" s="357">
        <v>0</v>
      </c>
      <c r="K82" s="357">
        <v>0</v>
      </c>
      <c r="L82" s="357">
        <v>0</v>
      </c>
      <c r="M82" s="357">
        <v>0</v>
      </c>
      <c r="N82" s="357">
        <v>0</v>
      </c>
      <c r="O82" s="357">
        <v>0</v>
      </c>
      <c r="P82" s="357">
        <v>0</v>
      </c>
      <c r="Q82" s="938"/>
      <c r="R82" s="938"/>
      <c r="S82" s="938"/>
      <c r="T82" s="938"/>
      <c r="U82" s="938"/>
      <c r="V82" s="938"/>
      <c r="W82" s="938"/>
      <c r="X82" s="938"/>
      <c r="Y82" s="938"/>
      <c r="Z82" s="938"/>
      <c r="AA82" s="938"/>
      <c r="AB82" s="938"/>
      <c r="AC82" s="938"/>
      <c r="AD82" s="938"/>
      <c r="AE82" s="938"/>
    </row>
    <row r="83" spans="1:165">
      <c r="B83" s="1420" t="str">
        <f t="shared" si="6"/>
        <v>N/A</v>
      </c>
      <c r="C83" s="357">
        <v>0</v>
      </c>
      <c r="D83" s="357">
        <v>0</v>
      </c>
      <c r="E83" s="357">
        <v>0</v>
      </c>
      <c r="F83" s="357">
        <v>0</v>
      </c>
      <c r="G83" s="357">
        <v>0</v>
      </c>
      <c r="H83" s="357">
        <v>0</v>
      </c>
      <c r="I83" s="357">
        <v>0</v>
      </c>
      <c r="J83" s="357">
        <v>0</v>
      </c>
      <c r="K83" s="357">
        <v>0</v>
      </c>
      <c r="L83" s="357">
        <v>0</v>
      </c>
      <c r="M83" s="357">
        <v>0</v>
      </c>
      <c r="N83" s="357">
        <v>0</v>
      </c>
      <c r="O83" s="357">
        <v>0</v>
      </c>
      <c r="P83" s="357">
        <v>0</v>
      </c>
      <c r="Q83" s="938"/>
      <c r="R83" s="938"/>
      <c r="S83" s="938"/>
      <c r="T83" s="938"/>
      <c r="U83" s="938"/>
      <c r="V83" s="938"/>
      <c r="W83" s="938"/>
      <c r="X83" s="938"/>
      <c r="Y83" s="938"/>
      <c r="Z83" s="938"/>
      <c r="AA83" s="938"/>
      <c r="AB83" s="938"/>
      <c r="AC83" s="938"/>
      <c r="AD83" s="938"/>
      <c r="AE83" s="938"/>
    </row>
    <row r="84" spans="1:165" ht="16.5" thickBot="1">
      <c r="B84" s="1420" t="str">
        <f t="shared" si="6"/>
        <v>N/A</v>
      </c>
      <c r="C84" s="948">
        <v>0</v>
      </c>
      <c r="D84" s="948">
        <v>0</v>
      </c>
      <c r="E84" s="948">
        <v>0</v>
      </c>
      <c r="F84" s="948">
        <v>0</v>
      </c>
      <c r="G84" s="948">
        <v>0</v>
      </c>
      <c r="H84" s="948">
        <v>0</v>
      </c>
      <c r="I84" s="948">
        <v>0</v>
      </c>
      <c r="J84" s="948">
        <v>0</v>
      </c>
      <c r="K84" s="948">
        <v>0</v>
      </c>
      <c r="L84" s="948">
        <v>0</v>
      </c>
      <c r="M84" s="948">
        <v>0</v>
      </c>
      <c r="N84" s="948">
        <v>0</v>
      </c>
      <c r="O84" s="948">
        <v>0</v>
      </c>
      <c r="P84" s="948">
        <v>0</v>
      </c>
      <c r="Q84" s="938"/>
      <c r="R84" s="938"/>
      <c r="S84" s="938"/>
      <c r="T84" s="938"/>
      <c r="U84" s="938"/>
      <c r="V84" s="938"/>
      <c r="W84" s="938"/>
      <c r="X84" s="938"/>
      <c r="Y84" s="938"/>
      <c r="Z84" s="938"/>
      <c r="AA84" s="938"/>
      <c r="AB84" s="938"/>
      <c r="AC84" s="938"/>
      <c r="AD84" s="938"/>
      <c r="AE84" s="938"/>
    </row>
    <row r="85" spans="1:165">
      <c r="B85" s="938"/>
      <c r="C85" s="938">
        <f t="shared" ref="C85:P85" si="7">SUM(C78:C84)</f>
        <v>0</v>
      </c>
      <c r="D85" s="938">
        <f t="shared" si="7"/>
        <v>0</v>
      </c>
      <c r="E85" s="938">
        <f t="shared" si="7"/>
        <v>0</v>
      </c>
      <c r="F85" s="938">
        <f t="shared" si="7"/>
        <v>0</v>
      </c>
      <c r="G85" s="938">
        <f t="shared" si="7"/>
        <v>0</v>
      </c>
      <c r="H85" s="938">
        <f t="shared" si="7"/>
        <v>0</v>
      </c>
      <c r="I85" s="938">
        <f t="shared" si="7"/>
        <v>0</v>
      </c>
      <c r="J85" s="938">
        <f t="shared" si="7"/>
        <v>0</v>
      </c>
      <c r="K85" s="938">
        <f t="shared" si="7"/>
        <v>0</v>
      </c>
      <c r="L85" s="938">
        <f t="shared" si="7"/>
        <v>0</v>
      </c>
      <c r="M85" s="938">
        <f t="shared" si="7"/>
        <v>0</v>
      </c>
      <c r="N85" s="938">
        <f t="shared" si="7"/>
        <v>0</v>
      </c>
      <c r="O85" s="938">
        <f t="shared" si="7"/>
        <v>0</v>
      </c>
      <c r="P85" s="938">
        <f t="shared" si="7"/>
        <v>0</v>
      </c>
      <c r="Q85" s="418"/>
      <c r="T85" s="439"/>
      <c r="U85" s="439"/>
      <c r="V85" s="1014"/>
      <c r="W85" s="1014"/>
      <c r="X85" s="1014"/>
      <c r="Y85" s="439"/>
      <c r="Z85" s="439"/>
      <c r="AA85" s="697"/>
      <c r="AB85" s="920"/>
      <c r="AP85" s="418"/>
    </row>
    <row r="86" spans="1:165">
      <c r="B86" s="938"/>
      <c r="C86" s="938"/>
      <c r="D86" s="938"/>
      <c r="E86" s="938"/>
      <c r="F86" s="938"/>
      <c r="G86" s="938"/>
      <c r="H86" s="938"/>
      <c r="I86" s="938"/>
      <c r="J86" s="938"/>
      <c r="K86" s="938"/>
      <c r="L86" s="938"/>
      <c r="M86" s="938"/>
      <c r="N86" s="938"/>
      <c r="O86" s="938"/>
      <c r="P86" s="938"/>
      <c r="Q86" s="418"/>
      <c r="T86" s="439"/>
      <c r="U86" s="439"/>
      <c r="V86" s="1014"/>
      <c r="W86" s="1014"/>
      <c r="X86" s="1014"/>
      <c r="Y86" s="439"/>
      <c r="Z86" s="439"/>
      <c r="AA86" s="697"/>
      <c r="AB86" s="920"/>
      <c r="AP86" s="418"/>
    </row>
    <row r="87" spans="1:165">
      <c r="B87" s="419" t="s">
        <v>1103</v>
      </c>
      <c r="C87" s="415"/>
      <c r="D87" s="415"/>
      <c r="E87" s="415"/>
      <c r="F87" s="415"/>
      <c r="G87" s="415"/>
      <c r="H87" s="415"/>
      <c r="I87" s="415"/>
      <c r="J87" s="419"/>
      <c r="K87" s="415"/>
      <c r="L87" s="415"/>
      <c r="M87" s="437"/>
      <c r="N87" s="437"/>
      <c r="O87" s="437"/>
      <c r="P87" s="437"/>
      <c r="Q87" s="437"/>
      <c r="R87" s="437"/>
      <c r="S87" s="437"/>
      <c r="T87" s="439"/>
      <c r="U87" s="439"/>
      <c r="V87" s="439"/>
      <c r="W87" s="439"/>
      <c r="X87" s="439"/>
      <c r="Y87" s="439"/>
      <c r="Z87" s="439"/>
      <c r="AA87" s="697"/>
      <c r="AB87" s="920"/>
      <c r="AC87" s="418"/>
      <c r="AP87" s="418"/>
      <c r="BC87" s="418"/>
    </row>
    <row r="88" spans="1:165">
      <c r="B88" s="117"/>
      <c r="C88" s="416"/>
      <c r="E88" s="307"/>
      <c r="T88" s="439"/>
      <c r="U88" s="439"/>
      <c r="V88" s="439"/>
      <c r="W88" s="439"/>
      <c r="X88" s="439"/>
      <c r="Y88" s="439"/>
      <c r="Z88" s="439"/>
      <c r="AA88" s="697"/>
      <c r="AB88" s="920"/>
      <c r="AP88" s="418"/>
    </row>
    <row r="89" spans="1:165" ht="16.5" thickBot="1">
      <c r="C89" s="416"/>
      <c r="E89" s="307"/>
      <c r="J89" s="437"/>
      <c r="K89" s="437"/>
      <c r="L89" s="437"/>
      <c r="M89" s="437"/>
      <c r="N89" s="437"/>
      <c r="O89" s="437"/>
      <c r="P89" s="437"/>
      <c r="Q89" s="437"/>
      <c r="R89" s="437"/>
      <c r="S89" s="437"/>
      <c r="T89" s="439"/>
      <c r="U89" s="439"/>
      <c r="V89" s="697"/>
      <c r="W89" s="697"/>
      <c r="X89" s="439"/>
      <c r="Y89" s="439"/>
      <c r="Z89" s="697"/>
      <c r="AA89" s="697"/>
      <c r="AB89" s="418"/>
      <c r="AO89" s="418"/>
    </row>
    <row r="90" spans="1:165" ht="31.5">
      <c r="B90" s="1444" t="s">
        <v>1577</v>
      </c>
      <c r="C90" s="424" t="s">
        <v>1082</v>
      </c>
      <c r="D90" s="438" t="s">
        <v>1083</v>
      </c>
      <c r="E90" s="438" t="s">
        <v>624</v>
      </c>
      <c r="F90" s="438" t="s">
        <v>1272</v>
      </c>
      <c r="G90" s="438" t="s">
        <v>1194</v>
      </c>
      <c r="H90" s="1347"/>
      <c r="I90" s="1208" t="s">
        <v>859</v>
      </c>
      <c r="J90" s="1228" t="s">
        <v>828</v>
      </c>
      <c r="K90" s="1211" t="s">
        <v>974</v>
      </c>
      <c r="L90" s="1231" t="s">
        <v>1712</v>
      </c>
      <c r="M90" s="439"/>
      <c r="N90" s="439"/>
      <c r="O90" s="439"/>
      <c r="P90" s="439"/>
      <c r="Q90" s="439"/>
      <c r="R90" s="439"/>
      <c r="S90" s="439"/>
      <c r="T90" s="439"/>
      <c r="U90" s="697"/>
      <c r="V90" s="697"/>
      <c r="W90" s="697"/>
      <c r="X90" s="697"/>
      <c r="Y90" s="439"/>
      <c r="Z90" s="697"/>
      <c r="AA90" s="697"/>
      <c r="AO90" s="418"/>
    </row>
    <row r="91" spans="1:165" s="445" customFormat="1" ht="15.75" customHeight="1">
      <c r="A91" s="442"/>
      <c r="B91" s="1445"/>
      <c r="C91" s="926" t="str">
        <f t="shared" ref="C91:C97" si="8">B56</f>
        <v>Concentrate (commercial)</v>
      </c>
      <c r="D91" s="591" t="str">
        <f>VLOOKUP(C91,FEED_P[],9,FALSE)</f>
        <v>Purchased</v>
      </c>
      <c r="E91" s="698" t="s">
        <v>1106</v>
      </c>
      <c r="F91" s="356">
        <v>0</v>
      </c>
      <c r="G91" s="698">
        <v>0</v>
      </c>
      <c r="H91" s="698"/>
      <c r="I91" s="699" t="s">
        <v>865</v>
      </c>
      <c r="J91" s="1417" t="s">
        <v>966</v>
      </c>
      <c r="K91" s="700">
        <v>30</v>
      </c>
      <c r="L91" s="1149"/>
      <c r="M91" s="439"/>
      <c r="N91" s="439"/>
      <c r="O91" s="439"/>
      <c r="P91" s="439"/>
      <c r="Q91" s="439"/>
      <c r="R91" s="439"/>
      <c r="S91" s="439"/>
      <c r="T91" s="439"/>
      <c r="U91" s="697"/>
      <c r="V91" s="697"/>
      <c r="W91" s="697"/>
      <c r="X91" s="697"/>
      <c r="Y91" s="697"/>
      <c r="Z91" s="697"/>
      <c r="AA91" s="416"/>
      <c r="AB91" s="416"/>
      <c r="AC91" s="416"/>
      <c r="AD91" s="416"/>
      <c r="AE91" s="416"/>
      <c r="AF91" s="416"/>
      <c r="AG91" s="416"/>
      <c r="AH91" s="416"/>
      <c r="AI91" s="416"/>
      <c r="AJ91" s="416"/>
      <c r="AK91" s="416"/>
      <c r="AL91" s="416"/>
      <c r="AM91" s="416"/>
      <c r="AN91" s="416"/>
      <c r="AO91" s="418"/>
      <c r="AP91" s="416"/>
      <c r="AQ91" s="416"/>
      <c r="AR91" s="416"/>
      <c r="AS91" s="416"/>
      <c r="AT91" s="416"/>
      <c r="AU91" s="416"/>
      <c r="AV91" s="416"/>
      <c r="AW91" s="416"/>
      <c r="AX91" s="416"/>
      <c r="AY91" s="416"/>
      <c r="AZ91" s="416"/>
      <c r="BA91" s="416"/>
      <c r="BB91" s="416"/>
      <c r="BC91" s="416"/>
      <c r="BD91" s="416"/>
      <c r="BE91" s="416"/>
      <c r="BF91" s="416"/>
      <c r="BG91" s="416"/>
      <c r="BH91" s="416"/>
      <c r="BI91" s="416"/>
      <c r="BJ91" s="416"/>
      <c r="BK91" s="416"/>
      <c r="BL91" s="416"/>
      <c r="BM91" s="416"/>
      <c r="BN91" s="416"/>
      <c r="BO91" s="416"/>
      <c r="BP91" s="416"/>
      <c r="BQ91" s="416"/>
      <c r="BR91" s="416"/>
      <c r="BS91" s="416"/>
      <c r="BT91" s="416"/>
      <c r="BU91" s="416"/>
      <c r="BV91" s="416"/>
      <c r="BW91" s="416"/>
      <c r="BX91" s="416"/>
      <c r="BY91" s="416"/>
      <c r="BZ91" s="416"/>
      <c r="CA91" s="416"/>
      <c r="CB91" s="416"/>
      <c r="CC91" s="416"/>
      <c r="CD91" s="416"/>
      <c r="CE91" s="416"/>
      <c r="CF91" s="416"/>
      <c r="CG91" s="416"/>
      <c r="CH91" s="416"/>
      <c r="CI91" s="416"/>
      <c r="CJ91" s="416"/>
      <c r="CK91" s="416"/>
      <c r="CL91" s="416"/>
      <c r="CM91" s="416"/>
      <c r="CN91" s="416"/>
      <c r="CO91" s="416"/>
      <c r="CP91" s="416"/>
      <c r="CQ91" s="416"/>
      <c r="CR91" s="416"/>
      <c r="CS91" s="416"/>
      <c r="CT91" s="416"/>
      <c r="CU91" s="416"/>
      <c r="CV91" s="416"/>
      <c r="CW91" s="416"/>
      <c r="CX91" s="416"/>
      <c r="CY91" s="416"/>
      <c r="CZ91" s="416"/>
      <c r="DA91" s="416"/>
      <c r="DB91" s="416"/>
      <c r="DC91" s="416"/>
      <c r="DD91" s="416"/>
      <c r="DE91" s="416"/>
      <c r="DF91" s="416"/>
      <c r="DG91" s="416"/>
      <c r="DH91" s="416"/>
      <c r="DI91" s="416"/>
      <c r="DJ91" s="416"/>
      <c r="DK91" s="416"/>
      <c r="DL91" s="416"/>
      <c r="DM91" s="416"/>
      <c r="DN91" s="416"/>
      <c r="DO91" s="416"/>
      <c r="DP91" s="416"/>
      <c r="DQ91" s="416"/>
      <c r="DR91" s="416"/>
      <c r="DS91" s="416"/>
      <c r="DT91" s="416"/>
      <c r="DU91" s="416"/>
      <c r="DV91" s="416"/>
      <c r="DW91" s="416"/>
      <c r="DX91" s="416"/>
      <c r="DY91" s="416"/>
      <c r="DZ91" s="416"/>
      <c r="EA91" s="416"/>
      <c r="EB91" s="416"/>
      <c r="EC91" s="416"/>
      <c r="ED91" s="416"/>
      <c r="EE91" s="416"/>
      <c r="EF91" s="416"/>
      <c r="EG91" s="416"/>
      <c r="EH91" s="416"/>
      <c r="EI91" s="416"/>
      <c r="EJ91" s="416"/>
      <c r="EK91" s="416"/>
      <c r="EL91" s="416"/>
      <c r="EM91" s="416"/>
      <c r="EN91" s="416"/>
      <c r="EO91" s="416"/>
      <c r="EP91" s="416"/>
      <c r="EQ91" s="416"/>
      <c r="ER91" s="416"/>
      <c r="ES91" s="416"/>
      <c r="ET91" s="416"/>
      <c r="EU91" s="416"/>
      <c r="EV91" s="416"/>
      <c r="EW91" s="416"/>
      <c r="EX91" s="416"/>
      <c r="EY91" s="416"/>
      <c r="EZ91" s="416"/>
      <c r="FA91" s="416"/>
      <c r="FB91" s="416"/>
      <c r="FC91" s="416"/>
      <c r="FD91" s="416"/>
      <c r="FE91" s="416"/>
      <c r="FF91" s="416"/>
      <c r="FG91" s="416"/>
      <c r="FH91" s="416"/>
      <c r="FI91" s="416"/>
    </row>
    <row r="92" spans="1:165" s="445" customFormat="1" ht="15.75" customHeight="1">
      <c r="A92" s="692"/>
      <c r="B92" s="1445"/>
      <c r="C92" s="926" t="str">
        <f t="shared" si="8"/>
        <v xml:space="preserve">Naturally occuring pasture - green fodder </v>
      </c>
      <c r="D92" s="591" t="str">
        <f>VLOOKUP(C92,FEED_P[],9,FALSE)</f>
        <v>Natural pasture</v>
      </c>
      <c r="E92" s="698" t="s">
        <v>1089</v>
      </c>
      <c r="F92" s="356">
        <v>0</v>
      </c>
      <c r="G92" s="698">
        <v>0</v>
      </c>
      <c r="H92" s="698"/>
      <c r="I92" s="699" t="s">
        <v>881</v>
      </c>
      <c r="J92" s="1229" t="s">
        <v>966</v>
      </c>
      <c r="K92" s="700">
        <v>30</v>
      </c>
      <c r="L92" s="1149" t="s">
        <v>734</v>
      </c>
      <c r="M92" s="439"/>
      <c r="N92" s="439"/>
      <c r="O92" s="439"/>
      <c r="P92" s="439"/>
      <c r="Q92" s="439"/>
      <c r="R92" s="439"/>
      <c r="S92" s="439"/>
      <c r="T92" s="697"/>
      <c r="U92" s="697"/>
      <c r="V92" s="697"/>
      <c r="W92" s="697"/>
      <c r="X92" s="697"/>
      <c r="Y92" s="697"/>
      <c r="Z92" s="697"/>
      <c r="AA92" s="449"/>
      <c r="AB92" s="416"/>
      <c r="AC92" s="416"/>
      <c r="AD92" s="416"/>
      <c r="AE92" s="416"/>
      <c r="AF92" s="416"/>
      <c r="AG92" s="416"/>
      <c r="AH92" s="416"/>
      <c r="AI92" s="416"/>
      <c r="AJ92" s="416"/>
      <c r="AK92" s="416"/>
      <c r="AL92" s="416"/>
      <c r="AM92" s="416"/>
      <c r="AN92" s="416"/>
      <c r="AO92" s="418"/>
      <c r="AP92" s="416"/>
      <c r="AQ92" s="416"/>
      <c r="AR92" s="416"/>
      <c r="AS92" s="416"/>
      <c r="AT92" s="416"/>
      <c r="AU92" s="416"/>
      <c r="AV92" s="416"/>
      <c r="AW92" s="416"/>
      <c r="AX92" s="416"/>
      <c r="AY92" s="416"/>
      <c r="AZ92" s="416"/>
      <c r="BA92" s="416"/>
      <c r="BB92" s="416"/>
      <c r="BC92" s="416"/>
      <c r="BD92" s="416"/>
      <c r="BE92" s="416"/>
      <c r="BF92" s="416"/>
      <c r="BG92" s="416"/>
      <c r="BH92" s="416"/>
      <c r="BI92" s="416"/>
      <c r="BJ92" s="416"/>
      <c r="BK92" s="416"/>
      <c r="BL92" s="416"/>
      <c r="BM92" s="416"/>
      <c r="BN92" s="416"/>
      <c r="BO92" s="416"/>
      <c r="BP92" s="416"/>
      <c r="BQ92" s="416"/>
      <c r="BR92" s="416"/>
      <c r="BS92" s="416"/>
      <c r="BT92" s="416"/>
      <c r="BU92" s="416"/>
      <c r="BV92" s="416"/>
      <c r="BW92" s="416"/>
      <c r="BX92" s="416"/>
      <c r="BY92" s="416"/>
      <c r="BZ92" s="416"/>
      <c r="CA92" s="416"/>
      <c r="CB92" s="416"/>
      <c r="CC92" s="416"/>
      <c r="CD92" s="416"/>
      <c r="CE92" s="416"/>
      <c r="CF92" s="416"/>
      <c r="CG92" s="416"/>
      <c r="CH92" s="416"/>
      <c r="CI92" s="416"/>
      <c r="CJ92" s="416"/>
      <c r="CK92" s="416"/>
      <c r="CL92" s="416"/>
      <c r="CM92" s="416"/>
      <c r="CN92" s="416"/>
      <c r="CO92" s="416"/>
      <c r="CP92" s="416"/>
      <c r="CQ92" s="416"/>
      <c r="CR92" s="416"/>
      <c r="CS92" s="416"/>
      <c r="CT92" s="416"/>
      <c r="CU92" s="416"/>
      <c r="CV92" s="416"/>
      <c r="CW92" s="416"/>
      <c r="CX92" s="416"/>
      <c r="CY92" s="416"/>
      <c r="CZ92" s="416"/>
      <c r="DA92" s="416"/>
      <c r="DB92" s="416"/>
      <c r="DC92" s="416"/>
      <c r="DD92" s="416"/>
      <c r="DE92" s="416"/>
      <c r="DF92" s="416"/>
      <c r="DG92" s="416"/>
      <c r="DH92" s="416"/>
      <c r="DI92" s="416"/>
      <c r="DJ92" s="416"/>
      <c r="DK92" s="416"/>
      <c r="DL92" s="416"/>
      <c r="DM92" s="416"/>
      <c r="DN92" s="416"/>
      <c r="DO92" s="416"/>
      <c r="DP92" s="416"/>
      <c r="DQ92" s="416"/>
      <c r="DR92" s="416"/>
      <c r="DS92" s="416"/>
      <c r="DT92" s="416"/>
      <c r="DU92" s="416"/>
      <c r="DV92" s="416"/>
      <c r="DW92" s="416"/>
      <c r="DX92" s="416"/>
      <c r="DY92" s="416"/>
      <c r="DZ92" s="416"/>
      <c r="EA92" s="416"/>
      <c r="EB92" s="416"/>
      <c r="EC92" s="416"/>
      <c r="ED92" s="416"/>
      <c r="EE92" s="416"/>
      <c r="EF92" s="416"/>
      <c r="EG92" s="416"/>
      <c r="EH92" s="416"/>
      <c r="EI92" s="416"/>
      <c r="EJ92" s="416"/>
      <c r="EK92" s="416"/>
      <c r="EL92" s="416"/>
      <c r="EM92" s="416"/>
      <c r="EN92" s="416"/>
      <c r="EO92" s="416"/>
      <c r="EP92" s="416"/>
      <c r="EQ92" s="416"/>
      <c r="ER92" s="416"/>
      <c r="ES92" s="416"/>
      <c r="ET92" s="416"/>
      <c r="EU92" s="416"/>
      <c r="EV92" s="416"/>
      <c r="EW92" s="416"/>
      <c r="EX92" s="416"/>
      <c r="EY92" s="416"/>
      <c r="EZ92" s="416"/>
      <c r="FA92" s="416"/>
      <c r="FB92" s="416"/>
      <c r="FC92" s="416"/>
      <c r="FD92" s="416"/>
      <c r="FE92" s="416"/>
      <c r="FF92" s="416"/>
      <c r="FG92" s="416"/>
      <c r="FH92" s="416"/>
      <c r="FI92" s="416"/>
    </row>
    <row r="93" spans="1:165" s="445" customFormat="1" ht="15.75" customHeight="1">
      <c r="A93" s="692"/>
      <c r="B93" s="1445"/>
      <c r="C93" s="926" t="str">
        <f t="shared" si="8"/>
        <v>Maize (Zea mays) - stover</v>
      </c>
      <c r="D93" s="591" t="str">
        <f>VLOOKUP(C93,FEED_P[],9,FALSE)</f>
        <v>Maize</v>
      </c>
      <c r="E93" s="698" t="s">
        <v>1090</v>
      </c>
      <c r="F93" s="356">
        <v>0</v>
      </c>
      <c r="G93" s="698">
        <v>0</v>
      </c>
      <c r="H93" s="698"/>
      <c r="I93" s="699" t="s">
        <v>375</v>
      </c>
      <c r="J93" s="1229" t="s">
        <v>966</v>
      </c>
      <c r="K93" s="700">
        <v>30</v>
      </c>
      <c r="L93" s="1149"/>
      <c r="M93" s="439"/>
      <c r="N93" s="439"/>
      <c r="O93" s="439"/>
      <c r="P93" s="439"/>
      <c r="Q93" s="439"/>
      <c r="R93" s="439"/>
      <c r="S93" s="439"/>
      <c r="T93" s="697"/>
      <c r="U93" s="697"/>
      <c r="V93" s="697"/>
      <c r="W93" s="697"/>
      <c r="X93" s="697"/>
      <c r="Y93" s="697"/>
      <c r="Z93" s="697"/>
      <c r="AA93" s="437"/>
      <c r="AB93" s="416"/>
      <c r="AC93" s="416"/>
      <c r="AD93" s="416"/>
      <c r="AE93" s="416"/>
      <c r="AF93" s="416"/>
      <c r="AG93" s="416"/>
      <c r="AH93" s="416"/>
      <c r="AI93" s="418"/>
      <c r="AJ93" s="416"/>
      <c r="AK93" s="416"/>
      <c r="AL93" s="416"/>
      <c r="AM93" s="416"/>
      <c r="AN93" s="416"/>
      <c r="AO93" s="418"/>
      <c r="AP93" s="416"/>
      <c r="AQ93" s="416"/>
      <c r="AR93" s="416"/>
      <c r="AS93" s="416"/>
      <c r="AT93" s="416"/>
      <c r="AU93" s="416"/>
      <c r="AV93" s="416"/>
      <c r="AW93" s="416"/>
      <c r="AX93" s="416"/>
      <c r="AY93" s="416"/>
      <c r="AZ93" s="416"/>
      <c r="BA93" s="416"/>
      <c r="BB93" s="416"/>
      <c r="BC93" s="416"/>
      <c r="BD93" s="416"/>
      <c r="BE93" s="416"/>
      <c r="BF93" s="416"/>
      <c r="BG93" s="416"/>
      <c r="BH93" s="416"/>
      <c r="BI93" s="416"/>
      <c r="BJ93" s="416"/>
      <c r="BK93" s="416"/>
      <c r="BL93" s="416"/>
      <c r="BM93" s="416"/>
      <c r="BN93" s="416"/>
      <c r="BO93" s="416"/>
      <c r="BP93" s="416"/>
      <c r="BQ93" s="416"/>
      <c r="BR93" s="416"/>
      <c r="BS93" s="416"/>
      <c r="BT93" s="416"/>
      <c r="BU93" s="416"/>
      <c r="BV93" s="416"/>
      <c r="BW93" s="416"/>
      <c r="BX93" s="416"/>
      <c r="BY93" s="416"/>
      <c r="BZ93" s="416"/>
      <c r="CA93" s="416"/>
      <c r="CB93" s="416"/>
      <c r="CC93" s="416"/>
      <c r="CD93" s="416"/>
      <c r="CE93" s="416"/>
      <c r="CF93" s="416"/>
      <c r="CG93" s="416"/>
      <c r="CH93" s="416"/>
      <c r="CI93" s="416"/>
      <c r="CJ93" s="416"/>
      <c r="CK93" s="416"/>
      <c r="CL93" s="416"/>
      <c r="CM93" s="416"/>
      <c r="CN93" s="416"/>
      <c r="CO93" s="416"/>
      <c r="CP93" s="416"/>
      <c r="CQ93" s="416"/>
      <c r="CR93" s="416"/>
      <c r="CS93" s="416"/>
      <c r="CT93" s="416"/>
      <c r="CU93" s="416"/>
      <c r="CV93" s="416"/>
      <c r="CW93" s="416"/>
      <c r="CX93" s="416"/>
      <c r="CY93" s="416"/>
      <c r="CZ93" s="416"/>
      <c r="DA93" s="416"/>
      <c r="DB93" s="416"/>
      <c r="DC93" s="416"/>
      <c r="DD93" s="416"/>
      <c r="DE93" s="416"/>
      <c r="DF93" s="416"/>
      <c r="DG93" s="416"/>
      <c r="DH93" s="416"/>
      <c r="DI93" s="416"/>
      <c r="DJ93" s="416"/>
      <c r="DK93" s="416"/>
      <c r="DL93" s="416"/>
      <c r="DM93" s="416"/>
      <c r="DN93" s="416"/>
      <c r="DO93" s="416"/>
      <c r="DP93" s="416"/>
      <c r="DQ93" s="416"/>
      <c r="DR93" s="416"/>
      <c r="DS93" s="416"/>
      <c r="DT93" s="416"/>
      <c r="DU93" s="416"/>
      <c r="DV93" s="416"/>
      <c r="DW93" s="416"/>
      <c r="DX93" s="416"/>
      <c r="DY93" s="416"/>
      <c r="DZ93" s="416"/>
      <c r="EA93" s="416"/>
      <c r="EB93" s="416"/>
      <c r="EC93" s="416"/>
      <c r="ED93" s="416"/>
      <c r="EE93" s="416"/>
      <c r="EF93" s="416"/>
      <c r="EG93" s="416"/>
      <c r="EH93" s="416"/>
      <c r="EI93" s="416"/>
      <c r="EJ93" s="416"/>
      <c r="EK93" s="416"/>
      <c r="EL93" s="416"/>
      <c r="EM93" s="416"/>
      <c r="EN93" s="416"/>
      <c r="EO93" s="416"/>
      <c r="EP93" s="416"/>
      <c r="EQ93" s="416"/>
      <c r="ER93" s="416"/>
      <c r="ES93" s="416"/>
      <c r="ET93" s="416"/>
      <c r="EU93" s="416"/>
      <c r="EV93" s="416"/>
      <c r="EW93" s="416"/>
      <c r="EX93" s="416"/>
      <c r="EY93" s="416"/>
      <c r="EZ93" s="416"/>
      <c r="FA93" s="416"/>
      <c r="FB93" s="416"/>
      <c r="FC93" s="416"/>
      <c r="FD93" s="416"/>
      <c r="FE93" s="416"/>
      <c r="FF93" s="416"/>
      <c r="FG93" s="416"/>
      <c r="FH93" s="416"/>
      <c r="FI93" s="416"/>
    </row>
    <row r="94" spans="1:165" s="445" customFormat="1" ht="15.75" customHeight="1">
      <c r="A94" s="692"/>
      <c r="B94" s="1445"/>
      <c r="C94" s="926" t="str">
        <f t="shared" si="8"/>
        <v>N/A</v>
      </c>
      <c r="D94" s="591" t="str">
        <f>VLOOKUP(C94,FEED_P[],9,FALSE)</f>
        <v>N/A</v>
      </c>
      <c r="E94" s="698" t="s">
        <v>1089</v>
      </c>
      <c r="F94" s="356">
        <v>0</v>
      </c>
      <c r="G94" s="698">
        <v>0</v>
      </c>
      <c r="H94" s="698"/>
      <c r="I94" s="699" t="s">
        <v>867</v>
      </c>
      <c r="J94" s="1229" t="s">
        <v>966</v>
      </c>
      <c r="K94" s="700">
        <v>30</v>
      </c>
      <c r="L94" s="1149" t="s">
        <v>734</v>
      </c>
      <c r="M94" s="439"/>
      <c r="N94" s="439"/>
      <c r="O94" s="439"/>
      <c r="P94" s="439"/>
      <c r="Q94" s="439"/>
      <c r="R94" s="439"/>
      <c r="S94" s="439"/>
      <c r="T94" s="697"/>
      <c r="U94" s="697"/>
      <c r="V94" s="416"/>
      <c r="W94" s="697"/>
      <c r="X94" s="697"/>
      <c r="Y94" s="697"/>
      <c r="Z94" s="416"/>
      <c r="AA94" s="437"/>
      <c r="AB94" s="416"/>
      <c r="AC94" s="416"/>
      <c r="AD94" s="416"/>
      <c r="AE94" s="416"/>
      <c r="AF94" s="416"/>
      <c r="AG94" s="416"/>
      <c r="AH94" s="416"/>
      <c r="AI94" s="416"/>
      <c r="AJ94" s="416"/>
      <c r="AK94" s="416"/>
      <c r="AL94" s="416"/>
      <c r="AM94" s="416"/>
      <c r="AN94" s="416"/>
      <c r="AO94" s="418"/>
      <c r="AP94" s="416"/>
      <c r="AQ94" s="416"/>
      <c r="AR94" s="416"/>
      <c r="AS94" s="416"/>
      <c r="AT94" s="416"/>
      <c r="AU94" s="416"/>
      <c r="AV94" s="416"/>
      <c r="AW94" s="416"/>
      <c r="AX94" s="416"/>
      <c r="AY94" s="416"/>
      <c r="AZ94" s="416"/>
      <c r="BA94" s="416"/>
      <c r="BB94" s="416"/>
      <c r="BC94" s="416"/>
      <c r="BD94" s="416"/>
      <c r="BE94" s="416"/>
      <c r="BF94" s="416"/>
      <c r="BG94" s="416"/>
      <c r="BH94" s="416"/>
      <c r="BI94" s="416"/>
      <c r="BJ94" s="416"/>
      <c r="BK94" s="416"/>
      <c r="BL94" s="416"/>
      <c r="BM94" s="416"/>
      <c r="BN94" s="416"/>
      <c r="BO94" s="416"/>
      <c r="BP94" s="416"/>
      <c r="BQ94" s="416"/>
      <c r="BR94" s="416"/>
      <c r="BS94" s="416"/>
      <c r="BT94" s="416"/>
      <c r="BU94" s="416"/>
      <c r="BV94" s="416"/>
      <c r="BW94" s="416"/>
      <c r="BX94" s="416"/>
      <c r="BY94" s="416"/>
      <c r="BZ94" s="416"/>
      <c r="CA94" s="416"/>
      <c r="CB94" s="416"/>
      <c r="CC94" s="416"/>
      <c r="CD94" s="416"/>
      <c r="CE94" s="416"/>
      <c r="CF94" s="416"/>
      <c r="CG94" s="416"/>
      <c r="CH94" s="416"/>
      <c r="CI94" s="416"/>
      <c r="CJ94" s="416"/>
      <c r="CK94" s="416"/>
      <c r="CL94" s="416"/>
      <c r="CM94" s="416"/>
      <c r="CN94" s="416"/>
      <c r="CO94" s="416"/>
      <c r="CP94" s="416"/>
      <c r="CQ94" s="416"/>
      <c r="CR94" s="416"/>
      <c r="CS94" s="416"/>
      <c r="CT94" s="416"/>
      <c r="CU94" s="416"/>
      <c r="CV94" s="416"/>
      <c r="CW94" s="416"/>
      <c r="CX94" s="416"/>
      <c r="CY94" s="416"/>
      <c r="CZ94" s="416"/>
      <c r="DA94" s="416"/>
      <c r="DB94" s="416"/>
      <c r="DC94" s="416"/>
      <c r="DD94" s="416"/>
      <c r="DE94" s="416"/>
      <c r="DF94" s="416"/>
      <c r="DG94" s="416"/>
      <c r="DH94" s="416"/>
      <c r="DI94" s="416"/>
      <c r="DJ94" s="416"/>
      <c r="DK94" s="416"/>
      <c r="DL94" s="416"/>
      <c r="DM94" s="416"/>
      <c r="DN94" s="416"/>
      <c r="DO94" s="416"/>
      <c r="DP94" s="416"/>
      <c r="DQ94" s="416"/>
      <c r="DR94" s="416"/>
      <c r="DS94" s="416"/>
      <c r="DT94" s="416"/>
      <c r="DU94" s="416"/>
      <c r="DV94" s="416"/>
      <c r="DW94" s="416"/>
      <c r="DX94" s="416"/>
      <c r="DY94" s="416"/>
      <c r="DZ94" s="416"/>
      <c r="EA94" s="416"/>
      <c r="EB94" s="416"/>
      <c r="EC94" s="416"/>
      <c r="ED94" s="416"/>
      <c r="EE94" s="416"/>
      <c r="EF94" s="416"/>
      <c r="EG94" s="416"/>
      <c r="EH94" s="416"/>
      <c r="EI94" s="416"/>
      <c r="EJ94" s="416"/>
      <c r="EK94" s="416"/>
      <c r="EL94" s="416"/>
      <c r="EM94" s="416"/>
      <c r="EN94" s="416"/>
      <c r="EO94" s="416"/>
      <c r="EP94" s="416"/>
      <c r="EQ94" s="416"/>
      <c r="ER94" s="416"/>
      <c r="ES94" s="416"/>
      <c r="ET94" s="416"/>
      <c r="EU94" s="416"/>
      <c r="EV94" s="416"/>
      <c r="EW94" s="416"/>
      <c r="EX94" s="416"/>
      <c r="EY94" s="416"/>
      <c r="EZ94" s="416"/>
      <c r="FA94" s="416"/>
      <c r="FB94" s="416"/>
      <c r="FC94" s="416"/>
      <c r="FD94" s="416"/>
      <c r="FE94" s="416"/>
      <c r="FF94" s="416"/>
      <c r="FG94" s="416"/>
      <c r="FH94" s="416"/>
      <c r="FI94" s="416"/>
    </row>
    <row r="95" spans="1:165" s="445" customFormat="1" ht="15.75" customHeight="1">
      <c r="A95" s="692"/>
      <c r="B95" s="1445"/>
      <c r="C95" s="926" t="str">
        <f t="shared" si="8"/>
        <v>N/A</v>
      </c>
      <c r="D95" s="591" t="str">
        <f>VLOOKUP(C95,FEED_P[],9,FALSE)</f>
        <v>N/A</v>
      </c>
      <c r="E95" s="698" t="s">
        <v>1089</v>
      </c>
      <c r="F95" s="356">
        <v>0</v>
      </c>
      <c r="G95" s="698">
        <v>0</v>
      </c>
      <c r="H95" s="698"/>
      <c r="I95" s="699" t="s">
        <v>881</v>
      </c>
      <c r="J95" s="1229" t="s">
        <v>966</v>
      </c>
      <c r="K95" s="700">
        <v>30</v>
      </c>
      <c r="L95" s="1149" t="s">
        <v>737</v>
      </c>
      <c r="M95" s="439"/>
      <c r="N95" s="439"/>
      <c r="O95" s="439"/>
      <c r="P95" s="439"/>
      <c r="Q95" s="439"/>
      <c r="R95" s="439"/>
      <c r="S95" s="439"/>
      <c r="T95" s="697"/>
      <c r="U95" s="697"/>
      <c r="V95" s="440"/>
      <c r="W95" s="416"/>
      <c r="X95" s="697"/>
      <c r="Y95" s="697"/>
      <c r="Z95" s="440"/>
      <c r="AA95" s="437"/>
      <c r="AB95" s="416"/>
      <c r="AC95" s="416"/>
      <c r="AD95" s="416"/>
      <c r="AE95" s="416"/>
      <c r="AF95" s="416"/>
      <c r="AG95" s="416"/>
      <c r="AH95" s="416"/>
      <c r="AI95" s="416"/>
      <c r="AJ95" s="416"/>
      <c r="AK95" s="416"/>
      <c r="AL95" s="416"/>
      <c r="AM95" s="416"/>
      <c r="AN95" s="416"/>
      <c r="AO95" s="418"/>
      <c r="AP95" s="416"/>
      <c r="AQ95" s="416"/>
      <c r="AR95" s="416"/>
      <c r="AS95" s="416"/>
      <c r="AT95" s="416"/>
      <c r="AU95" s="416"/>
      <c r="AV95" s="416"/>
      <c r="AW95" s="416"/>
      <c r="AX95" s="416"/>
      <c r="AY95" s="416"/>
      <c r="AZ95" s="416"/>
      <c r="BA95" s="416"/>
      <c r="BB95" s="416"/>
      <c r="BC95" s="416"/>
      <c r="BD95" s="416"/>
      <c r="BE95" s="416"/>
      <c r="BF95" s="416"/>
      <c r="BG95" s="416"/>
      <c r="BH95" s="416"/>
      <c r="BI95" s="416"/>
      <c r="BJ95" s="416"/>
      <c r="BK95" s="416"/>
      <c r="BL95" s="416"/>
      <c r="BM95" s="416"/>
      <c r="BN95" s="416"/>
      <c r="BO95" s="416"/>
      <c r="BP95" s="416"/>
      <c r="BQ95" s="416"/>
      <c r="BR95" s="416"/>
      <c r="BS95" s="416"/>
      <c r="BT95" s="416"/>
      <c r="BU95" s="416"/>
      <c r="BV95" s="416"/>
      <c r="BW95" s="416"/>
      <c r="BX95" s="416"/>
      <c r="BY95" s="416"/>
      <c r="BZ95" s="416"/>
      <c r="CA95" s="416"/>
      <c r="CB95" s="416"/>
      <c r="CC95" s="416"/>
      <c r="CD95" s="416"/>
      <c r="CE95" s="416"/>
      <c r="CF95" s="416"/>
      <c r="CG95" s="416"/>
      <c r="CH95" s="416"/>
      <c r="CI95" s="416"/>
      <c r="CJ95" s="416"/>
      <c r="CK95" s="416"/>
      <c r="CL95" s="416"/>
      <c r="CM95" s="416"/>
      <c r="CN95" s="416"/>
      <c r="CO95" s="416"/>
      <c r="CP95" s="416"/>
      <c r="CQ95" s="416"/>
      <c r="CR95" s="416"/>
      <c r="CS95" s="416"/>
      <c r="CT95" s="416"/>
      <c r="CU95" s="416"/>
      <c r="CV95" s="416"/>
      <c r="CW95" s="416"/>
      <c r="CX95" s="416"/>
      <c r="CY95" s="416"/>
      <c r="CZ95" s="416"/>
      <c r="DA95" s="416"/>
      <c r="DB95" s="416"/>
      <c r="DC95" s="416"/>
      <c r="DD95" s="416"/>
      <c r="DE95" s="416"/>
      <c r="DF95" s="416"/>
      <c r="DG95" s="416"/>
      <c r="DH95" s="416"/>
      <c r="DI95" s="416"/>
      <c r="DJ95" s="416"/>
      <c r="DK95" s="416"/>
      <c r="DL95" s="416"/>
      <c r="DM95" s="416"/>
      <c r="DN95" s="416"/>
      <c r="DO95" s="416"/>
      <c r="DP95" s="416"/>
      <c r="DQ95" s="416"/>
      <c r="DR95" s="416"/>
      <c r="DS95" s="416"/>
      <c r="DT95" s="416"/>
      <c r="DU95" s="416"/>
      <c r="DV95" s="416"/>
      <c r="DW95" s="416"/>
      <c r="DX95" s="416"/>
      <c r="DY95" s="416"/>
      <c r="DZ95" s="416"/>
      <c r="EA95" s="416"/>
      <c r="EB95" s="416"/>
      <c r="EC95" s="416"/>
      <c r="ED95" s="416"/>
      <c r="EE95" s="416"/>
      <c r="EF95" s="416"/>
      <c r="EG95" s="416"/>
      <c r="EH95" s="416"/>
      <c r="EI95" s="416"/>
      <c r="EJ95" s="416"/>
      <c r="EK95" s="416"/>
      <c r="EL95" s="416"/>
      <c r="EM95" s="416"/>
      <c r="EN95" s="416"/>
      <c r="EO95" s="416"/>
      <c r="EP95" s="416"/>
      <c r="EQ95" s="416"/>
      <c r="ER95" s="416"/>
      <c r="ES95" s="416"/>
      <c r="ET95" s="416"/>
      <c r="EU95" s="416"/>
      <c r="EV95" s="416"/>
      <c r="EW95" s="416"/>
      <c r="EX95" s="416"/>
      <c r="EY95" s="416"/>
      <c r="EZ95" s="416"/>
      <c r="FA95" s="416"/>
      <c r="FB95" s="416"/>
      <c r="FC95" s="416"/>
      <c r="FD95" s="416"/>
      <c r="FE95" s="416"/>
      <c r="FF95" s="416"/>
      <c r="FG95" s="416"/>
      <c r="FH95" s="416"/>
      <c r="FI95" s="416"/>
    </row>
    <row r="96" spans="1:165" s="445" customFormat="1" ht="16.5" customHeight="1">
      <c r="A96" s="692"/>
      <c r="B96" s="1445"/>
      <c r="C96" s="926" t="str">
        <f t="shared" si="8"/>
        <v>N/A</v>
      </c>
      <c r="D96" s="591" t="str">
        <f>VLOOKUP(C96,FEED_P[],9,FALSE)</f>
        <v>N/A</v>
      </c>
      <c r="E96" s="698" t="s">
        <v>1089</v>
      </c>
      <c r="F96" s="356">
        <v>0</v>
      </c>
      <c r="G96" s="698">
        <v>0</v>
      </c>
      <c r="H96" s="698"/>
      <c r="I96" s="699" t="s">
        <v>867</v>
      </c>
      <c r="J96" s="1229" t="s">
        <v>966</v>
      </c>
      <c r="K96" s="700">
        <v>30</v>
      </c>
      <c r="L96" s="1149" t="s">
        <v>737</v>
      </c>
      <c r="M96" s="439"/>
      <c r="N96" s="439"/>
      <c r="O96" s="439"/>
      <c r="P96" s="439"/>
      <c r="Q96" s="439"/>
      <c r="R96" s="439"/>
      <c r="S96" s="439"/>
      <c r="T96" s="697"/>
      <c r="U96" s="416"/>
      <c r="V96" s="441"/>
      <c r="W96" s="440"/>
      <c r="X96" s="416"/>
      <c r="Y96" s="697"/>
      <c r="Z96" s="441"/>
      <c r="AA96" s="437"/>
      <c r="AB96" s="416"/>
      <c r="AC96" s="416"/>
      <c r="AD96" s="416"/>
      <c r="AE96" s="416"/>
      <c r="AF96" s="416"/>
      <c r="AG96" s="416"/>
      <c r="AH96" s="416"/>
      <c r="AI96" s="416"/>
      <c r="AJ96" s="416"/>
      <c r="AK96" s="416"/>
      <c r="AL96" s="416"/>
      <c r="AM96" s="416"/>
      <c r="AN96" s="416"/>
      <c r="AO96" s="416"/>
      <c r="AP96" s="416"/>
      <c r="AQ96" s="416"/>
      <c r="AR96" s="416"/>
      <c r="AS96" s="416"/>
      <c r="AT96" s="416"/>
      <c r="AU96" s="416"/>
      <c r="AV96" s="416"/>
      <c r="AW96" s="416"/>
      <c r="AX96" s="416"/>
      <c r="AY96" s="416"/>
      <c r="AZ96" s="416"/>
      <c r="BA96" s="416"/>
      <c r="BB96" s="416"/>
      <c r="BC96" s="416"/>
      <c r="BD96" s="416"/>
      <c r="BE96" s="416"/>
      <c r="BF96" s="416"/>
      <c r="BG96" s="416"/>
      <c r="BH96" s="416"/>
      <c r="BI96" s="416"/>
      <c r="BJ96" s="416"/>
      <c r="BK96" s="416"/>
      <c r="BL96" s="416"/>
      <c r="BM96" s="416"/>
      <c r="BN96" s="416"/>
      <c r="BO96" s="416"/>
      <c r="BP96" s="416"/>
      <c r="BQ96" s="416"/>
      <c r="BR96" s="416"/>
      <c r="BS96" s="416"/>
      <c r="BT96" s="416"/>
      <c r="BU96" s="416"/>
      <c r="BV96" s="416"/>
      <c r="BW96" s="416"/>
      <c r="BX96" s="416"/>
      <c r="BY96" s="416"/>
      <c r="BZ96" s="416"/>
      <c r="CA96" s="416"/>
      <c r="CB96" s="416"/>
      <c r="CC96" s="416"/>
      <c r="CD96" s="416"/>
      <c r="CE96" s="416"/>
      <c r="CF96" s="416"/>
      <c r="CG96" s="416"/>
      <c r="CH96" s="416"/>
      <c r="CI96" s="416"/>
      <c r="CJ96" s="416"/>
      <c r="CK96" s="416"/>
      <c r="CL96" s="416"/>
      <c r="CM96" s="416"/>
      <c r="CN96" s="416"/>
      <c r="CO96" s="416"/>
      <c r="CP96" s="416"/>
      <c r="CQ96" s="416"/>
      <c r="CR96" s="416"/>
      <c r="CS96" s="416"/>
      <c r="CT96" s="416"/>
      <c r="CU96" s="416"/>
      <c r="CV96" s="416"/>
      <c r="CW96" s="416"/>
      <c r="CX96" s="416"/>
      <c r="CY96" s="416"/>
      <c r="CZ96" s="416"/>
      <c r="DA96" s="416"/>
      <c r="DB96" s="416"/>
      <c r="DC96" s="416"/>
      <c r="DD96" s="416"/>
      <c r="DE96" s="416"/>
      <c r="DF96" s="416"/>
      <c r="DG96" s="416"/>
      <c r="DH96" s="416"/>
      <c r="DI96" s="416"/>
      <c r="DJ96" s="416"/>
      <c r="DK96" s="416"/>
      <c r="DL96" s="416"/>
      <c r="DM96" s="416"/>
      <c r="DN96" s="416"/>
      <c r="DO96" s="416"/>
      <c r="DP96" s="416"/>
      <c r="DQ96" s="416"/>
      <c r="DR96" s="416"/>
      <c r="DS96" s="416"/>
      <c r="DT96" s="416"/>
      <c r="DU96" s="416"/>
      <c r="DV96" s="416"/>
      <c r="DW96" s="416"/>
      <c r="DX96" s="416"/>
      <c r="DY96" s="416"/>
      <c r="DZ96" s="416"/>
      <c r="EA96" s="416"/>
      <c r="EB96" s="416"/>
      <c r="EC96" s="416"/>
      <c r="ED96" s="416"/>
      <c r="EE96" s="416"/>
      <c r="EF96" s="416"/>
      <c r="EG96" s="416"/>
      <c r="EH96" s="416"/>
      <c r="EI96" s="416"/>
      <c r="EJ96" s="416"/>
      <c r="EK96" s="416"/>
      <c r="EL96" s="416"/>
      <c r="EM96" s="416"/>
      <c r="EN96" s="416"/>
      <c r="EO96" s="416"/>
      <c r="EP96" s="416"/>
      <c r="EQ96" s="416"/>
      <c r="ER96" s="416"/>
      <c r="ES96" s="416"/>
      <c r="ET96" s="416"/>
      <c r="EU96" s="416"/>
      <c r="EV96" s="416"/>
      <c r="EW96" s="416"/>
      <c r="EX96" s="416"/>
      <c r="EY96" s="416"/>
      <c r="EZ96" s="416"/>
      <c r="FA96" s="416"/>
      <c r="FB96" s="416"/>
      <c r="FC96" s="416"/>
      <c r="FD96" s="416"/>
      <c r="FE96" s="416"/>
      <c r="FF96" s="416"/>
      <c r="FG96" s="416"/>
      <c r="FH96" s="416"/>
      <c r="FI96" s="416"/>
    </row>
    <row r="97" spans="1:165" ht="16.5" thickBot="1">
      <c r="A97" s="701"/>
      <c r="B97" s="1445"/>
      <c r="C97" s="927" t="str">
        <f t="shared" si="8"/>
        <v>N/A</v>
      </c>
      <c r="D97" s="238" t="str">
        <f>VLOOKUP(C97,FEED_P[],9,FALSE)</f>
        <v>N/A</v>
      </c>
      <c r="E97" s="928" t="s">
        <v>1089</v>
      </c>
      <c r="F97" s="929">
        <v>0</v>
      </c>
      <c r="G97" s="928">
        <v>0</v>
      </c>
      <c r="H97" s="928"/>
      <c r="I97" s="930" t="s">
        <v>862</v>
      </c>
      <c r="J97" s="1230" t="s">
        <v>966</v>
      </c>
      <c r="K97" s="931">
        <v>30</v>
      </c>
      <c r="L97" s="1256"/>
      <c r="M97" s="439"/>
      <c r="N97" s="439"/>
      <c r="O97" s="439"/>
      <c r="P97" s="439"/>
      <c r="Q97" s="439"/>
      <c r="R97" s="439"/>
      <c r="S97" s="439"/>
      <c r="T97" s="697"/>
      <c r="U97" s="440"/>
      <c r="V97" s="441"/>
      <c r="W97" s="441"/>
      <c r="X97" s="440"/>
      <c r="Z97" s="441"/>
      <c r="AA97" s="437"/>
      <c r="AG97" s="418"/>
      <c r="AN97" s="418"/>
    </row>
    <row r="98" spans="1:165" s="445" customFormat="1" ht="15.75" hidden="1" customHeight="1">
      <c r="A98" s="904"/>
      <c r="B98" s="1445"/>
      <c r="C98" s="924"/>
      <c r="D98" s="925" t="s">
        <v>785</v>
      </c>
      <c r="E98" s="908"/>
      <c r="F98" s="908"/>
      <c r="G98" s="908"/>
      <c r="H98" s="909"/>
      <c r="I98" s="910"/>
      <c r="J98"/>
      <c r="K98" s="917" t="s">
        <v>785</v>
      </c>
      <c r="L98" s="915"/>
      <c r="M98" s="915"/>
      <c r="N98" s="916"/>
      <c r="O98" s="916"/>
      <c r="P98" s="416"/>
      <c r="Q98" s="416"/>
      <c r="R98" s="416"/>
      <c r="S98" s="416"/>
      <c r="T98" s="416"/>
      <c r="U98" s="416"/>
      <c r="V98" s="416"/>
      <c r="W98" s="416"/>
      <c r="X98" s="416"/>
      <c r="Y98" s="416"/>
      <c r="Z98" s="416"/>
      <c r="AA98" s="416"/>
      <c r="AB98" s="416"/>
      <c r="AC98" s="416"/>
      <c r="AD98" s="416"/>
      <c r="AE98" s="416"/>
      <c r="AF98" s="416"/>
      <c r="AG98" s="416"/>
      <c r="AH98" s="416"/>
      <c r="AI98" s="416"/>
      <c r="AJ98" s="416"/>
      <c r="AK98" s="416"/>
      <c r="AL98" s="416"/>
      <c r="AM98" s="416"/>
      <c r="AN98" s="416"/>
      <c r="AO98" s="416"/>
      <c r="AP98" s="416"/>
      <c r="AQ98" s="416"/>
      <c r="AR98" s="416"/>
      <c r="AS98" s="416"/>
      <c r="AT98" s="416"/>
      <c r="AU98" s="416"/>
      <c r="AV98" s="416"/>
      <c r="AW98" s="416"/>
      <c r="AX98" s="416"/>
      <c r="AY98" s="416"/>
      <c r="AZ98" s="416"/>
      <c r="BA98" s="416"/>
      <c r="BB98" s="416"/>
      <c r="BC98" s="416"/>
      <c r="BD98" s="416"/>
      <c r="BE98" s="416"/>
      <c r="BF98" s="416"/>
      <c r="BG98" s="416"/>
      <c r="BH98" s="416"/>
      <c r="BI98" s="416"/>
      <c r="BJ98" s="416"/>
      <c r="BK98" s="416"/>
      <c r="BL98" s="416"/>
      <c r="BM98" s="416"/>
      <c r="BN98" s="416"/>
      <c r="BO98" s="416"/>
      <c r="BP98" s="416"/>
      <c r="BQ98" s="416"/>
      <c r="BR98" s="416"/>
      <c r="BS98" s="416"/>
      <c r="BT98" s="416"/>
      <c r="BU98" s="416"/>
      <c r="BV98" s="416"/>
      <c r="BW98" s="416"/>
      <c r="BX98" s="416"/>
      <c r="BY98" s="416"/>
      <c r="BZ98" s="416"/>
      <c r="CA98" s="416"/>
      <c r="CB98" s="416"/>
      <c r="CC98" s="416"/>
      <c r="CD98" s="416"/>
      <c r="CE98" s="416"/>
      <c r="CF98" s="416"/>
      <c r="CG98" s="416"/>
      <c r="CH98" s="416"/>
      <c r="CI98" s="416"/>
      <c r="CJ98" s="416"/>
      <c r="CK98" s="416"/>
      <c r="CL98" s="416"/>
      <c r="CM98" s="416"/>
      <c r="CN98" s="416"/>
      <c r="CO98" s="416"/>
      <c r="CP98" s="416"/>
      <c r="CQ98" s="416"/>
      <c r="CR98" s="416"/>
      <c r="CS98" s="416"/>
      <c r="CT98" s="416"/>
      <c r="CU98" s="416"/>
      <c r="CV98" s="416"/>
      <c r="CW98" s="416"/>
      <c r="CX98" s="416"/>
      <c r="CY98" s="416"/>
      <c r="CZ98" s="416"/>
      <c r="DA98" s="416"/>
      <c r="DB98" s="416"/>
      <c r="DC98" s="416"/>
      <c r="DD98" s="416"/>
      <c r="DE98" s="416"/>
      <c r="DF98" s="416"/>
      <c r="DG98" s="416"/>
      <c r="DH98" s="416"/>
      <c r="DI98" s="416"/>
      <c r="DJ98" s="416"/>
      <c r="DK98" s="416"/>
      <c r="DL98" s="416"/>
      <c r="DM98" s="416"/>
      <c r="DN98" s="416"/>
      <c r="DO98" s="416"/>
      <c r="DP98" s="416"/>
      <c r="DQ98" s="416"/>
      <c r="DR98" s="416"/>
      <c r="DS98" s="416"/>
      <c r="DT98" s="416"/>
      <c r="DU98" s="416"/>
      <c r="DV98" s="416"/>
      <c r="DW98" s="416"/>
      <c r="DX98" s="416"/>
      <c r="DY98" s="416"/>
      <c r="DZ98" s="416"/>
      <c r="EA98" s="416"/>
      <c r="EB98" s="416"/>
      <c r="EC98" s="416"/>
      <c r="ED98" s="416"/>
      <c r="EE98" s="416"/>
      <c r="EF98" s="416"/>
      <c r="EG98" s="416"/>
      <c r="EH98" s="416"/>
      <c r="EI98" s="416"/>
      <c r="EJ98" s="416"/>
      <c r="EK98" s="416"/>
      <c r="EL98" s="416"/>
      <c r="EM98" s="416"/>
      <c r="EN98" s="416"/>
      <c r="EO98" s="416"/>
      <c r="EP98" s="416"/>
      <c r="EQ98" s="416"/>
      <c r="ER98" s="416"/>
      <c r="ES98" s="416"/>
      <c r="ET98" s="416"/>
      <c r="EU98" s="416"/>
      <c r="EV98" s="416"/>
      <c r="EW98" s="416"/>
      <c r="EX98" s="416"/>
      <c r="EY98" s="416"/>
      <c r="EZ98" s="416"/>
      <c r="FA98" s="416"/>
      <c r="FB98" s="416"/>
      <c r="FC98" s="416"/>
      <c r="FD98" s="416"/>
      <c r="FE98" s="416"/>
      <c r="FF98" s="416"/>
      <c r="FG98" s="416"/>
      <c r="FH98" s="416"/>
      <c r="FI98" s="416"/>
    </row>
    <row r="99" spans="1:165" s="445" customFormat="1" ht="15.75" hidden="1" customHeight="1">
      <c r="A99" s="904"/>
      <c r="B99" s="1445"/>
      <c r="C99" s="443"/>
      <c r="D99" s="444" t="s">
        <v>785</v>
      </c>
      <c r="E99" s="905"/>
      <c r="F99" s="905"/>
      <c r="G99" s="905"/>
      <c r="H99" s="906"/>
      <c r="I99" s="907"/>
      <c r="J99"/>
      <c r="K99" s="918" t="s">
        <v>785</v>
      </c>
      <c r="L99" s="915"/>
      <c r="M99" s="915"/>
      <c r="N99" s="916"/>
      <c r="O99" s="916"/>
      <c r="P99" s="416"/>
      <c r="Q99" s="416"/>
      <c r="R99" s="416"/>
      <c r="S99" s="416"/>
      <c r="T99" s="416"/>
      <c r="U99" s="416"/>
      <c r="V99" s="416"/>
      <c r="W99" s="416"/>
      <c r="X99" s="416"/>
      <c r="Y99" s="416"/>
      <c r="Z99" s="416"/>
      <c r="AA99" s="416"/>
      <c r="AB99" s="416"/>
      <c r="AC99" s="416"/>
      <c r="AD99" s="416"/>
      <c r="AE99" s="416"/>
      <c r="AF99" s="416"/>
      <c r="AG99" s="416"/>
      <c r="AH99" s="416"/>
      <c r="AI99" s="416"/>
      <c r="AJ99" s="416"/>
      <c r="AK99" s="416"/>
      <c r="AL99" s="416"/>
      <c r="AM99" s="416"/>
      <c r="AN99" s="416"/>
      <c r="AO99" s="416"/>
      <c r="AP99" s="416"/>
      <c r="AQ99" s="416"/>
      <c r="AR99" s="416"/>
      <c r="AS99" s="416"/>
      <c r="AT99" s="416"/>
      <c r="AU99" s="416"/>
      <c r="AV99" s="416"/>
      <c r="AW99" s="416"/>
      <c r="AX99" s="416"/>
      <c r="AY99" s="416"/>
      <c r="AZ99" s="416"/>
      <c r="BA99" s="416"/>
      <c r="BB99" s="416"/>
      <c r="BC99" s="416"/>
      <c r="BD99" s="416"/>
      <c r="BE99" s="416"/>
      <c r="BF99" s="416"/>
      <c r="BG99" s="416"/>
      <c r="BH99" s="416"/>
      <c r="BI99" s="416"/>
      <c r="BJ99" s="416"/>
      <c r="BK99" s="416"/>
      <c r="BL99" s="416"/>
      <c r="BM99" s="416"/>
      <c r="BN99" s="416"/>
      <c r="BO99" s="416"/>
      <c r="BP99" s="416"/>
      <c r="BQ99" s="416"/>
      <c r="BR99" s="416"/>
      <c r="BS99" s="416"/>
      <c r="BT99" s="416"/>
      <c r="BU99" s="416"/>
      <c r="BV99" s="416"/>
      <c r="BW99" s="416"/>
      <c r="BX99" s="416"/>
      <c r="BY99" s="416"/>
      <c r="BZ99" s="416"/>
      <c r="CA99" s="416"/>
      <c r="CB99" s="416"/>
      <c r="CC99" s="416"/>
      <c r="CD99" s="416"/>
      <c r="CE99" s="416"/>
      <c r="CF99" s="416"/>
      <c r="CG99" s="416"/>
      <c r="CH99" s="416"/>
      <c r="CI99" s="416"/>
      <c r="CJ99" s="416"/>
      <c r="CK99" s="416"/>
      <c r="CL99" s="416"/>
      <c r="CM99" s="416"/>
      <c r="CN99" s="416"/>
      <c r="CO99" s="416"/>
      <c r="CP99" s="416"/>
      <c r="CQ99" s="416"/>
      <c r="CR99" s="416"/>
      <c r="CS99" s="416"/>
      <c r="CT99" s="416"/>
      <c r="CU99" s="416"/>
      <c r="CV99" s="416"/>
      <c r="CW99" s="416"/>
      <c r="CX99" s="416"/>
      <c r="CY99" s="416"/>
      <c r="CZ99" s="416"/>
      <c r="DA99" s="416"/>
      <c r="DB99" s="416"/>
      <c r="DC99" s="416"/>
      <c r="DD99" s="416"/>
      <c r="DE99" s="416"/>
      <c r="DF99" s="416"/>
      <c r="DG99" s="416"/>
      <c r="DH99" s="416"/>
      <c r="DI99" s="416"/>
      <c r="DJ99" s="416"/>
      <c r="DK99" s="416"/>
      <c r="DL99" s="416"/>
      <c r="DM99" s="416"/>
      <c r="DN99" s="416"/>
      <c r="DO99" s="416"/>
      <c r="DP99" s="416"/>
      <c r="DQ99" s="416"/>
      <c r="DR99" s="416"/>
      <c r="DS99" s="416"/>
      <c r="DT99" s="416"/>
      <c r="DU99" s="416"/>
      <c r="DV99" s="416"/>
      <c r="DW99" s="416"/>
      <c r="DX99" s="416"/>
      <c r="DY99" s="416"/>
      <c r="DZ99" s="416"/>
      <c r="EA99" s="416"/>
      <c r="EB99" s="416"/>
      <c r="EC99" s="416"/>
      <c r="ED99" s="416"/>
      <c r="EE99" s="416"/>
      <c r="EF99" s="416"/>
      <c r="EG99" s="416"/>
      <c r="EH99" s="416"/>
      <c r="EI99" s="416"/>
      <c r="EJ99" s="416"/>
      <c r="EK99" s="416"/>
      <c r="EL99" s="416"/>
      <c r="EM99" s="416"/>
      <c r="EN99" s="416"/>
      <c r="EO99" s="416"/>
      <c r="EP99" s="416"/>
      <c r="EQ99" s="416"/>
      <c r="ER99" s="416"/>
      <c r="ES99" s="416"/>
      <c r="ET99" s="416"/>
      <c r="EU99" s="416"/>
      <c r="EV99" s="416"/>
      <c r="EW99" s="416"/>
      <c r="EX99" s="416"/>
      <c r="EY99" s="416"/>
      <c r="EZ99" s="416"/>
      <c r="FA99" s="416"/>
      <c r="FB99" s="416"/>
      <c r="FC99" s="416"/>
      <c r="FD99" s="416"/>
      <c r="FE99" s="416"/>
      <c r="FF99" s="416"/>
      <c r="FG99" s="416"/>
      <c r="FH99" s="416"/>
      <c r="FI99" s="416"/>
    </row>
    <row r="100" spans="1:165" s="445" customFormat="1" ht="15.75" hidden="1" customHeight="1">
      <c r="A100" s="904"/>
      <c r="B100" s="1445"/>
      <c r="C100" s="443"/>
      <c r="D100" s="444" t="s">
        <v>785</v>
      </c>
      <c r="E100" s="905"/>
      <c r="F100" s="905"/>
      <c r="G100" s="905"/>
      <c r="H100" s="906"/>
      <c r="I100" s="907"/>
      <c r="J100"/>
      <c r="K100" s="918" t="s">
        <v>785</v>
      </c>
      <c r="L100" s="915"/>
      <c r="M100" s="915"/>
      <c r="N100" s="916"/>
      <c r="O100" s="916"/>
      <c r="P100" s="416"/>
      <c r="Q100" s="416"/>
      <c r="R100" s="416"/>
      <c r="S100" s="416"/>
      <c r="T100" s="416"/>
      <c r="U100" s="416"/>
      <c r="V100" s="416"/>
      <c r="W100" s="416"/>
      <c r="X100" s="416"/>
      <c r="Y100" s="416"/>
      <c r="Z100" s="416"/>
      <c r="AA100" s="416"/>
      <c r="AB100" s="416"/>
      <c r="AC100" s="416"/>
      <c r="AD100" s="416"/>
      <c r="AE100" s="416"/>
      <c r="AF100" s="416"/>
      <c r="AG100" s="416"/>
      <c r="AH100" s="416"/>
      <c r="AI100" s="416"/>
      <c r="AJ100" s="416"/>
      <c r="AK100" s="416"/>
      <c r="AL100" s="416"/>
      <c r="AM100" s="416"/>
      <c r="AN100" s="416"/>
      <c r="AO100" s="416"/>
      <c r="AP100" s="416"/>
      <c r="AQ100" s="416"/>
      <c r="AR100" s="416"/>
      <c r="AS100" s="416"/>
      <c r="AT100" s="416"/>
      <c r="AU100" s="416"/>
      <c r="AV100" s="416"/>
      <c r="AW100" s="416"/>
      <c r="AX100" s="416"/>
      <c r="AY100" s="416"/>
      <c r="AZ100" s="416"/>
      <c r="BA100" s="416"/>
      <c r="BB100" s="416"/>
      <c r="BC100" s="416"/>
      <c r="BD100" s="416"/>
      <c r="BE100" s="416"/>
      <c r="BF100" s="416"/>
      <c r="BG100" s="416"/>
      <c r="BH100" s="416"/>
      <c r="BI100" s="416"/>
      <c r="BJ100" s="416"/>
      <c r="BK100" s="416"/>
      <c r="BL100" s="416"/>
      <c r="BM100" s="416"/>
      <c r="BN100" s="416"/>
      <c r="BO100" s="416"/>
      <c r="BP100" s="416"/>
      <c r="BQ100" s="416"/>
      <c r="BR100" s="416"/>
      <c r="BS100" s="416"/>
      <c r="BT100" s="416"/>
      <c r="BU100" s="416"/>
      <c r="BV100" s="416"/>
      <c r="BW100" s="416"/>
      <c r="BX100" s="416"/>
      <c r="BY100" s="416"/>
      <c r="BZ100" s="416"/>
      <c r="CA100" s="416"/>
      <c r="CB100" s="416"/>
      <c r="CC100" s="416"/>
      <c r="CD100" s="416"/>
      <c r="CE100" s="416"/>
      <c r="CF100" s="416"/>
      <c r="CG100" s="416"/>
      <c r="CH100" s="416"/>
      <c r="CI100" s="416"/>
      <c r="CJ100" s="416"/>
      <c r="CK100" s="416"/>
      <c r="CL100" s="416"/>
      <c r="CM100" s="416"/>
      <c r="CN100" s="416"/>
      <c r="CO100" s="416"/>
      <c r="CP100" s="416"/>
      <c r="CQ100" s="416"/>
      <c r="CR100" s="416"/>
      <c r="CS100" s="416"/>
      <c r="CT100" s="416"/>
      <c r="CU100" s="416"/>
      <c r="CV100" s="416"/>
      <c r="CW100" s="416"/>
      <c r="CX100" s="416"/>
      <c r="CY100" s="416"/>
      <c r="CZ100" s="416"/>
      <c r="DA100" s="416"/>
      <c r="DB100" s="416"/>
      <c r="DC100" s="416"/>
      <c r="DD100" s="416"/>
      <c r="DE100" s="416"/>
      <c r="DF100" s="416"/>
      <c r="DG100" s="416"/>
      <c r="DH100" s="416"/>
      <c r="DI100" s="416"/>
      <c r="DJ100" s="416"/>
      <c r="DK100" s="416"/>
      <c r="DL100" s="416"/>
      <c r="DM100" s="416"/>
      <c r="DN100" s="416"/>
      <c r="DO100" s="416"/>
      <c r="DP100" s="416"/>
      <c r="DQ100" s="416"/>
      <c r="DR100" s="416"/>
      <c r="DS100" s="416"/>
      <c r="DT100" s="416"/>
      <c r="DU100" s="416"/>
      <c r="DV100" s="416"/>
      <c r="DW100" s="416"/>
      <c r="DX100" s="416"/>
      <c r="DY100" s="416"/>
      <c r="DZ100" s="416"/>
      <c r="EA100" s="416"/>
      <c r="EB100" s="416"/>
      <c r="EC100" s="416"/>
      <c r="ED100" s="416"/>
      <c r="EE100" s="416"/>
      <c r="EF100" s="416"/>
      <c r="EG100" s="416"/>
      <c r="EH100" s="416"/>
      <c r="EI100" s="416"/>
      <c r="EJ100" s="416"/>
      <c r="EK100" s="416"/>
      <c r="EL100" s="416"/>
      <c r="EM100" s="416"/>
      <c r="EN100" s="416"/>
      <c r="EO100" s="416"/>
      <c r="EP100" s="416"/>
      <c r="EQ100" s="416"/>
      <c r="ER100" s="416"/>
      <c r="ES100" s="416"/>
      <c r="ET100" s="416"/>
      <c r="EU100" s="416"/>
      <c r="EV100" s="416"/>
      <c r="EW100" s="416"/>
      <c r="EX100" s="416"/>
      <c r="EY100" s="416"/>
      <c r="EZ100" s="416"/>
      <c r="FA100" s="416"/>
      <c r="FB100" s="416"/>
      <c r="FC100" s="416"/>
      <c r="FD100" s="416"/>
      <c r="FE100" s="416"/>
      <c r="FF100" s="416"/>
      <c r="FG100" s="416"/>
      <c r="FH100" s="416"/>
      <c r="FI100" s="416"/>
    </row>
    <row r="101" spans="1:165" s="445" customFormat="1" ht="15.75" hidden="1" customHeight="1">
      <c r="A101" s="904"/>
      <c r="B101" s="1445"/>
      <c r="C101" s="443"/>
      <c r="D101" s="444" t="s">
        <v>785</v>
      </c>
      <c r="E101" s="905"/>
      <c r="F101" s="905"/>
      <c r="G101" s="905"/>
      <c r="H101" s="906"/>
      <c r="I101" s="907"/>
      <c r="J101"/>
      <c r="K101" s="918" t="s">
        <v>785</v>
      </c>
      <c r="L101" s="915"/>
      <c r="M101" s="915"/>
      <c r="N101" s="916"/>
      <c r="O101" s="916"/>
      <c r="P101" s="416"/>
      <c r="Q101" s="416"/>
      <c r="R101" s="416"/>
      <c r="S101" s="416"/>
      <c r="T101" s="416"/>
      <c r="U101" s="416"/>
      <c r="V101" s="416"/>
      <c r="W101" s="416"/>
      <c r="X101" s="416"/>
      <c r="Y101" s="416"/>
      <c r="Z101" s="416"/>
      <c r="AA101" s="416"/>
      <c r="AB101" s="416"/>
      <c r="AC101" s="416"/>
      <c r="AD101" s="416"/>
      <c r="AE101" s="416"/>
      <c r="AF101" s="416"/>
      <c r="AG101" s="416"/>
      <c r="AH101" s="416"/>
      <c r="AI101" s="416"/>
      <c r="AJ101" s="416"/>
      <c r="AK101" s="416"/>
      <c r="AL101" s="416"/>
      <c r="AM101" s="416"/>
      <c r="AN101" s="416"/>
      <c r="AO101" s="416"/>
      <c r="AP101" s="416"/>
      <c r="AQ101" s="416"/>
      <c r="AR101" s="416"/>
      <c r="AS101" s="416"/>
      <c r="AT101" s="416"/>
      <c r="AU101" s="416"/>
      <c r="AV101" s="416"/>
      <c r="AW101" s="416"/>
      <c r="AX101" s="416"/>
      <c r="AY101" s="416"/>
      <c r="AZ101" s="416"/>
      <c r="BA101" s="416"/>
      <c r="BB101" s="416"/>
      <c r="BC101" s="416"/>
      <c r="BD101" s="416"/>
      <c r="BE101" s="416"/>
      <c r="BF101" s="416"/>
      <c r="BG101" s="416"/>
      <c r="BH101" s="416"/>
      <c r="BI101" s="416"/>
      <c r="BJ101" s="416"/>
      <c r="BK101" s="416"/>
      <c r="BL101" s="416"/>
      <c r="BM101" s="416"/>
      <c r="BN101" s="416"/>
      <c r="BO101" s="416"/>
      <c r="BP101" s="416"/>
      <c r="BQ101" s="416"/>
      <c r="BR101" s="416"/>
      <c r="BS101" s="416"/>
      <c r="BT101" s="416"/>
      <c r="BU101" s="416"/>
      <c r="BV101" s="416"/>
      <c r="BW101" s="416"/>
      <c r="BX101" s="416"/>
      <c r="BY101" s="416"/>
      <c r="BZ101" s="416"/>
      <c r="CA101" s="416"/>
      <c r="CB101" s="416"/>
      <c r="CC101" s="416"/>
      <c r="CD101" s="416"/>
      <c r="CE101" s="416"/>
      <c r="CF101" s="416"/>
      <c r="CG101" s="416"/>
      <c r="CH101" s="416"/>
      <c r="CI101" s="416"/>
      <c r="CJ101" s="416"/>
      <c r="CK101" s="416"/>
      <c r="CL101" s="416"/>
      <c r="CM101" s="416"/>
      <c r="CN101" s="416"/>
      <c r="CO101" s="416"/>
      <c r="CP101" s="416"/>
      <c r="CQ101" s="416"/>
      <c r="CR101" s="416"/>
      <c r="CS101" s="416"/>
      <c r="CT101" s="416"/>
      <c r="CU101" s="416"/>
      <c r="CV101" s="416"/>
      <c r="CW101" s="416"/>
      <c r="CX101" s="416"/>
      <c r="CY101" s="416"/>
      <c r="CZ101" s="416"/>
      <c r="DA101" s="416"/>
      <c r="DB101" s="416"/>
      <c r="DC101" s="416"/>
      <c r="DD101" s="416"/>
      <c r="DE101" s="416"/>
      <c r="DF101" s="416"/>
      <c r="DG101" s="416"/>
      <c r="DH101" s="416"/>
      <c r="DI101" s="416"/>
      <c r="DJ101" s="416"/>
      <c r="DK101" s="416"/>
      <c r="DL101" s="416"/>
      <c r="DM101" s="416"/>
      <c r="DN101" s="416"/>
      <c r="DO101" s="416"/>
      <c r="DP101" s="416"/>
      <c r="DQ101" s="416"/>
      <c r="DR101" s="416"/>
      <c r="DS101" s="416"/>
      <c r="DT101" s="416"/>
      <c r="DU101" s="416"/>
      <c r="DV101" s="416"/>
      <c r="DW101" s="416"/>
      <c r="DX101" s="416"/>
      <c r="DY101" s="416"/>
      <c r="DZ101" s="416"/>
      <c r="EA101" s="416"/>
      <c r="EB101" s="416"/>
      <c r="EC101" s="416"/>
      <c r="ED101" s="416"/>
      <c r="EE101" s="416"/>
      <c r="EF101" s="416"/>
      <c r="EG101" s="416"/>
      <c r="EH101" s="416"/>
      <c r="EI101" s="416"/>
      <c r="EJ101" s="416"/>
      <c r="EK101" s="416"/>
      <c r="EL101" s="416"/>
      <c r="EM101" s="416"/>
      <c r="EN101" s="416"/>
      <c r="EO101" s="416"/>
      <c r="EP101" s="416"/>
      <c r="EQ101" s="416"/>
      <c r="ER101" s="416"/>
      <c r="ES101" s="416"/>
      <c r="ET101" s="416"/>
      <c r="EU101" s="416"/>
      <c r="EV101" s="416"/>
      <c r="EW101" s="416"/>
      <c r="EX101" s="416"/>
      <c r="EY101" s="416"/>
      <c r="EZ101" s="416"/>
      <c r="FA101" s="416"/>
      <c r="FB101" s="416"/>
      <c r="FC101" s="416"/>
      <c r="FD101" s="416"/>
      <c r="FE101" s="416"/>
      <c r="FF101" s="416"/>
      <c r="FG101" s="416"/>
      <c r="FH101" s="416"/>
      <c r="FI101" s="416"/>
    </row>
    <row r="102" spans="1:165" s="445" customFormat="1" ht="15.75" hidden="1" customHeight="1">
      <c r="A102" s="904"/>
      <c r="B102" s="1445"/>
      <c r="C102" s="443"/>
      <c r="D102" s="444" t="s">
        <v>785</v>
      </c>
      <c r="E102" s="905"/>
      <c r="F102" s="905"/>
      <c r="G102" s="905"/>
      <c r="H102" s="906"/>
      <c r="I102" s="907"/>
      <c r="J102"/>
      <c r="K102" s="918" t="s">
        <v>785</v>
      </c>
      <c r="L102" s="915"/>
      <c r="M102" s="915"/>
      <c r="N102" s="916"/>
      <c r="O102" s="916"/>
      <c r="P102" s="416"/>
      <c r="Q102" s="416"/>
      <c r="R102" s="416"/>
      <c r="S102" s="416"/>
      <c r="T102" s="416"/>
      <c r="U102" s="416"/>
      <c r="V102" s="416"/>
      <c r="W102" s="416"/>
      <c r="X102" s="416"/>
      <c r="Y102" s="416"/>
      <c r="Z102" s="416"/>
      <c r="AA102" s="416"/>
      <c r="AB102" s="416"/>
      <c r="AC102" s="416"/>
      <c r="AD102" s="416"/>
      <c r="AE102" s="416"/>
      <c r="AF102" s="416"/>
      <c r="AG102" s="416"/>
      <c r="AH102" s="416"/>
      <c r="AI102" s="416"/>
      <c r="AJ102" s="416"/>
      <c r="AK102" s="416"/>
      <c r="AL102" s="416"/>
      <c r="AM102" s="416"/>
      <c r="AN102" s="416"/>
      <c r="AO102" s="416"/>
      <c r="AP102" s="416"/>
      <c r="AQ102" s="416"/>
      <c r="AR102" s="416"/>
      <c r="AS102" s="416"/>
      <c r="AT102" s="416"/>
      <c r="AU102" s="416"/>
      <c r="AV102" s="416"/>
      <c r="AW102" s="416"/>
      <c r="AX102" s="416"/>
      <c r="AY102" s="416"/>
      <c r="AZ102" s="416"/>
      <c r="BA102" s="416"/>
      <c r="BB102" s="416"/>
      <c r="BC102" s="416"/>
      <c r="BD102" s="416"/>
      <c r="BE102" s="416"/>
      <c r="BF102" s="416"/>
      <c r="BG102" s="416"/>
      <c r="BH102" s="416"/>
      <c r="BI102" s="416"/>
      <c r="BJ102" s="416"/>
      <c r="BK102" s="416"/>
      <c r="BL102" s="416"/>
      <c r="BM102" s="416"/>
      <c r="BN102" s="416"/>
      <c r="BO102" s="416"/>
      <c r="BP102" s="416"/>
      <c r="BQ102" s="416"/>
      <c r="BR102" s="416"/>
      <c r="BS102" s="416"/>
      <c r="BT102" s="416"/>
      <c r="BU102" s="416"/>
      <c r="BV102" s="416"/>
      <c r="BW102" s="416"/>
      <c r="BX102" s="416"/>
      <c r="BY102" s="416"/>
      <c r="BZ102" s="416"/>
      <c r="CA102" s="416"/>
      <c r="CB102" s="416"/>
      <c r="CC102" s="416"/>
      <c r="CD102" s="416"/>
      <c r="CE102" s="416"/>
      <c r="CF102" s="416"/>
      <c r="CG102" s="416"/>
      <c r="CH102" s="416"/>
      <c r="CI102" s="416"/>
      <c r="CJ102" s="416"/>
      <c r="CK102" s="416"/>
      <c r="CL102" s="416"/>
      <c r="CM102" s="416"/>
      <c r="CN102" s="416"/>
      <c r="CO102" s="416"/>
      <c r="CP102" s="416"/>
      <c r="CQ102" s="416"/>
      <c r="CR102" s="416"/>
      <c r="CS102" s="416"/>
      <c r="CT102" s="416"/>
      <c r="CU102" s="416"/>
      <c r="CV102" s="416"/>
      <c r="CW102" s="416"/>
      <c r="CX102" s="416"/>
      <c r="CY102" s="416"/>
      <c r="CZ102" s="416"/>
      <c r="DA102" s="416"/>
      <c r="DB102" s="416"/>
      <c r="DC102" s="416"/>
      <c r="DD102" s="416"/>
      <c r="DE102" s="416"/>
      <c r="DF102" s="416"/>
      <c r="DG102" s="416"/>
      <c r="DH102" s="416"/>
      <c r="DI102" s="416"/>
      <c r="DJ102" s="416"/>
      <c r="DK102" s="416"/>
      <c r="DL102" s="416"/>
      <c r="DM102" s="416"/>
      <c r="DN102" s="416"/>
      <c r="DO102" s="416"/>
      <c r="DP102" s="416"/>
      <c r="DQ102" s="416"/>
      <c r="DR102" s="416"/>
      <c r="DS102" s="416"/>
      <c r="DT102" s="416"/>
      <c r="DU102" s="416"/>
      <c r="DV102" s="416"/>
      <c r="DW102" s="416"/>
      <c r="DX102" s="416"/>
      <c r="DY102" s="416"/>
      <c r="DZ102" s="416"/>
      <c r="EA102" s="416"/>
      <c r="EB102" s="416"/>
      <c r="EC102" s="416"/>
      <c r="ED102" s="416"/>
      <c r="EE102" s="416"/>
      <c r="EF102" s="416"/>
      <c r="EG102" s="416"/>
      <c r="EH102" s="416"/>
      <c r="EI102" s="416"/>
      <c r="EJ102" s="416"/>
      <c r="EK102" s="416"/>
      <c r="EL102" s="416"/>
      <c r="EM102" s="416"/>
      <c r="EN102" s="416"/>
      <c r="EO102" s="416"/>
      <c r="EP102" s="416"/>
      <c r="EQ102" s="416"/>
      <c r="ER102" s="416"/>
      <c r="ES102" s="416"/>
      <c r="ET102" s="416"/>
      <c r="EU102" s="416"/>
      <c r="EV102" s="416"/>
      <c r="EW102" s="416"/>
      <c r="EX102" s="416"/>
      <c r="EY102" s="416"/>
      <c r="EZ102" s="416"/>
      <c r="FA102" s="416"/>
      <c r="FB102" s="416"/>
      <c r="FC102" s="416"/>
      <c r="FD102" s="416"/>
      <c r="FE102" s="416"/>
      <c r="FF102" s="416"/>
      <c r="FG102" s="416"/>
      <c r="FH102" s="416"/>
      <c r="FI102" s="416"/>
    </row>
    <row r="103" spans="1:165" s="445" customFormat="1" ht="16.5" hidden="1" customHeight="1" thickBot="1">
      <c r="A103" s="904"/>
      <c r="B103" s="1445"/>
      <c r="C103" s="446"/>
      <c r="D103" s="447" t="s">
        <v>785</v>
      </c>
      <c r="E103" s="911"/>
      <c r="F103" s="905"/>
      <c r="G103" s="912"/>
      <c r="H103" s="913"/>
      <c r="I103" s="914"/>
      <c r="J103"/>
      <c r="K103" s="919" t="s">
        <v>785</v>
      </c>
      <c r="L103" s="915"/>
      <c r="M103" s="915"/>
      <c r="N103" s="916"/>
      <c r="O103" s="916"/>
      <c r="P103" s="416"/>
      <c r="Q103" s="416"/>
      <c r="R103" s="416"/>
      <c r="S103" s="416"/>
      <c r="T103" s="416"/>
      <c r="U103" s="416"/>
      <c r="V103" s="416"/>
      <c r="W103" s="416"/>
      <c r="X103" s="416"/>
      <c r="Y103" s="416"/>
      <c r="Z103" s="416"/>
      <c r="AA103" s="416"/>
      <c r="AB103" s="416"/>
      <c r="AC103" s="416"/>
      <c r="AD103" s="416"/>
      <c r="AE103" s="416"/>
      <c r="AF103" s="416"/>
      <c r="AG103" s="416"/>
      <c r="AH103" s="416"/>
      <c r="AI103" s="416"/>
      <c r="AJ103" s="416"/>
      <c r="AK103" s="416"/>
      <c r="AL103" s="416"/>
      <c r="AM103" s="416"/>
      <c r="AN103" s="416"/>
      <c r="AO103" s="416"/>
      <c r="AP103" s="416"/>
      <c r="AQ103" s="416"/>
      <c r="AR103" s="416"/>
      <c r="AS103" s="416"/>
      <c r="AT103" s="416"/>
      <c r="AU103" s="416"/>
      <c r="AV103" s="416"/>
      <c r="AW103" s="416"/>
      <c r="AX103" s="416"/>
      <c r="AY103" s="416"/>
      <c r="AZ103" s="416"/>
      <c r="BA103" s="416"/>
      <c r="BB103" s="416"/>
      <c r="BC103" s="416"/>
      <c r="BD103" s="416"/>
      <c r="BE103" s="416"/>
      <c r="BF103" s="416"/>
      <c r="BG103" s="416"/>
      <c r="BH103" s="416"/>
      <c r="BI103" s="416"/>
      <c r="BJ103" s="416"/>
      <c r="BK103" s="416"/>
      <c r="BL103" s="416"/>
      <c r="BM103" s="416"/>
      <c r="BN103" s="416"/>
      <c r="BO103" s="416"/>
      <c r="BP103" s="416"/>
      <c r="BQ103" s="416"/>
      <c r="BR103" s="416"/>
      <c r="BS103" s="416"/>
      <c r="BT103" s="416"/>
      <c r="BU103" s="416"/>
      <c r="BV103" s="416"/>
      <c r="BW103" s="416"/>
      <c r="BX103" s="416"/>
      <c r="BY103" s="416"/>
      <c r="BZ103" s="416"/>
      <c r="CA103" s="416"/>
      <c r="CB103" s="416"/>
      <c r="CC103" s="416"/>
      <c r="CD103" s="416"/>
      <c r="CE103" s="416"/>
      <c r="CF103" s="416"/>
      <c r="CG103" s="416"/>
      <c r="CH103" s="416"/>
      <c r="CI103" s="416"/>
      <c r="CJ103" s="416"/>
      <c r="CK103" s="416"/>
      <c r="CL103" s="416"/>
      <c r="CM103" s="416"/>
      <c r="CN103" s="416"/>
      <c r="CO103" s="416"/>
      <c r="CP103" s="416"/>
      <c r="CQ103" s="416"/>
      <c r="CR103" s="416"/>
      <c r="CS103" s="416"/>
      <c r="CT103" s="416"/>
      <c r="CU103" s="416"/>
      <c r="CV103" s="416"/>
      <c r="CW103" s="416"/>
      <c r="CX103" s="416"/>
      <c r="CY103" s="416"/>
      <c r="CZ103" s="416"/>
      <c r="DA103" s="416"/>
      <c r="DB103" s="416"/>
      <c r="DC103" s="416"/>
      <c r="DD103" s="416"/>
      <c r="DE103" s="416"/>
      <c r="DF103" s="416"/>
      <c r="DG103" s="416"/>
      <c r="DH103" s="416"/>
      <c r="DI103" s="416"/>
      <c r="DJ103" s="416"/>
      <c r="DK103" s="416"/>
      <c r="DL103" s="416"/>
      <c r="DM103" s="416"/>
      <c r="DN103" s="416"/>
      <c r="DO103" s="416"/>
      <c r="DP103" s="416"/>
      <c r="DQ103" s="416"/>
      <c r="DR103" s="416"/>
      <c r="DS103" s="416"/>
      <c r="DT103" s="416"/>
      <c r="DU103" s="416"/>
      <c r="DV103" s="416"/>
      <c r="DW103" s="416"/>
      <c r="DX103" s="416"/>
      <c r="DY103" s="416"/>
      <c r="DZ103" s="416"/>
      <c r="EA103" s="416"/>
      <c r="EB103" s="416"/>
      <c r="EC103" s="416"/>
      <c r="ED103" s="416"/>
      <c r="EE103" s="416"/>
      <c r="EF103" s="416"/>
      <c r="EG103" s="416"/>
      <c r="EH103" s="416"/>
      <c r="EI103" s="416"/>
      <c r="EJ103" s="416"/>
      <c r="EK103" s="416"/>
      <c r="EL103" s="416"/>
      <c r="EM103" s="416"/>
      <c r="EN103" s="416"/>
      <c r="EO103" s="416"/>
      <c r="EP103" s="416"/>
      <c r="EQ103" s="416"/>
      <c r="ER103" s="416"/>
      <c r="ES103" s="416"/>
      <c r="ET103" s="416"/>
      <c r="EU103" s="416"/>
      <c r="EV103" s="416"/>
      <c r="EW103" s="416"/>
      <c r="EX103" s="416"/>
      <c r="EY103" s="416"/>
      <c r="EZ103" s="416"/>
      <c r="FA103" s="416"/>
      <c r="FB103" s="416"/>
      <c r="FC103" s="416"/>
      <c r="FD103" s="416"/>
      <c r="FE103" s="416"/>
      <c r="FF103" s="416"/>
      <c r="FG103" s="416"/>
      <c r="FH103" s="416"/>
      <c r="FI103" s="416"/>
    </row>
    <row r="104" spans="1:165" ht="16.5" thickBot="1">
      <c r="A104" s="692"/>
      <c r="B104" s="1445"/>
      <c r="C104" s="448"/>
      <c r="D104" s="692"/>
      <c r="E104" s="697"/>
      <c r="I104" s="332"/>
      <c r="M104" s="1053"/>
      <c r="N104" s="1053"/>
      <c r="T104" s="441"/>
      <c r="U104" s="441"/>
      <c r="V104" s="450"/>
      <c r="W104" s="437"/>
      <c r="X104" s="441"/>
      <c r="Y104" s="441"/>
      <c r="Z104" s="450"/>
      <c r="AM104" s="418"/>
      <c r="AW104" s="418"/>
    </row>
    <row r="105" spans="1:165" ht="31.5">
      <c r="A105" s="691"/>
      <c r="B105" s="1445"/>
      <c r="C105" s="424" t="str">
        <f t="shared" ref="C105:C112" si="9">C90</f>
        <v>Feed item</v>
      </c>
      <c r="D105" s="583"/>
      <c r="E105" s="583" t="s">
        <v>1271</v>
      </c>
      <c r="F105" s="583" t="s">
        <v>1128</v>
      </c>
      <c r="G105" s="584" t="s">
        <v>1129</v>
      </c>
      <c r="H105" s="1255"/>
      <c r="I105" s="1238"/>
      <c r="J105" s="1238"/>
      <c r="K105" s="1238"/>
      <c r="L105" s="1238"/>
      <c r="M105" s="1238"/>
      <c r="N105" s="1238"/>
      <c r="O105" s="440"/>
      <c r="P105" s="440"/>
      <c r="Q105" s="440"/>
      <c r="R105" s="440"/>
      <c r="S105" s="440"/>
      <c r="T105" s="441"/>
      <c r="U105" s="437"/>
      <c r="V105" s="450"/>
      <c r="W105" s="450"/>
      <c r="X105" s="437"/>
      <c r="Y105" s="441"/>
      <c r="Z105" s="450"/>
      <c r="AM105" s="418"/>
      <c r="AW105" s="418"/>
    </row>
    <row r="106" spans="1:165">
      <c r="A106" s="692"/>
      <c r="B106" s="1445"/>
      <c r="C106" s="926" t="str">
        <f t="shared" si="9"/>
        <v>Concentrate (commercial)</v>
      </c>
      <c r="D106" s="113" t="str">
        <f t="shared" ref="D106:D112" si="10">IF(E91="Residue", D91, "-")</f>
        <v>-</v>
      </c>
      <c r="E106" s="675">
        <v>0</v>
      </c>
      <c r="F106" s="675"/>
      <c r="G106" s="653">
        <v>0</v>
      </c>
      <c r="H106" s="1053"/>
      <c r="I106" s="1239"/>
      <c r="J106" s="1238"/>
      <c r="K106" s="1239"/>
      <c r="L106" s="1239"/>
      <c r="M106" s="1239"/>
      <c r="N106" s="1239"/>
      <c r="O106" s="441"/>
      <c r="P106" s="441"/>
      <c r="Q106" s="441"/>
      <c r="R106" s="441"/>
      <c r="S106" s="441"/>
      <c r="T106" s="441"/>
      <c r="U106" s="450"/>
      <c r="V106" s="450"/>
      <c r="W106" s="450"/>
      <c r="X106" s="450"/>
      <c r="Y106" s="437"/>
      <c r="Z106" s="450"/>
      <c r="AM106" s="418"/>
      <c r="AW106" s="418"/>
    </row>
    <row r="107" spans="1:165">
      <c r="A107" s="692"/>
      <c r="B107" s="1445"/>
      <c r="C107" s="932" t="str">
        <f t="shared" si="9"/>
        <v xml:space="preserve">Naturally occuring pasture - green fodder </v>
      </c>
      <c r="D107" s="113" t="str">
        <f t="shared" si="10"/>
        <v>-</v>
      </c>
      <c r="E107" s="675">
        <v>0.9</v>
      </c>
      <c r="F107" s="675"/>
      <c r="G107" s="653">
        <v>0</v>
      </c>
      <c r="H107" s="1053"/>
      <c r="I107" s="1239"/>
      <c r="J107" s="1238"/>
      <c r="K107" s="1239"/>
      <c r="L107" s="1239"/>
      <c r="M107" s="1239"/>
      <c r="N107" s="1239"/>
      <c r="O107" s="441"/>
      <c r="P107" s="441"/>
      <c r="Q107" s="441"/>
      <c r="R107" s="441"/>
      <c r="S107" s="441"/>
      <c r="T107" s="437"/>
      <c r="U107" s="450"/>
      <c r="V107" s="450"/>
      <c r="W107" s="450"/>
      <c r="X107" s="450"/>
      <c r="Y107" s="450"/>
      <c r="Z107" s="450"/>
      <c r="AM107" s="418"/>
      <c r="AW107" s="418"/>
    </row>
    <row r="108" spans="1:165" ht="17.25" customHeight="1">
      <c r="A108" s="692"/>
      <c r="B108" s="1445"/>
      <c r="C108" s="932" t="str">
        <f t="shared" si="9"/>
        <v>Maize (Zea mays) - stover</v>
      </c>
      <c r="D108" s="113" t="str">
        <f t="shared" si="10"/>
        <v>Maize</v>
      </c>
      <c r="E108" s="675">
        <v>0.4</v>
      </c>
      <c r="F108" s="675">
        <v>0.6</v>
      </c>
      <c r="G108" s="653">
        <v>0</v>
      </c>
      <c r="H108" s="1053"/>
      <c r="I108" s="1239"/>
      <c r="J108" s="1238"/>
      <c r="K108" s="1239"/>
      <c r="L108" s="1239"/>
      <c r="M108" s="1239"/>
      <c r="N108" s="1239"/>
      <c r="O108" s="441"/>
      <c r="P108" s="441"/>
      <c r="Q108" s="441"/>
      <c r="R108" s="441"/>
      <c r="S108" s="441"/>
      <c r="T108" s="450"/>
      <c r="U108" s="450"/>
      <c r="V108" s="450"/>
      <c r="W108" s="450"/>
      <c r="X108" s="450"/>
      <c r="Y108" s="450"/>
      <c r="Z108" s="450"/>
      <c r="AM108" s="418"/>
      <c r="AW108" s="418"/>
    </row>
    <row r="109" spans="1:165">
      <c r="A109" s="692"/>
      <c r="B109" s="1445"/>
      <c r="C109" s="932" t="str">
        <f t="shared" si="9"/>
        <v>N/A</v>
      </c>
      <c r="D109" s="113" t="str">
        <f t="shared" si="10"/>
        <v>-</v>
      </c>
      <c r="E109" s="675">
        <v>0.9</v>
      </c>
      <c r="F109" s="675"/>
      <c r="G109" s="653">
        <v>0</v>
      </c>
      <c r="H109" s="1053"/>
      <c r="I109" s="1239"/>
      <c r="J109" s="1238"/>
      <c r="K109" s="1239"/>
      <c r="L109" s="1239"/>
      <c r="M109" s="1239"/>
      <c r="N109" s="1239"/>
      <c r="O109" s="441"/>
      <c r="P109" s="441"/>
      <c r="Q109" s="441"/>
      <c r="R109" s="441"/>
      <c r="S109" s="441"/>
      <c r="T109" s="450"/>
      <c r="U109" s="450"/>
      <c r="V109" s="450"/>
      <c r="W109" s="450"/>
      <c r="X109" s="450"/>
      <c r="Y109" s="450"/>
      <c r="Z109" s="450"/>
      <c r="AM109" s="418"/>
      <c r="AW109" s="418"/>
    </row>
    <row r="110" spans="1:165">
      <c r="A110" s="692"/>
      <c r="B110" s="1445"/>
      <c r="C110" s="932" t="str">
        <f t="shared" si="9"/>
        <v>N/A</v>
      </c>
      <c r="D110" s="113" t="str">
        <f t="shared" si="10"/>
        <v>-</v>
      </c>
      <c r="E110" s="675">
        <v>0.9</v>
      </c>
      <c r="F110" s="675"/>
      <c r="G110" s="653">
        <v>0</v>
      </c>
      <c r="H110" s="1053"/>
      <c r="I110" s="1239"/>
      <c r="J110" s="1238"/>
      <c r="K110" s="1239"/>
      <c r="L110" s="1239"/>
      <c r="M110" s="1239"/>
      <c r="N110" s="1239"/>
      <c r="O110" s="441"/>
      <c r="P110" s="441"/>
      <c r="Q110" s="441"/>
      <c r="R110" s="441"/>
      <c r="S110" s="441"/>
      <c r="T110" s="450"/>
      <c r="U110" s="450"/>
      <c r="V110" s="450"/>
      <c r="W110" s="450"/>
      <c r="X110" s="450"/>
      <c r="Y110" s="450"/>
      <c r="Z110" s="450"/>
      <c r="AM110" s="418"/>
      <c r="AW110" s="418"/>
      <c r="AY110" s="418"/>
    </row>
    <row r="111" spans="1:165">
      <c r="A111" s="692"/>
      <c r="B111" s="1445"/>
      <c r="C111" s="932" t="str">
        <f t="shared" si="9"/>
        <v>N/A</v>
      </c>
      <c r="D111" s="113" t="str">
        <f t="shared" si="10"/>
        <v>-</v>
      </c>
      <c r="E111" s="675">
        <v>0.9</v>
      </c>
      <c r="F111" s="675"/>
      <c r="G111" s="653">
        <v>0</v>
      </c>
      <c r="H111" s="1053"/>
      <c r="I111" s="1239"/>
      <c r="J111" s="1238"/>
      <c r="K111" s="1239"/>
      <c r="L111" s="1239"/>
      <c r="M111" s="1239"/>
      <c r="N111" s="1239"/>
      <c r="O111" s="441"/>
      <c r="P111" s="441"/>
      <c r="Q111" s="441"/>
      <c r="R111" s="441"/>
      <c r="S111" s="441"/>
      <c r="T111" s="450"/>
      <c r="U111" s="450"/>
      <c r="V111" s="450"/>
      <c r="W111" s="450"/>
      <c r="X111" s="450"/>
      <c r="Y111" s="450"/>
      <c r="Z111" s="450"/>
      <c r="AL111" s="418"/>
      <c r="AV111" s="418"/>
      <c r="AY111" s="418"/>
    </row>
    <row r="112" spans="1:165" ht="16.5" thickBot="1">
      <c r="A112" s="692"/>
      <c r="B112" s="1445"/>
      <c r="C112" s="676" t="str">
        <f t="shared" si="9"/>
        <v>N/A</v>
      </c>
      <c r="D112" s="621" t="str">
        <f t="shared" si="10"/>
        <v>-</v>
      </c>
      <c r="E112" s="683">
        <v>0</v>
      </c>
      <c r="F112" s="683"/>
      <c r="G112" s="684">
        <v>0</v>
      </c>
      <c r="H112" s="1053"/>
      <c r="I112" s="1239"/>
      <c r="J112" s="1239"/>
      <c r="K112" s="1239"/>
      <c r="L112" s="1239"/>
      <c r="M112" s="1239"/>
      <c r="N112" s="1239"/>
      <c r="O112" s="441"/>
      <c r="P112" s="450"/>
      <c r="Q112" s="450"/>
      <c r="R112" s="450"/>
      <c r="S112" s="450"/>
      <c r="T112" s="450"/>
      <c r="U112" s="450"/>
      <c r="V112" s="450"/>
      <c r="AH112" s="418"/>
      <c r="AR112" s="418"/>
      <c r="AU112" s="418"/>
    </row>
    <row r="113" spans="1:161" ht="16.5" thickBot="1">
      <c r="A113" s="692"/>
      <c r="B113" s="702"/>
      <c r="C113" s="691"/>
      <c r="D113" s="691"/>
      <c r="E113" s="692"/>
      <c r="F113" s="692"/>
      <c r="H113" s="441"/>
      <c r="I113" s="441"/>
      <c r="J113" s="448"/>
      <c r="K113" s="448"/>
      <c r="L113" s="437"/>
      <c r="M113" s="1240"/>
      <c r="N113" s="1240"/>
      <c r="O113" s="437"/>
      <c r="P113" s="450"/>
      <c r="Q113" s="450"/>
      <c r="R113" s="450"/>
      <c r="S113" s="450"/>
      <c r="T113" s="450"/>
      <c r="U113" s="450"/>
      <c r="V113" s="450"/>
      <c r="AH113" s="418"/>
      <c r="AR113" s="418"/>
      <c r="AU113" s="418"/>
    </row>
    <row r="114" spans="1:161" ht="31.5">
      <c r="A114" s="692"/>
      <c r="B114" s="1446" t="s">
        <v>824</v>
      </c>
      <c r="C114" s="424" t="str">
        <f t="shared" ref="C114:C121" si="11">C105</f>
        <v>Feed item</v>
      </c>
      <c r="D114" s="687"/>
      <c r="E114" s="583" t="s">
        <v>1701</v>
      </c>
      <c r="F114" s="584" t="s">
        <v>1617</v>
      </c>
      <c r="G114" s="1257"/>
      <c r="H114" s="1257"/>
      <c r="I114" s="1257"/>
      <c r="J114" s="1258"/>
      <c r="K114" s="1258"/>
      <c r="L114" s="1258"/>
      <c r="M114" s="1241"/>
      <c r="N114" s="1241"/>
      <c r="O114" s="450"/>
      <c r="P114" s="450"/>
      <c r="Q114" s="450"/>
      <c r="R114" s="450"/>
      <c r="S114" s="450"/>
      <c r="T114" s="450"/>
      <c r="U114" s="450"/>
      <c r="V114" s="450"/>
      <c r="AH114" s="418"/>
      <c r="AR114" s="418"/>
      <c r="AU114" s="418"/>
    </row>
    <row r="115" spans="1:161" s="445" customFormat="1" ht="15.75" customHeight="1">
      <c r="A115" s="692"/>
      <c r="B115" s="1447"/>
      <c r="C115" s="932" t="str">
        <f t="shared" si="11"/>
        <v>Concentrate (commercial)</v>
      </c>
      <c r="D115" s="1207" t="str">
        <f t="shared" ref="D115:D121" si="12">D91</f>
        <v>Purchased</v>
      </c>
      <c r="E115" s="356">
        <v>0</v>
      </c>
      <c r="F115" s="1262">
        <v>0</v>
      </c>
      <c r="G115" s="1259"/>
      <c r="H115" s="1257"/>
      <c r="I115" s="1257"/>
      <c r="J115" s="1260"/>
      <c r="K115" s="1260"/>
      <c r="L115" s="1260"/>
      <c r="M115" s="450"/>
      <c r="N115" s="450"/>
      <c r="O115" s="450"/>
      <c r="P115" s="450"/>
      <c r="Q115" s="450"/>
      <c r="R115" s="450"/>
      <c r="S115" s="450"/>
      <c r="T115" s="450"/>
      <c r="U115" s="450"/>
      <c r="V115" s="450"/>
      <c r="W115" s="416"/>
      <c r="X115" s="416"/>
      <c r="Y115" s="416"/>
      <c r="Z115" s="416"/>
      <c r="AA115" s="416"/>
      <c r="AB115" s="416"/>
      <c r="AC115" s="416"/>
      <c r="AD115" s="416"/>
      <c r="AE115" s="416"/>
      <c r="AF115" s="416"/>
      <c r="AG115" s="416"/>
      <c r="AH115" s="418"/>
      <c r="AI115" s="416"/>
      <c r="AJ115" s="416"/>
      <c r="AK115" s="416"/>
      <c r="AL115" s="416"/>
      <c r="AM115" s="416"/>
      <c r="AN115" s="416"/>
      <c r="AO115" s="416"/>
      <c r="AP115" s="416"/>
      <c r="AQ115" s="416"/>
      <c r="AR115" s="418"/>
      <c r="AS115" s="416"/>
      <c r="AT115" s="416"/>
      <c r="AU115" s="418"/>
      <c r="AV115" s="416"/>
      <c r="AW115" s="416"/>
      <c r="AX115" s="416"/>
      <c r="AY115" s="416"/>
      <c r="AZ115" s="416"/>
      <c r="BA115" s="416"/>
      <c r="BB115" s="416"/>
      <c r="BC115" s="416"/>
      <c r="BD115" s="416"/>
      <c r="BE115" s="416"/>
      <c r="BF115" s="416"/>
      <c r="BG115" s="416"/>
      <c r="BH115" s="416"/>
      <c r="BI115" s="416"/>
      <c r="BJ115" s="416"/>
      <c r="BK115" s="416"/>
      <c r="BL115" s="416"/>
      <c r="BM115" s="416"/>
      <c r="BN115" s="416"/>
      <c r="BO115" s="416"/>
      <c r="BP115" s="416"/>
      <c r="BQ115" s="416"/>
      <c r="BR115" s="416"/>
      <c r="BS115" s="416"/>
      <c r="BT115" s="416"/>
      <c r="BU115" s="416"/>
      <c r="BV115" s="416"/>
      <c r="BW115" s="416"/>
      <c r="BX115" s="416"/>
      <c r="BY115" s="416"/>
      <c r="BZ115" s="416"/>
      <c r="CA115" s="416"/>
      <c r="CB115" s="416"/>
      <c r="CC115" s="416"/>
      <c r="CD115" s="416"/>
      <c r="CE115" s="416"/>
      <c r="CF115" s="416"/>
      <c r="CG115" s="416"/>
      <c r="CH115" s="416"/>
      <c r="CI115" s="416"/>
      <c r="CJ115" s="416"/>
      <c r="CK115" s="416"/>
      <c r="CL115" s="416"/>
      <c r="CM115" s="416"/>
      <c r="CN115" s="416"/>
      <c r="CO115" s="416"/>
      <c r="CP115" s="416"/>
      <c r="CQ115" s="416"/>
      <c r="CR115" s="416"/>
      <c r="CS115" s="416"/>
      <c r="CT115" s="416"/>
      <c r="CU115" s="416"/>
      <c r="CV115" s="416"/>
      <c r="CW115" s="416"/>
      <c r="CX115" s="416"/>
      <c r="CY115" s="416"/>
      <c r="CZ115" s="416"/>
      <c r="DA115" s="416"/>
      <c r="DB115" s="416"/>
      <c r="DC115" s="416"/>
      <c r="DD115" s="416"/>
      <c r="DE115" s="416"/>
      <c r="DF115" s="416"/>
      <c r="DG115" s="416"/>
      <c r="DH115" s="416"/>
      <c r="DI115" s="416"/>
      <c r="DJ115" s="416"/>
      <c r="DK115" s="416"/>
      <c r="DL115" s="416"/>
      <c r="DM115" s="416"/>
      <c r="DN115" s="416"/>
      <c r="DO115" s="416"/>
      <c r="DP115" s="416"/>
      <c r="DQ115" s="416"/>
      <c r="DR115" s="416"/>
      <c r="DS115" s="416"/>
      <c r="DT115" s="416"/>
      <c r="DU115" s="416"/>
      <c r="DV115" s="416"/>
      <c r="DW115" s="416"/>
      <c r="DX115" s="416"/>
      <c r="DY115" s="416"/>
      <c r="DZ115" s="416"/>
      <c r="EA115" s="416"/>
      <c r="EB115" s="416"/>
      <c r="EC115" s="416"/>
      <c r="ED115" s="416"/>
      <c r="EE115" s="416"/>
      <c r="EF115" s="416"/>
      <c r="EG115" s="416"/>
      <c r="EH115" s="416"/>
      <c r="EI115" s="416"/>
      <c r="EJ115" s="416"/>
      <c r="EK115" s="416"/>
      <c r="EL115" s="416"/>
      <c r="EM115" s="416"/>
      <c r="EN115" s="416"/>
      <c r="EO115" s="416"/>
      <c r="EP115" s="416"/>
      <c r="EQ115" s="416"/>
      <c r="ER115" s="416"/>
      <c r="ES115" s="416"/>
      <c r="ET115" s="416"/>
      <c r="EU115" s="416"/>
      <c r="EV115" s="416"/>
      <c r="EW115" s="416"/>
      <c r="EX115" s="416"/>
      <c r="EY115" s="416"/>
      <c r="EZ115" s="416"/>
      <c r="FA115" s="416"/>
      <c r="FB115" s="416"/>
      <c r="FC115" s="416"/>
      <c r="FD115" s="416"/>
      <c r="FE115" s="416"/>
    </row>
    <row r="116" spans="1:161" s="445" customFormat="1" ht="15.75" customHeight="1">
      <c r="A116" s="692"/>
      <c r="B116" s="1447"/>
      <c r="C116" s="932" t="str">
        <f t="shared" si="11"/>
        <v xml:space="preserve">Naturally occuring pasture - green fodder </v>
      </c>
      <c r="D116" s="1207" t="str">
        <f t="shared" si="12"/>
        <v>Natural pasture</v>
      </c>
      <c r="E116" s="356">
        <v>15</v>
      </c>
      <c r="F116" s="1262">
        <v>0</v>
      </c>
      <c r="G116" s="1259"/>
      <c r="H116" s="1257"/>
      <c r="I116" s="1257"/>
      <c r="J116" s="1260"/>
      <c r="K116" s="1260"/>
      <c r="L116" s="1260"/>
      <c r="M116" s="450"/>
      <c r="N116" s="450"/>
      <c r="O116" s="450"/>
      <c r="P116" s="450"/>
      <c r="Q116" s="450"/>
      <c r="R116" s="450"/>
      <c r="S116" s="450"/>
      <c r="T116" s="450"/>
      <c r="U116" s="450"/>
      <c r="V116" s="450"/>
      <c r="W116" s="416"/>
      <c r="X116" s="416"/>
      <c r="Y116" s="416"/>
      <c r="Z116" s="416"/>
      <c r="AA116" s="416"/>
      <c r="AB116" s="416"/>
      <c r="AC116" s="416"/>
      <c r="AD116" s="416"/>
      <c r="AE116" s="416"/>
      <c r="AF116" s="416"/>
      <c r="AG116" s="416"/>
      <c r="AH116" s="418"/>
      <c r="AI116" s="416"/>
      <c r="AJ116" s="416"/>
      <c r="AK116" s="416"/>
      <c r="AL116" s="416"/>
      <c r="AM116" s="416"/>
      <c r="AN116" s="416"/>
      <c r="AO116" s="416"/>
      <c r="AP116" s="416"/>
      <c r="AQ116" s="416"/>
      <c r="AR116" s="418"/>
      <c r="AS116" s="416"/>
      <c r="AT116" s="416"/>
      <c r="AU116" s="418"/>
      <c r="AV116" s="416"/>
      <c r="AW116" s="416"/>
      <c r="AX116" s="416"/>
      <c r="AY116" s="416"/>
      <c r="AZ116" s="416"/>
      <c r="BA116" s="416"/>
      <c r="BB116" s="416"/>
      <c r="BC116" s="416"/>
      <c r="BD116" s="416"/>
      <c r="BE116" s="416"/>
      <c r="BF116" s="416"/>
      <c r="BG116" s="416"/>
      <c r="BH116" s="416"/>
      <c r="BI116" s="416"/>
      <c r="BJ116" s="416"/>
      <c r="BK116" s="416"/>
      <c r="BL116" s="416"/>
      <c r="BM116" s="416"/>
      <c r="BN116" s="416"/>
      <c r="BO116" s="416"/>
      <c r="BP116" s="416"/>
      <c r="BQ116" s="416"/>
      <c r="BR116" s="416"/>
      <c r="BS116" s="416"/>
      <c r="BT116" s="416"/>
      <c r="BU116" s="416"/>
      <c r="BV116" s="416"/>
      <c r="BW116" s="416"/>
      <c r="BX116" s="416"/>
      <c r="BY116" s="416"/>
      <c r="BZ116" s="416"/>
      <c r="CA116" s="416"/>
      <c r="CB116" s="416"/>
      <c r="CC116" s="416"/>
      <c r="CD116" s="416"/>
      <c r="CE116" s="416"/>
      <c r="CF116" s="416"/>
      <c r="CG116" s="416"/>
      <c r="CH116" s="416"/>
      <c r="CI116" s="416"/>
      <c r="CJ116" s="416"/>
      <c r="CK116" s="416"/>
      <c r="CL116" s="416"/>
      <c r="CM116" s="416"/>
      <c r="CN116" s="416"/>
      <c r="CO116" s="416"/>
      <c r="CP116" s="416"/>
      <c r="CQ116" s="416"/>
      <c r="CR116" s="416"/>
      <c r="CS116" s="416"/>
      <c r="CT116" s="416"/>
      <c r="CU116" s="416"/>
      <c r="CV116" s="416"/>
      <c r="CW116" s="416"/>
      <c r="CX116" s="416"/>
      <c r="CY116" s="416"/>
      <c r="CZ116" s="416"/>
      <c r="DA116" s="416"/>
      <c r="DB116" s="416"/>
      <c r="DC116" s="416"/>
      <c r="DD116" s="416"/>
      <c r="DE116" s="416"/>
      <c r="DF116" s="416"/>
      <c r="DG116" s="416"/>
      <c r="DH116" s="416"/>
      <c r="DI116" s="416"/>
      <c r="DJ116" s="416"/>
      <c r="DK116" s="416"/>
      <c r="DL116" s="416"/>
      <c r="DM116" s="416"/>
      <c r="DN116" s="416"/>
      <c r="DO116" s="416"/>
      <c r="DP116" s="416"/>
      <c r="DQ116" s="416"/>
      <c r="DR116" s="416"/>
      <c r="DS116" s="416"/>
      <c r="DT116" s="416"/>
      <c r="DU116" s="416"/>
      <c r="DV116" s="416"/>
      <c r="DW116" s="416"/>
      <c r="DX116" s="416"/>
      <c r="DY116" s="416"/>
      <c r="DZ116" s="416"/>
      <c r="EA116" s="416"/>
      <c r="EB116" s="416"/>
      <c r="EC116" s="416"/>
      <c r="ED116" s="416"/>
      <c r="EE116" s="416"/>
      <c r="EF116" s="416"/>
      <c r="EG116" s="416"/>
      <c r="EH116" s="416"/>
      <c r="EI116" s="416"/>
      <c r="EJ116" s="416"/>
      <c r="EK116" s="416"/>
      <c r="EL116" s="416"/>
      <c r="EM116" s="416"/>
      <c r="EN116" s="416"/>
      <c r="EO116" s="416"/>
      <c r="EP116" s="416"/>
      <c r="EQ116" s="416"/>
      <c r="ER116" s="416"/>
      <c r="ES116" s="416"/>
      <c r="ET116" s="416"/>
      <c r="EU116" s="416"/>
      <c r="EV116" s="416"/>
      <c r="EW116" s="416"/>
      <c r="EX116" s="416"/>
      <c r="EY116" s="416"/>
      <c r="EZ116" s="416"/>
      <c r="FA116" s="416"/>
      <c r="FB116" s="416"/>
      <c r="FC116" s="416"/>
      <c r="FD116" s="416"/>
      <c r="FE116" s="416"/>
    </row>
    <row r="117" spans="1:161" s="445" customFormat="1" ht="15.75" customHeight="1">
      <c r="A117" s="692"/>
      <c r="B117" s="1447"/>
      <c r="C117" s="932" t="str">
        <f t="shared" si="11"/>
        <v>Maize (Zea mays) - stover</v>
      </c>
      <c r="D117" s="1207" t="str">
        <f t="shared" si="12"/>
        <v>Maize</v>
      </c>
      <c r="E117" s="356">
        <v>15</v>
      </c>
      <c r="F117" s="1262">
        <v>0.3</v>
      </c>
      <c r="G117" s="1259"/>
      <c r="H117" s="1257"/>
      <c r="I117" s="1257"/>
      <c r="J117" s="1260"/>
      <c r="K117" s="1260"/>
      <c r="L117" s="1260"/>
      <c r="M117" s="450"/>
      <c r="N117" s="450"/>
      <c r="O117" s="450"/>
      <c r="P117" s="450"/>
      <c r="Q117" s="450"/>
      <c r="R117" s="450"/>
      <c r="S117" s="450"/>
      <c r="T117" s="450"/>
      <c r="U117" s="450"/>
      <c r="V117" s="450"/>
      <c r="W117" s="416"/>
      <c r="X117" s="416"/>
      <c r="Y117" s="416"/>
      <c r="Z117" s="416"/>
      <c r="AA117" s="418"/>
      <c r="AB117" s="418"/>
      <c r="AC117" s="416"/>
      <c r="AD117" s="416"/>
      <c r="AE117" s="416"/>
      <c r="AF117" s="416"/>
      <c r="AG117" s="416"/>
      <c r="AH117" s="418"/>
      <c r="AI117" s="416"/>
      <c r="AJ117" s="416"/>
      <c r="AK117" s="416"/>
      <c r="AL117" s="416"/>
      <c r="AM117" s="416"/>
      <c r="AN117" s="416"/>
      <c r="AO117" s="416"/>
      <c r="AP117" s="416"/>
      <c r="AQ117" s="416"/>
      <c r="AR117" s="418"/>
      <c r="AS117" s="416"/>
      <c r="AT117" s="416"/>
      <c r="AU117" s="416"/>
      <c r="AV117" s="416"/>
      <c r="AW117" s="416"/>
      <c r="AX117" s="416"/>
      <c r="AY117" s="416"/>
      <c r="AZ117" s="416"/>
      <c r="BA117" s="416"/>
      <c r="BB117" s="416"/>
      <c r="BC117" s="416"/>
      <c r="BD117" s="416"/>
      <c r="BE117" s="416"/>
      <c r="BF117" s="416"/>
      <c r="BG117" s="416"/>
      <c r="BH117" s="416"/>
      <c r="BI117" s="416"/>
      <c r="BJ117" s="416"/>
      <c r="BK117" s="416"/>
      <c r="BL117" s="416"/>
      <c r="BM117" s="416"/>
      <c r="BN117" s="416"/>
      <c r="BO117" s="416"/>
      <c r="BP117" s="416"/>
      <c r="BQ117" s="416"/>
      <c r="BR117" s="416"/>
      <c r="BS117" s="416"/>
      <c r="BT117" s="416"/>
      <c r="BU117" s="416"/>
      <c r="BV117" s="416"/>
      <c r="BW117" s="416"/>
      <c r="BX117" s="416"/>
      <c r="BY117" s="416"/>
      <c r="BZ117" s="416"/>
      <c r="CA117" s="416"/>
      <c r="CB117" s="416"/>
      <c r="CC117" s="416"/>
      <c r="CD117" s="416"/>
      <c r="CE117" s="416"/>
      <c r="CF117" s="416"/>
      <c r="CG117" s="416"/>
      <c r="CH117" s="416"/>
      <c r="CI117" s="416"/>
      <c r="CJ117" s="416"/>
      <c r="CK117" s="416"/>
      <c r="CL117" s="416"/>
      <c r="CM117" s="416"/>
      <c r="CN117" s="416"/>
      <c r="CO117" s="416"/>
      <c r="CP117" s="416"/>
      <c r="CQ117" s="416"/>
      <c r="CR117" s="416"/>
      <c r="CS117" s="416"/>
      <c r="CT117" s="416"/>
      <c r="CU117" s="416"/>
      <c r="CV117" s="416"/>
      <c r="CW117" s="416"/>
      <c r="CX117" s="416"/>
      <c r="CY117" s="416"/>
      <c r="CZ117" s="416"/>
      <c r="DA117" s="416"/>
      <c r="DB117" s="416"/>
      <c r="DC117" s="416"/>
      <c r="DD117" s="416"/>
      <c r="DE117" s="416"/>
      <c r="DF117" s="416"/>
      <c r="DG117" s="416"/>
      <c r="DH117" s="416"/>
      <c r="DI117" s="416"/>
      <c r="DJ117" s="416"/>
      <c r="DK117" s="416"/>
      <c r="DL117" s="416"/>
      <c r="DM117" s="416"/>
      <c r="DN117" s="416"/>
      <c r="DO117" s="416"/>
      <c r="DP117" s="416"/>
      <c r="DQ117" s="416"/>
      <c r="DR117" s="416"/>
      <c r="DS117" s="416"/>
      <c r="DT117" s="416"/>
      <c r="DU117" s="416"/>
      <c r="DV117" s="416"/>
      <c r="DW117" s="416"/>
      <c r="DX117" s="416"/>
      <c r="DY117" s="416"/>
      <c r="DZ117" s="416"/>
      <c r="EA117" s="416"/>
      <c r="EB117" s="416"/>
      <c r="EC117" s="416"/>
      <c r="ED117" s="416"/>
      <c r="EE117" s="416"/>
      <c r="EF117" s="416"/>
      <c r="EG117" s="416"/>
      <c r="EH117" s="416"/>
      <c r="EI117" s="416"/>
      <c r="EJ117" s="416"/>
      <c r="EK117" s="416"/>
      <c r="EL117" s="416"/>
      <c r="EM117" s="416"/>
      <c r="EN117" s="416"/>
      <c r="EO117" s="416"/>
      <c r="EP117" s="416"/>
      <c r="EQ117" s="416"/>
      <c r="ER117" s="416"/>
      <c r="ES117" s="416"/>
      <c r="ET117" s="416"/>
      <c r="EU117" s="416"/>
      <c r="EV117" s="416"/>
      <c r="EW117" s="416"/>
      <c r="EX117" s="416"/>
      <c r="EY117" s="416"/>
      <c r="EZ117" s="416"/>
      <c r="FA117" s="416"/>
      <c r="FB117" s="416"/>
      <c r="FC117" s="416"/>
      <c r="FD117" s="416"/>
      <c r="FE117" s="416"/>
    </row>
    <row r="118" spans="1:161" s="445" customFormat="1" ht="15.75" customHeight="1">
      <c r="A118" s="692"/>
      <c r="B118" s="1447"/>
      <c r="C118" s="932" t="str">
        <f t="shared" si="11"/>
        <v>N/A</v>
      </c>
      <c r="D118" s="1207" t="str">
        <f t="shared" si="12"/>
        <v>N/A</v>
      </c>
      <c r="E118" s="356">
        <v>15</v>
      </c>
      <c r="F118" s="1262">
        <v>0.2</v>
      </c>
      <c r="G118" s="1259"/>
      <c r="H118" s="1257"/>
      <c r="I118" s="1257"/>
      <c r="J118" s="1260"/>
      <c r="K118" s="1260"/>
      <c r="L118" s="1260"/>
      <c r="M118" s="450"/>
      <c r="N118" s="450"/>
      <c r="O118" s="450"/>
      <c r="P118" s="450"/>
      <c r="Q118" s="450"/>
      <c r="R118" s="437"/>
      <c r="S118" s="450"/>
      <c r="T118" s="450"/>
      <c r="U118" s="450"/>
      <c r="V118" s="437"/>
      <c r="W118" s="416"/>
      <c r="X118" s="416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/>
      <c r="AQ118" s="418"/>
      <c r="AR118" s="416"/>
      <c r="AS118" s="416"/>
      <c r="AT118" s="418"/>
      <c r="AU118" s="416"/>
      <c r="AV118" s="416"/>
      <c r="AW118" s="416"/>
      <c r="AX118" s="416"/>
      <c r="AY118" s="416"/>
      <c r="AZ118" s="416"/>
      <c r="BA118" s="416"/>
      <c r="BB118" s="416"/>
      <c r="BC118" s="416"/>
      <c r="BD118" s="416"/>
      <c r="BE118" s="416"/>
      <c r="BF118" s="416"/>
      <c r="BG118" s="416"/>
      <c r="BH118" s="416"/>
      <c r="BI118" s="416"/>
      <c r="BJ118" s="416"/>
      <c r="BK118" s="416"/>
      <c r="BL118" s="416"/>
      <c r="BM118" s="416"/>
      <c r="BN118" s="416"/>
      <c r="BO118" s="416"/>
      <c r="BP118" s="416"/>
      <c r="BQ118" s="416"/>
      <c r="BR118" s="416"/>
      <c r="BS118" s="416"/>
      <c r="BT118" s="416"/>
      <c r="BU118" s="416"/>
      <c r="BV118" s="416"/>
      <c r="BW118" s="416"/>
      <c r="BX118" s="416"/>
      <c r="BY118" s="416"/>
      <c r="BZ118" s="416"/>
      <c r="CA118" s="416"/>
      <c r="CB118" s="416"/>
      <c r="CC118" s="416"/>
      <c r="CD118" s="416"/>
      <c r="CE118" s="416"/>
      <c r="CF118" s="416"/>
      <c r="CG118" s="416"/>
      <c r="CH118" s="416"/>
      <c r="CI118" s="416"/>
      <c r="CJ118" s="416"/>
      <c r="CK118" s="416"/>
      <c r="CL118" s="416"/>
      <c r="CM118" s="416"/>
      <c r="CN118" s="416"/>
      <c r="CO118" s="416"/>
      <c r="CP118" s="416"/>
      <c r="CQ118" s="416"/>
      <c r="CR118" s="416"/>
      <c r="CS118" s="416"/>
      <c r="CT118" s="416"/>
      <c r="CU118" s="416"/>
      <c r="CV118" s="416"/>
      <c r="CW118" s="416"/>
      <c r="CX118" s="416"/>
      <c r="CY118" s="416"/>
      <c r="CZ118" s="416"/>
      <c r="DA118" s="416"/>
      <c r="DB118" s="416"/>
      <c r="DC118" s="416"/>
      <c r="DD118" s="416"/>
      <c r="DE118" s="416"/>
      <c r="DF118" s="416"/>
      <c r="DG118" s="416"/>
      <c r="DH118" s="416"/>
      <c r="DI118" s="416"/>
      <c r="DJ118" s="416"/>
      <c r="DK118" s="416"/>
      <c r="DL118" s="416"/>
      <c r="DM118" s="416"/>
      <c r="DN118" s="416"/>
      <c r="DO118" s="416"/>
      <c r="DP118" s="416"/>
      <c r="DQ118" s="416"/>
      <c r="DR118" s="416"/>
      <c r="DS118" s="416"/>
      <c r="DT118" s="416"/>
      <c r="DU118" s="416"/>
      <c r="DV118" s="416"/>
      <c r="DW118" s="416"/>
      <c r="DX118" s="416"/>
      <c r="DY118" s="416"/>
      <c r="DZ118" s="416"/>
      <c r="EA118" s="416"/>
      <c r="EB118" s="416"/>
      <c r="EC118" s="416"/>
      <c r="ED118" s="416"/>
      <c r="EE118" s="416"/>
      <c r="EF118" s="416"/>
      <c r="EG118" s="416"/>
      <c r="EH118" s="416"/>
      <c r="EI118" s="416"/>
      <c r="EJ118" s="416"/>
      <c r="EK118" s="416"/>
      <c r="EL118" s="416"/>
      <c r="EM118" s="416"/>
      <c r="EN118" s="416"/>
      <c r="EO118" s="416"/>
      <c r="EP118" s="416"/>
      <c r="EQ118" s="416"/>
      <c r="ER118" s="416"/>
      <c r="ES118" s="416"/>
      <c r="ET118" s="416"/>
      <c r="EU118" s="416"/>
      <c r="EV118" s="416"/>
      <c r="EW118" s="416"/>
      <c r="EX118" s="416"/>
      <c r="EY118" s="416"/>
      <c r="EZ118" s="416"/>
      <c r="FA118" s="416"/>
      <c r="FB118" s="416"/>
      <c r="FC118" s="416"/>
      <c r="FD118" s="416"/>
      <c r="FE118" s="416"/>
    </row>
    <row r="119" spans="1:161" s="445" customFormat="1" ht="15.75" customHeight="1">
      <c r="A119" s="692"/>
      <c r="B119" s="1447"/>
      <c r="C119" s="932" t="str">
        <f t="shared" si="11"/>
        <v>N/A</v>
      </c>
      <c r="D119" s="1207" t="str">
        <f t="shared" si="12"/>
        <v>N/A</v>
      </c>
      <c r="E119" s="356">
        <v>15</v>
      </c>
      <c r="F119" s="1262">
        <v>0.2</v>
      </c>
      <c r="G119" s="1259"/>
      <c r="H119" s="1257"/>
      <c r="I119" s="1257"/>
      <c r="J119" s="1260"/>
      <c r="K119" s="1260"/>
      <c r="L119" s="1260"/>
      <c r="M119" s="450"/>
      <c r="N119" s="450"/>
      <c r="O119" s="450"/>
      <c r="P119" s="450"/>
      <c r="Q119" s="450"/>
      <c r="R119" s="416"/>
      <c r="S119" s="437"/>
      <c r="T119" s="450"/>
      <c r="U119" s="450"/>
      <c r="V119" s="416"/>
      <c r="W119" s="416"/>
      <c r="X119" s="416"/>
      <c r="Y119" s="416"/>
      <c r="Z119" s="416"/>
      <c r="AA119" s="416"/>
      <c r="AB119" s="416"/>
      <c r="AC119" s="416"/>
      <c r="AD119" s="416"/>
      <c r="AE119" s="416"/>
      <c r="AF119" s="416"/>
      <c r="AG119" s="416"/>
      <c r="AH119" s="416"/>
      <c r="AI119" s="416"/>
      <c r="AJ119" s="416"/>
      <c r="AK119" s="416"/>
      <c r="AL119" s="416"/>
      <c r="AM119" s="416"/>
      <c r="AN119" s="416"/>
      <c r="AO119" s="416"/>
      <c r="AP119" s="416"/>
      <c r="AQ119" s="418"/>
      <c r="AR119" s="416"/>
      <c r="AS119" s="416"/>
      <c r="AT119" s="418"/>
      <c r="AU119" s="416"/>
      <c r="AV119" s="416"/>
      <c r="AW119" s="416"/>
      <c r="AX119" s="416"/>
      <c r="AY119" s="416"/>
      <c r="AZ119" s="416"/>
      <c r="BA119" s="416"/>
      <c r="BB119" s="416"/>
      <c r="BC119" s="416"/>
      <c r="BD119" s="416"/>
      <c r="BE119" s="416"/>
      <c r="BF119" s="416"/>
      <c r="BG119" s="416"/>
      <c r="BH119" s="416"/>
      <c r="BI119" s="416"/>
      <c r="BJ119" s="416"/>
      <c r="BK119" s="416"/>
      <c r="BL119" s="416"/>
      <c r="BM119" s="416"/>
      <c r="BN119" s="416"/>
      <c r="BO119" s="416"/>
      <c r="BP119" s="416"/>
      <c r="BQ119" s="416"/>
      <c r="BR119" s="416"/>
      <c r="BS119" s="416"/>
      <c r="BT119" s="416"/>
      <c r="BU119" s="416"/>
      <c r="BV119" s="416"/>
      <c r="BW119" s="416"/>
      <c r="BX119" s="416"/>
      <c r="BY119" s="416"/>
      <c r="BZ119" s="416"/>
      <c r="CA119" s="416"/>
      <c r="CB119" s="416"/>
      <c r="CC119" s="416"/>
      <c r="CD119" s="416"/>
      <c r="CE119" s="416"/>
      <c r="CF119" s="416"/>
      <c r="CG119" s="416"/>
      <c r="CH119" s="416"/>
      <c r="CI119" s="416"/>
      <c r="CJ119" s="416"/>
      <c r="CK119" s="416"/>
      <c r="CL119" s="416"/>
      <c r="CM119" s="416"/>
      <c r="CN119" s="416"/>
      <c r="CO119" s="416"/>
      <c r="CP119" s="416"/>
      <c r="CQ119" s="416"/>
      <c r="CR119" s="416"/>
      <c r="CS119" s="416"/>
      <c r="CT119" s="416"/>
      <c r="CU119" s="416"/>
      <c r="CV119" s="416"/>
      <c r="CW119" s="416"/>
      <c r="CX119" s="416"/>
      <c r="CY119" s="416"/>
      <c r="CZ119" s="416"/>
      <c r="DA119" s="416"/>
      <c r="DB119" s="416"/>
      <c r="DC119" s="416"/>
      <c r="DD119" s="416"/>
      <c r="DE119" s="416"/>
      <c r="DF119" s="416"/>
      <c r="DG119" s="416"/>
      <c r="DH119" s="416"/>
      <c r="DI119" s="416"/>
      <c r="DJ119" s="416"/>
      <c r="DK119" s="416"/>
      <c r="DL119" s="416"/>
      <c r="DM119" s="416"/>
      <c r="DN119" s="416"/>
      <c r="DO119" s="416"/>
      <c r="DP119" s="416"/>
      <c r="DQ119" s="416"/>
      <c r="DR119" s="416"/>
      <c r="DS119" s="416"/>
      <c r="DT119" s="416"/>
      <c r="DU119" s="416"/>
      <c r="DV119" s="416"/>
      <c r="DW119" s="416"/>
      <c r="DX119" s="416"/>
      <c r="DY119" s="416"/>
      <c r="DZ119" s="416"/>
      <c r="EA119" s="416"/>
      <c r="EB119" s="416"/>
      <c r="EC119" s="416"/>
      <c r="ED119" s="416"/>
      <c r="EE119" s="416"/>
      <c r="EF119" s="416"/>
      <c r="EG119" s="416"/>
      <c r="EH119" s="416"/>
      <c r="EI119" s="416"/>
      <c r="EJ119" s="416"/>
      <c r="EK119" s="416"/>
      <c r="EL119" s="416"/>
      <c r="EM119" s="416"/>
      <c r="EN119" s="416"/>
      <c r="EO119" s="416"/>
      <c r="EP119" s="416"/>
      <c r="EQ119" s="416"/>
      <c r="ER119" s="416"/>
      <c r="ES119" s="416"/>
      <c r="ET119" s="416"/>
      <c r="EU119" s="416"/>
      <c r="EV119" s="416"/>
      <c r="EW119" s="416"/>
      <c r="EX119" s="416"/>
      <c r="EY119" s="416"/>
      <c r="EZ119" s="416"/>
      <c r="FA119" s="416"/>
      <c r="FB119" s="416"/>
      <c r="FC119" s="416"/>
      <c r="FD119" s="416"/>
      <c r="FE119" s="416"/>
    </row>
    <row r="120" spans="1:161" s="445" customFormat="1" ht="16.5" customHeight="1">
      <c r="A120" s="692"/>
      <c r="B120" s="1447"/>
      <c r="C120" s="932" t="str">
        <f t="shared" si="11"/>
        <v>N/A</v>
      </c>
      <c r="D120" s="1207" t="str">
        <f t="shared" si="12"/>
        <v>N/A</v>
      </c>
      <c r="E120" s="356">
        <v>15</v>
      </c>
      <c r="F120" s="1262">
        <v>0.2</v>
      </c>
      <c r="G120" s="1259"/>
      <c r="H120" s="1257"/>
      <c r="I120" s="1257"/>
      <c r="J120" s="1260"/>
      <c r="K120" s="1260"/>
      <c r="L120" s="1260"/>
      <c r="M120" s="450"/>
      <c r="N120" s="450"/>
      <c r="O120" s="450"/>
      <c r="P120" s="450"/>
      <c r="Q120" s="437"/>
      <c r="R120" s="416"/>
      <c r="S120" s="416"/>
      <c r="T120" s="437"/>
      <c r="U120" s="450"/>
      <c r="V120" s="416"/>
      <c r="W120" s="416"/>
      <c r="X120" s="416"/>
      <c r="Y120" s="416"/>
      <c r="Z120" s="418"/>
      <c r="AA120" s="416"/>
      <c r="AB120" s="416"/>
      <c r="AC120" s="416"/>
      <c r="AD120" s="416"/>
      <c r="AE120" s="416"/>
      <c r="AF120" s="416"/>
      <c r="AG120" s="416"/>
      <c r="AH120" s="416"/>
      <c r="AI120" s="416"/>
      <c r="AJ120" s="416"/>
      <c r="AK120" s="416"/>
      <c r="AL120" s="416"/>
      <c r="AM120" s="416"/>
      <c r="AN120" s="418"/>
      <c r="AO120" s="418"/>
      <c r="AP120" s="416"/>
      <c r="AQ120" s="418"/>
      <c r="AR120" s="416"/>
      <c r="AS120" s="416"/>
      <c r="AT120" s="418"/>
      <c r="AU120" s="416"/>
      <c r="AV120" s="416"/>
      <c r="AW120" s="416"/>
      <c r="AX120" s="416"/>
      <c r="AY120" s="416"/>
      <c r="AZ120" s="416"/>
      <c r="BA120" s="416"/>
      <c r="BB120" s="416"/>
      <c r="BC120" s="416"/>
      <c r="BD120" s="416"/>
      <c r="BE120" s="416"/>
      <c r="BF120" s="416"/>
      <c r="BG120" s="416"/>
      <c r="BH120" s="416"/>
      <c r="BI120" s="416"/>
      <c r="BJ120" s="416"/>
      <c r="BK120" s="416"/>
      <c r="BL120" s="416"/>
      <c r="BM120" s="416"/>
      <c r="BN120" s="416"/>
      <c r="BO120" s="416"/>
      <c r="BP120" s="416"/>
      <c r="BQ120" s="416"/>
      <c r="BR120" s="416"/>
      <c r="BS120" s="416"/>
      <c r="BT120" s="416"/>
      <c r="BU120" s="416"/>
      <c r="BV120" s="416"/>
      <c r="BW120" s="416"/>
      <c r="BX120" s="416"/>
      <c r="BY120" s="416"/>
      <c r="BZ120" s="416"/>
      <c r="CA120" s="416"/>
      <c r="CB120" s="416"/>
      <c r="CC120" s="416"/>
      <c r="CD120" s="416"/>
      <c r="CE120" s="416"/>
      <c r="CF120" s="416"/>
      <c r="CG120" s="416"/>
      <c r="CH120" s="416"/>
      <c r="CI120" s="416"/>
      <c r="CJ120" s="416"/>
      <c r="CK120" s="416"/>
      <c r="CL120" s="416"/>
      <c r="CM120" s="416"/>
      <c r="CN120" s="416"/>
      <c r="CO120" s="416"/>
      <c r="CP120" s="416"/>
      <c r="CQ120" s="416"/>
      <c r="CR120" s="416"/>
      <c r="CS120" s="416"/>
      <c r="CT120" s="416"/>
      <c r="CU120" s="416"/>
      <c r="CV120" s="416"/>
      <c r="CW120" s="416"/>
      <c r="CX120" s="416"/>
      <c r="CY120" s="416"/>
      <c r="CZ120" s="416"/>
      <c r="DA120" s="416"/>
      <c r="DB120" s="416"/>
      <c r="DC120" s="416"/>
      <c r="DD120" s="416"/>
      <c r="DE120" s="416"/>
      <c r="DF120" s="416"/>
      <c r="DG120" s="416"/>
      <c r="DH120" s="416"/>
      <c r="DI120" s="416"/>
      <c r="DJ120" s="416"/>
      <c r="DK120" s="416"/>
      <c r="DL120" s="416"/>
      <c r="DM120" s="416"/>
      <c r="DN120" s="416"/>
      <c r="DO120" s="416"/>
      <c r="DP120" s="416"/>
      <c r="DQ120" s="416"/>
      <c r="DR120" s="416"/>
      <c r="DS120" s="416"/>
      <c r="DT120" s="416"/>
      <c r="DU120" s="416"/>
      <c r="DV120" s="416"/>
      <c r="DW120" s="416"/>
      <c r="DX120" s="416"/>
      <c r="DY120" s="416"/>
      <c r="DZ120" s="416"/>
      <c r="EA120" s="416"/>
      <c r="EB120" s="416"/>
      <c r="EC120" s="416"/>
      <c r="ED120" s="416"/>
      <c r="EE120" s="416"/>
      <c r="EF120" s="416"/>
      <c r="EG120" s="416"/>
      <c r="EH120" s="416"/>
      <c r="EI120" s="416"/>
      <c r="EJ120" s="416"/>
      <c r="EK120" s="416"/>
      <c r="EL120" s="416"/>
      <c r="EM120" s="416"/>
      <c r="EN120" s="416"/>
      <c r="EO120" s="416"/>
      <c r="EP120" s="416"/>
      <c r="EQ120" s="416"/>
      <c r="ER120" s="416"/>
      <c r="ES120" s="416"/>
      <c r="ET120" s="416"/>
      <c r="EU120" s="416"/>
      <c r="EV120" s="416"/>
      <c r="EW120" s="416"/>
      <c r="EX120" s="416"/>
      <c r="EY120" s="416"/>
      <c r="EZ120" s="416"/>
      <c r="FA120" s="416"/>
      <c r="FB120" s="416"/>
      <c r="FC120" s="416"/>
      <c r="FD120" s="416"/>
      <c r="FE120" s="416"/>
    </row>
    <row r="121" spans="1:161" ht="16.5" thickBot="1">
      <c r="A121" s="692"/>
      <c r="B121" s="1447"/>
      <c r="C121" s="676" t="str">
        <f t="shared" si="11"/>
        <v>N/A</v>
      </c>
      <c r="D121" s="621" t="str">
        <f t="shared" si="12"/>
        <v>N/A</v>
      </c>
      <c r="E121" s="929">
        <v>0</v>
      </c>
      <c r="F121" s="1263">
        <v>0</v>
      </c>
      <c r="G121" s="1259"/>
      <c r="H121" s="1257"/>
      <c r="I121" s="1257"/>
      <c r="J121" s="1260"/>
      <c r="K121" s="1260"/>
      <c r="L121" s="1260"/>
      <c r="M121" s="450"/>
      <c r="N121" s="450"/>
      <c r="O121" s="450"/>
      <c r="P121" s="450"/>
      <c r="U121" s="437"/>
      <c r="AN121" s="418"/>
      <c r="AO121" s="418"/>
      <c r="AQ121" s="418"/>
      <c r="AT121" s="418"/>
    </row>
    <row r="122" spans="1:161" ht="16.5" thickBot="1">
      <c r="A122" s="692"/>
      <c r="B122" s="451"/>
      <c r="C122" s="416"/>
      <c r="E122" s="1053"/>
      <c r="F122" s="1053"/>
      <c r="G122" s="1257"/>
      <c r="H122" s="1261"/>
      <c r="I122" s="1261"/>
      <c r="J122" s="1260"/>
      <c r="K122" s="1260"/>
      <c r="L122" s="1260"/>
      <c r="M122" s="437"/>
      <c r="N122" s="437"/>
      <c r="O122" s="437"/>
      <c r="AG122" s="418"/>
      <c r="AM122" s="418"/>
      <c r="AP122" s="418"/>
    </row>
    <row r="123" spans="1:161">
      <c r="A123" s="692"/>
      <c r="B123" s="451"/>
      <c r="C123" s="424" t="s">
        <v>1031</v>
      </c>
      <c r="D123" s="421" t="s">
        <v>1549</v>
      </c>
      <c r="E123" s="425" t="s">
        <v>1136</v>
      </c>
      <c r="J123" s="448"/>
      <c r="K123" s="448"/>
      <c r="W123" s="418"/>
      <c r="AG123" s="418"/>
      <c r="AM123" s="418"/>
      <c r="AP123" s="418"/>
    </row>
    <row r="124" spans="1:161">
      <c r="A124" s="692"/>
      <c r="B124" s="451"/>
      <c r="C124" s="934" t="s">
        <v>1026</v>
      </c>
      <c r="D124" s="1416">
        <v>5</v>
      </c>
      <c r="E124" s="354">
        <v>1</v>
      </c>
      <c r="AF124" s="418"/>
      <c r="AM124" s="418"/>
      <c r="AP124" s="418"/>
    </row>
    <row r="125" spans="1:161">
      <c r="A125" s="692"/>
      <c r="B125" s="451"/>
      <c r="C125" s="934" t="s">
        <v>1027</v>
      </c>
      <c r="D125" s="1429">
        <f>SUM(E$93:E$99)*E125</f>
        <v>0</v>
      </c>
      <c r="E125" s="354"/>
      <c r="AJ125" s="418"/>
      <c r="AQ125" s="418"/>
      <c r="AT125" s="418"/>
    </row>
    <row r="126" spans="1:161">
      <c r="A126" s="692"/>
      <c r="B126" s="451"/>
      <c r="C126" s="934" t="s">
        <v>1028</v>
      </c>
      <c r="D126" s="1416">
        <v>0</v>
      </c>
      <c r="E126" s="354"/>
      <c r="V126" s="418"/>
      <c r="Z126" s="418"/>
      <c r="AJ126" s="418"/>
      <c r="AQ126" s="418"/>
    </row>
    <row r="127" spans="1:161">
      <c r="A127" s="692"/>
      <c r="B127" s="451"/>
      <c r="C127" s="934" t="s">
        <v>1029</v>
      </c>
      <c r="D127" s="1416">
        <v>0</v>
      </c>
      <c r="E127" s="354">
        <v>0</v>
      </c>
      <c r="W127" s="418"/>
      <c r="AJ127" s="418"/>
      <c r="AQ127" s="418"/>
    </row>
    <row r="128" spans="1:161" ht="16.5" thickBot="1">
      <c r="A128" s="692"/>
      <c r="B128" s="582"/>
      <c r="C128" s="935" t="s">
        <v>1030</v>
      </c>
      <c r="D128" s="1430">
        <f>SUM(E$93:E$99)*E128</f>
        <v>0</v>
      </c>
      <c r="E128" s="933"/>
      <c r="U128" s="418"/>
      <c r="X128" s="418"/>
      <c r="AG128" s="418"/>
      <c r="AJ128" s="418"/>
    </row>
    <row r="129" spans="1:57" ht="16.5" thickBot="1">
      <c r="A129" s="692"/>
      <c r="B129" s="427"/>
      <c r="C129" s="416"/>
      <c r="E129" s="592">
        <f>1-SUM(E124:E128)</f>
        <v>0</v>
      </c>
      <c r="Y129" s="418"/>
      <c r="AJ129" s="418"/>
    </row>
    <row r="130" spans="1:57">
      <c r="A130" s="692"/>
      <c r="B130" s="1441" t="s">
        <v>641</v>
      </c>
      <c r="C130" s="424"/>
      <c r="D130" s="576"/>
      <c r="E130" s="578" t="s">
        <v>1134</v>
      </c>
      <c r="F130" s="437" t="s">
        <v>644</v>
      </c>
      <c r="G130" s="437" t="s">
        <v>645</v>
      </c>
      <c r="H130" s="437" t="s">
        <v>665</v>
      </c>
      <c r="I130" s="437" t="s">
        <v>666</v>
      </c>
      <c r="T130" s="418"/>
      <c r="AJ130" s="418"/>
    </row>
    <row r="131" spans="1:57">
      <c r="A131" s="692"/>
      <c r="B131" s="1442"/>
      <c r="C131" s="900" t="s">
        <v>661</v>
      </c>
      <c r="D131" s="84" t="s">
        <v>125</v>
      </c>
      <c r="E131" s="579">
        <f>0 + IF(D91 = "Rice",F91,0) + IF(D92 = "Rice",F92,0)+ IF(D93 = "Rice",F93,0)+ IF(D94 = "Rice",F94,0)+ IF(D95 = "Rice",F95,0)+ IF(D96 = "Rice",F96,0)+ IF(D97= "Rice",F97,0)</f>
        <v>0</v>
      </c>
      <c r="F131" s="437"/>
      <c r="G131" s="437"/>
      <c r="H131" s="437"/>
      <c r="I131" s="437"/>
    </row>
    <row r="132" spans="1:57" ht="13.5" customHeight="1">
      <c r="A132" s="692"/>
      <c r="B132" s="1442"/>
      <c r="C132" s="900" t="s">
        <v>1060</v>
      </c>
      <c r="D132" s="84" t="s">
        <v>378</v>
      </c>
      <c r="E132" s="580"/>
      <c r="F132" s="437">
        <v>0</v>
      </c>
      <c r="G132" s="437">
        <v>0</v>
      </c>
      <c r="H132" s="437">
        <v>0</v>
      </c>
      <c r="I132" s="437">
        <v>0</v>
      </c>
    </row>
    <row r="133" spans="1:57">
      <c r="A133" s="692"/>
      <c r="B133" s="1442"/>
      <c r="C133" s="900" t="s">
        <v>662</v>
      </c>
      <c r="D133" s="84" t="s">
        <v>594</v>
      </c>
      <c r="E133" s="580" t="s">
        <v>786</v>
      </c>
      <c r="F133" s="437" t="s">
        <v>786</v>
      </c>
      <c r="G133" s="437" t="s">
        <v>786</v>
      </c>
      <c r="H133" s="437" t="s">
        <v>786</v>
      </c>
      <c r="I133" s="437" t="s">
        <v>786</v>
      </c>
    </row>
    <row r="134" spans="1:57" ht="47.25">
      <c r="A134" s="692"/>
      <c r="B134" s="1442"/>
      <c r="C134" s="900" t="s">
        <v>1059</v>
      </c>
      <c r="D134" s="84" t="s">
        <v>664</v>
      </c>
      <c r="E134" s="580" t="s">
        <v>189</v>
      </c>
      <c r="F134" s="437"/>
      <c r="G134" s="437"/>
      <c r="H134" s="437"/>
      <c r="I134" s="437"/>
    </row>
    <row r="135" spans="1:57">
      <c r="A135" s="692"/>
      <c r="B135" s="1442"/>
      <c r="C135" s="936" t="s">
        <v>741</v>
      </c>
      <c r="D135" s="84" t="s">
        <v>594</v>
      </c>
      <c r="E135" s="580" t="s">
        <v>198</v>
      </c>
      <c r="F135" s="437"/>
      <c r="G135" s="437"/>
      <c r="H135" s="437"/>
      <c r="I135" s="437"/>
    </row>
    <row r="136" spans="1:57" ht="16.5" thickBot="1">
      <c r="A136" s="692"/>
      <c r="B136" s="1443"/>
      <c r="C136" s="937" t="s">
        <v>742</v>
      </c>
      <c r="D136" s="577" t="s">
        <v>1050</v>
      </c>
      <c r="E136" s="581">
        <f>IF(SUM(F136:L136)=0, 0, AVERAGEIF(F136:L136, "&lt;&gt;0"))</f>
        <v>0</v>
      </c>
      <c r="F136" s="471">
        <f>IF(D115="Rice", E115, 0)</f>
        <v>0</v>
      </c>
      <c r="G136" s="471">
        <f>IF(D116="Rice", E116, 0)</f>
        <v>0</v>
      </c>
      <c r="H136" s="471">
        <f>IF(D117="Rice", E117, 0)</f>
        <v>0</v>
      </c>
      <c r="I136" s="471">
        <f>IF(D118="Rice", E118, 0)</f>
        <v>0</v>
      </c>
      <c r="J136" s="471">
        <f>IF(D119="Rice", E119, 0)</f>
        <v>0</v>
      </c>
      <c r="K136" s="471">
        <f>IF(D120="Rice", E120, 0)</f>
        <v>0</v>
      </c>
      <c r="L136" s="471">
        <f>IF(D121="Rice", E121, 0)</f>
        <v>0</v>
      </c>
      <c r="BD136" s="418"/>
    </row>
    <row r="137" spans="1:57">
      <c r="A137" s="692"/>
      <c r="C137" s="453"/>
      <c r="D137" s="418"/>
      <c r="E137" s="476"/>
      <c r="F137" s="471"/>
      <c r="G137" s="471"/>
      <c r="H137" s="471"/>
      <c r="I137" s="471"/>
      <c r="J137" s="471"/>
      <c r="K137" s="471"/>
      <c r="L137" s="471"/>
      <c r="BD137" s="418"/>
    </row>
    <row r="138" spans="1:57">
      <c r="A138" s="692"/>
      <c r="C138" s="453"/>
      <c r="D138" s="418"/>
      <c r="E138" s="476"/>
      <c r="F138" s="471"/>
      <c r="G138" s="471"/>
      <c r="H138" s="471"/>
      <c r="I138" s="471"/>
      <c r="J138" s="471"/>
      <c r="K138" s="471"/>
      <c r="L138" s="471"/>
      <c r="BD138" s="418"/>
    </row>
    <row r="139" spans="1:57">
      <c r="A139" s="430"/>
      <c r="C139" s="453"/>
      <c r="D139" s="418"/>
      <c r="E139" s="476"/>
      <c r="F139" s="471"/>
      <c r="G139" s="471"/>
      <c r="H139" s="471"/>
      <c r="I139" s="471"/>
      <c r="J139" s="471"/>
      <c r="K139" s="471"/>
      <c r="L139" s="471"/>
      <c r="BD139" s="418"/>
    </row>
    <row r="140" spans="1:57" ht="31.5">
      <c r="B140" s="419" t="s">
        <v>1188</v>
      </c>
      <c r="C140" s="415"/>
      <c r="D140" s="415"/>
      <c r="E140" s="420"/>
      <c r="F140" s="415"/>
      <c r="G140" s="415"/>
      <c r="H140" s="415"/>
      <c r="I140" s="415"/>
      <c r="J140" s="415"/>
      <c r="K140" s="415"/>
      <c r="L140" s="415"/>
      <c r="M140" s="415"/>
      <c r="N140" s="415"/>
      <c r="O140" s="415"/>
      <c r="P140" s="415"/>
      <c r="Q140" s="415"/>
      <c r="R140" s="415"/>
      <c r="S140" s="415"/>
      <c r="T140" s="415"/>
      <c r="U140" s="415"/>
      <c r="V140" s="415"/>
      <c r="W140" s="415"/>
      <c r="X140" s="415"/>
      <c r="Y140" s="415"/>
      <c r="Z140" s="415"/>
      <c r="AA140" s="415"/>
      <c r="AB140" s="415"/>
      <c r="AC140" s="415"/>
      <c r="AD140" s="415"/>
      <c r="AE140" s="415"/>
      <c r="AF140" s="415"/>
      <c r="BD140" s="418"/>
      <c r="BE140" s="418"/>
    </row>
    <row r="141" spans="1:57" ht="16.5" thickBot="1">
      <c r="A141" s="430"/>
      <c r="C141" s="453"/>
      <c r="D141" s="418"/>
      <c r="E141" s="452"/>
      <c r="F141" s="452"/>
      <c r="G141" s="448"/>
      <c r="H141" s="448"/>
      <c r="I141" s="448"/>
      <c r="BD141" s="418"/>
      <c r="BE141" s="418"/>
    </row>
    <row r="142" spans="1:57" ht="16.5" thickBot="1">
      <c r="B142" s="1033" t="s">
        <v>1465</v>
      </c>
      <c r="C142" s="332"/>
      <c r="D142" s="332"/>
      <c r="E142" s="332"/>
      <c r="F142" s="333"/>
      <c r="J142" s="670"/>
      <c r="K142" s="670"/>
      <c r="L142" s="670"/>
      <c r="BD142" s="418"/>
      <c r="BE142" s="418"/>
    </row>
    <row r="143" spans="1:57" ht="31.5">
      <c r="B143" s="588"/>
      <c r="C143" s="721" t="s">
        <v>1172</v>
      </c>
      <c r="D143" s="681" t="s">
        <v>1468</v>
      </c>
      <c r="E143" s="682" t="s">
        <v>1186</v>
      </c>
      <c r="F143" s="682" t="s">
        <v>1175</v>
      </c>
      <c r="I143" s="654"/>
      <c r="J143" s="672"/>
      <c r="K143" s="673"/>
      <c r="L143" s="673"/>
      <c r="M143" s="674"/>
      <c r="BE143" s="418"/>
    </row>
    <row r="144" spans="1:57">
      <c r="B144" s="428" t="str">
        <f t="shared" ref="B144:B157" si="13">C17</f>
        <v>Cows (improved)</v>
      </c>
      <c r="C144" s="721">
        <f>D17</f>
        <v>1</v>
      </c>
      <c r="D144" s="1135">
        <f>VLOOKUP(B144,'Livestock parameters'!$A$20:AK$37,34,FALSE)</f>
        <v>900</v>
      </c>
      <c r="E144" s="1136">
        <f>VLOOKUP(B144,'Livestock parameters'!$A$20:AN$37,36,FALSE)</f>
        <v>0</v>
      </c>
      <c r="F144" s="653"/>
      <c r="J144" s="672"/>
      <c r="K144" s="720"/>
      <c r="L144" s="673"/>
      <c r="M144" s="674"/>
      <c r="BE144" s="418"/>
    </row>
    <row r="145" spans="2:57">
      <c r="B145" s="428" t="str">
        <f t="shared" si="13"/>
        <v>Steers/heifers (improved)</v>
      </c>
      <c r="C145" s="721">
        <f t="shared" ref="C145:C157" si="14">D18</f>
        <v>1</v>
      </c>
      <c r="D145" s="1135">
        <f>VLOOKUP(B145,'Livestock parameters'!$A$20:AK$37,34,FALSE)</f>
        <v>250</v>
      </c>
      <c r="E145" s="1136">
        <f>VLOOKUP(B145,'Livestock parameters'!$A$20:AN$37,36,FALSE)</f>
        <v>0</v>
      </c>
      <c r="F145" s="653"/>
      <c r="J145" s="672"/>
      <c r="K145" s="673"/>
      <c r="L145" s="673"/>
      <c r="M145" s="674"/>
      <c r="BE145" s="418"/>
    </row>
    <row r="146" spans="2:57">
      <c r="B146" s="428">
        <f t="shared" si="13"/>
        <v>0</v>
      </c>
      <c r="C146" s="721">
        <f t="shared" si="14"/>
        <v>0</v>
      </c>
      <c r="D146" s="1135" t="e">
        <f>VLOOKUP(B146,'Livestock parameters'!$A$20:AK$37,34,FALSE)</f>
        <v>#N/A</v>
      </c>
      <c r="E146" s="1136" t="e">
        <f>VLOOKUP(B146,'Livestock parameters'!$A$20:AN$37,36,FALSE)</f>
        <v>#N/A</v>
      </c>
      <c r="F146" s="653"/>
      <c r="J146" s="672"/>
      <c r="K146" s="673"/>
      <c r="L146" s="673"/>
      <c r="M146" s="674"/>
      <c r="BE146" s="418"/>
    </row>
    <row r="147" spans="2:57">
      <c r="B147" s="428">
        <f t="shared" si="13"/>
        <v>0</v>
      </c>
      <c r="C147" s="721">
        <f t="shared" si="14"/>
        <v>0</v>
      </c>
      <c r="D147" s="1135" t="e">
        <f>VLOOKUP(B147,'Livestock parameters'!$A$20:AK$37,34,FALSE)</f>
        <v>#N/A</v>
      </c>
      <c r="E147" s="1136" t="e">
        <f>VLOOKUP(B147,'Livestock parameters'!$A$20:AN$37,36,FALSE)</f>
        <v>#N/A</v>
      </c>
      <c r="F147" s="653"/>
      <c r="J147" s="671"/>
      <c r="K147" s="671"/>
      <c r="L147" s="671"/>
      <c r="M147" s="427"/>
    </row>
    <row r="148" spans="2:57">
      <c r="B148" s="428">
        <f t="shared" si="13"/>
        <v>0</v>
      </c>
      <c r="C148" s="721">
        <f t="shared" si="14"/>
        <v>0</v>
      </c>
      <c r="D148" s="1135" t="e">
        <f>VLOOKUP(B148,'Livestock parameters'!$A$20:AK$37,34,FALSE)</f>
        <v>#N/A</v>
      </c>
      <c r="E148" s="1136" t="e">
        <f>VLOOKUP(B148,'Livestock parameters'!$A$20:AN$37,36,FALSE)</f>
        <v>#N/A</v>
      </c>
      <c r="F148" s="653"/>
      <c r="J148" s="923"/>
    </row>
    <row r="149" spans="2:57">
      <c r="B149" s="428">
        <f t="shared" si="13"/>
        <v>0</v>
      </c>
      <c r="C149" s="721">
        <v>2</v>
      </c>
      <c r="D149" s="1135" t="e">
        <f>VLOOKUP(B149,'Livestock parameters'!$A$20:AK$37,34,FALSE)</f>
        <v>#N/A</v>
      </c>
      <c r="E149" s="1136" t="e">
        <f>VLOOKUP(B149,'Livestock parameters'!$A$20:AN$37,36,FALSE)</f>
        <v>#N/A</v>
      </c>
      <c r="F149" s="653"/>
      <c r="J149" s="923"/>
    </row>
    <row r="150" spans="2:57">
      <c r="B150" s="428">
        <f t="shared" si="13"/>
        <v>0</v>
      </c>
      <c r="C150" s="721">
        <v>2</v>
      </c>
      <c r="D150" s="1135" t="e">
        <f>VLOOKUP(B150,'Livestock parameters'!$A$20:AK$37,34,FALSE)</f>
        <v>#N/A</v>
      </c>
      <c r="E150" s="1136" t="e">
        <f>VLOOKUP(B150,'Livestock parameters'!$A$20:AN$37,36,FALSE)</f>
        <v>#N/A</v>
      </c>
      <c r="F150" s="653"/>
      <c r="J150" s="923"/>
    </row>
    <row r="151" spans="2:57">
      <c r="B151" s="428">
        <f t="shared" si="13"/>
        <v>0</v>
      </c>
      <c r="C151" s="721">
        <f t="shared" si="14"/>
        <v>0</v>
      </c>
      <c r="D151" s="1135" t="e">
        <f>VLOOKUP(B151,'Livestock parameters'!$A$20:AK$37,34,FALSE)</f>
        <v>#N/A</v>
      </c>
      <c r="E151" s="1136" t="e">
        <f>VLOOKUP(B151,'Livestock parameters'!$A$20:AN$37,36,FALSE)</f>
        <v>#N/A</v>
      </c>
      <c r="F151" s="653"/>
      <c r="J151" s="923"/>
    </row>
    <row r="152" spans="2:57">
      <c r="B152" s="428">
        <f t="shared" si="13"/>
        <v>0</v>
      </c>
      <c r="C152" s="721">
        <f t="shared" si="14"/>
        <v>0</v>
      </c>
      <c r="D152" s="1135" t="e">
        <f>VLOOKUP(B152,'Livestock parameters'!$A$20:AK$37,34,FALSE)</f>
        <v>#N/A</v>
      </c>
      <c r="E152" s="1136" t="e">
        <f>VLOOKUP(B152,'Livestock parameters'!$A$20:AN$37,36,FALSE)</f>
        <v>#N/A</v>
      </c>
      <c r="F152" s="653"/>
      <c r="J152" s="923"/>
    </row>
    <row r="153" spans="2:57">
      <c r="B153" s="428">
        <f t="shared" si="13"/>
        <v>0</v>
      </c>
      <c r="C153" s="721">
        <f t="shared" si="14"/>
        <v>0</v>
      </c>
      <c r="D153" s="1135" t="e">
        <f>VLOOKUP(B153,'Livestock parameters'!$A$20:AK$37,34,FALSE)</f>
        <v>#N/A</v>
      </c>
      <c r="E153" s="1136" t="e">
        <f>VLOOKUP(B153,'Livestock parameters'!$A$20:AN$37,36,FALSE)</f>
        <v>#N/A</v>
      </c>
      <c r="F153" s="653"/>
    </row>
    <row r="154" spans="2:57">
      <c r="B154" s="428">
        <f t="shared" si="13"/>
        <v>0</v>
      </c>
      <c r="C154" s="721">
        <f t="shared" si="14"/>
        <v>0</v>
      </c>
      <c r="D154" s="1135" t="e">
        <f>VLOOKUP(B154,'Livestock parameters'!$A$20:AK$37,34,FALSE)</f>
        <v>#N/A</v>
      </c>
      <c r="E154" s="1136" t="e">
        <f>VLOOKUP(B154,'Livestock parameters'!$A$20:AN$37,36,FALSE)</f>
        <v>#N/A</v>
      </c>
      <c r="F154" s="653"/>
    </row>
    <row r="155" spans="2:57">
      <c r="B155" s="428">
        <f t="shared" si="13"/>
        <v>0</v>
      </c>
      <c r="C155" s="721">
        <f t="shared" si="14"/>
        <v>0</v>
      </c>
      <c r="D155" s="1135" t="e">
        <f>VLOOKUP(B155,'Livestock parameters'!$A$20:AK$37,34,FALSE)</f>
        <v>#N/A</v>
      </c>
      <c r="E155" s="1136" t="e">
        <f>VLOOKUP(B155,'Livestock parameters'!$A$20:AN$37,36,FALSE)</f>
        <v>#N/A</v>
      </c>
      <c r="F155" s="653"/>
    </row>
    <row r="156" spans="2:57">
      <c r="B156" s="428">
        <f t="shared" si="13"/>
        <v>0</v>
      </c>
      <c r="C156" s="721">
        <f t="shared" si="14"/>
        <v>0</v>
      </c>
      <c r="D156" s="1135" t="e">
        <f>VLOOKUP(B156,'Livestock parameters'!$A$20:AK$37,34,FALSE)</f>
        <v>#N/A</v>
      </c>
      <c r="E156" s="1136" t="e">
        <f>VLOOKUP(B156,'Livestock parameters'!$A$20:AN$37,36,FALSE)</f>
        <v>#N/A</v>
      </c>
      <c r="F156" s="653"/>
    </row>
    <row r="157" spans="2:57" ht="16.5" thickBot="1">
      <c r="B157" s="428">
        <f t="shared" si="13"/>
        <v>0</v>
      </c>
      <c r="C157" s="721">
        <f t="shared" si="14"/>
        <v>0</v>
      </c>
      <c r="D157" s="1135" t="e">
        <f>VLOOKUP(B157,'Livestock parameters'!$A$20:AK$37,34,FALSE)</f>
        <v>#N/A</v>
      </c>
      <c r="E157" s="1136" t="e">
        <f>VLOOKUP(B157,'Livestock parameters'!$A$20:AN$37,36,FALSE)</f>
        <v>#N/A</v>
      </c>
      <c r="F157" s="684"/>
    </row>
    <row r="158" spans="2:57">
      <c r="B158" s="426"/>
      <c r="C158" s="598"/>
      <c r="D158" s="332"/>
      <c r="E158" s="332"/>
      <c r="F158" s="332"/>
      <c r="BC158" s="418"/>
    </row>
    <row r="159" spans="2:57" ht="16.5" thickBot="1">
      <c r="B159" s="587"/>
      <c r="C159" s="310"/>
      <c r="D159" s="310"/>
      <c r="E159" s="310"/>
      <c r="F159" s="310"/>
      <c r="G159" s="310"/>
      <c r="BC159" s="418"/>
    </row>
    <row r="160" spans="2:57" ht="26.25" customHeight="1" thickBot="1">
      <c r="B160" s="643" t="s">
        <v>1466</v>
      </c>
      <c r="C160" s="332"/>
      <c r="D160" s="332"/>
      <c r="E160" s="332"/>
      <c r="F160" s="332"/>
      <c r="G160" s="599"/>
      <c r="H160" s="423"/>
      <c r="BC160" s="418"/>
    </row>
    <row r="161" spans="1:57" ht="31.5">
      <c r="B161" s="571"/>
      <c r="C161" s="583" t="s">
        <v>1172</v>
      </c>
      <c r="D161" s="681" t="s">
        <v>1467</v>
      </c>
      <c r="E161" s="681" t="s">
        <v>1468</v>
      </c>
      <c r="F161" s="838" t="s">
        <v>1187</v>
      </c>
      <c r="G161" s="584" t="s">
        <v>1186</v>
      </c>
      <c r="H161" s="584" t="s">
        <v>1175</v>
      </c>
      <c r="I161" s="574"/>
      <c r="BC161" s="418"/>
    </row>
    <row r="162" spans="1:57">
      <c r="B162" s="428" t="str">
        <f>B144</f>
        <v>Cows (improved)</v>
      </c>
      <c r="C162" s="721">
        <f>D17</f>
        <v>1</v>
      </c>
      <c r="D162" s="1135" t="str">
        <f>VLOOKUP(B162,'Livestock parameters'!$A$20:$AK$37,33,FALSE)</f>
        <v>cow milk</v>
      </c>
      <c r="E162" s="1135">
        <f>VLOOKUP(B162,'Livestock parameters'!$A$20:AK$37,34,FALSE)</f>
        <v>900</v>
      </c>
      <c r="F162" s="1135">
        <f>VLOOKUP(B162,'Livestock parameters'!$A$20:AN$37,35,FALSE)</f>
        <v>45</v>
      </c>
      <c r="G162" s="1135">
        <f>VLOOKUP(B162,'Livestock parameters'!$A$20:AN$37,36,FALSE)</f>
        <v>0</v>
      </c>
      <c r="H162" s="653"/>
      <c r="K162" s="416">
        <f>IF(B162&lt;&gt;0,C162*E162+C162*G162*Economics_Parameters!$C$14,0)</f>
        <v>900</v>
      </c>
      <c r="BC162" s="418"/>
    </row>
    <row r="163" spans="1:57">
      <c r="B163" s="428" t="str">
        <f t="shared" ref="B163:B175" si="15">B145</f>
        <v>Steers/heifers (improved)</v>
      </c>
      <c r="C163" s="721">
        <f t="shared" ref="C163:C175" si="16">D18</f>
        <v>1</v>
      </c>
      <c r="D163" s="1135" t="str">
        <f>VLOOKUP(B163,'Livestock parameters'!$A$20:$AK$37,33,FALSE)</f>
        <v>cow milk</v>
      </c>
      <c r="E163" s="1135">
        <f>VLOOKUP(B163,'Livestock parameters'!$A$20:AK$37,34,FALSE)</f>
        <v>250</v>
      </c>
      <c r="F163" s="1135">
        <f>VLOOKUP(B163,'Livestock parameters'!$A$20:AN$37,35,FALSE)</f>
        <v>50</v>
      </c>
      <c r="G163" s="1135">
        <f>VLOOKUP(B163,'Livestock parameters'!$A$20:AN$37,36,FALSE)</f>
        <v>0</v>
      </c>
      <c r="H163" s="653" t="s">
        <v>1620</v>
      </c>
      <c r="K163" s="416">
        <f>IF(B163&lt;&gt;0,C163*E163+C163*G163*Economics_Parameters!$C$14,0)</f>
        <v>250</v>
      </c>
      <c r="BC163" s="418"/>
    </row>
    <row r="164" spans="1:57">
      <c r="B164" s="428">
        <f t="shared" si="15"/>
        <v>0</v>
      </c>
      <c r="C164" s="721">
        <f t="shared" si="16"/>
        <v>0</v>
      </c>
      <c r="D164" s="1135" t="e">
        <f>VLOOKUP(B164,'Livestock parameters'!$A$20:$AK$37,33,FALSE)</f>
        <v>#N/A</v>
      </c>
      <c r="E164" s="1135" t="e">
        <f>VLOOKUP(B164,'Livestock parameters'!$A$20:AK$37,34,FALSE)</f>
        <v>#N/A</v>
      </c>
      <c r="F164" s="1135" t="e">
        <f>VLOOKUP(B164,'Livestock parameters'!$A$20:AN$37,35,FALSE)</f>
        <v>#N/A</v>
      </c>
      <c r="G164" s="1135" t="e">
        <f>VLOOKUP(B164,'Livestock parameters'!$A$20:AN$37,36,FALSE)</f>
        <v>#N/A</v>
      </c>
      <c r="H164" s="653"/>
      <c r="K164" s="416">
        <f>IF(B164&lt;&gt;0,C164*E164+C164*G164*Economics_Parameters!$C$14,0)</f>
        <v>0</v>
      </c>
      <c r="BC164" s="418"/>
    </row>
    <row r="165" spans="1:57">
      <c r="B165" s="428">
        <f t="shared" si="15"/>
        <v>0</v>
      </c>
      <c r="C165" s="721">
        <f t="shared" si="16"/>
        <v>0</v>
      </c>
      <c r="D165" s="1135" t="e">
        <f>VLOOKUP(B165,'Livestock parameters'!$A$20:$AK$37,33,FALSE)</f>
        <v>#N/A</v>
      </c>
      <c r="E165" s="1135" t="e">
        <f>VLOOKUP(B165,'Livestock parameters'!$A$20:AK$37,34,FALSE)</f>
        <v>#N/A</v>
      </c>
      <c r="F165" s="1135" t="e">
        <f>VLOOKUP(B165,'Livestock parameters'!$A$20:AN$37,35,FALSE)</f>
        <v>#N/A</v>
      </c>
      <c r="G165" s="1135" t="e">
        <f>VLOOKUP(B165,'Livestock parameters'!$A$20:AN$37,36,FALSE)</f>
        <v>#N/A</v>
      </c>
      <c r="H165" s="653"/>
      <c r="K165" s="416">
        <f>IF(B165&lt;&gt;0,C165*E165+C165*G165*Economics_Parameters!$C$14,0)</f>
        <v>0</v>
      </c>
      <c r="AI165" s="418"/>
    </row>
    <row r="166" spans="1:57">
      <c r="B166" s="428">
        <f t="shared" si="15"/>
        <v>0</v>
      </c>
      <c r="C166" s="721">
        <f t="shared" si="16"/>
        <v>0</v>
      </c>
      <c r="D166" s="1135" t="e">
        <f>VLOOKUP(B166,'Livestock parameters'!$A$20:$AK$37,33,FALSE)</f>
        <v>#N/A</v>
      </c>
      <c r="E166" s="1135" t="e">
        <f>VLOOKUP(B166,'Livestock parameters'!$A$20:AK$37,34,FALSE)</f>
        <v>#N/A</v>
      </c>
      <c r="F166" s="1135" t="e">
        <f>VLOOKUP(B166,'Livestock parameters'!$A$20:AN$37,35,FALSE)</f>
        <v>#N/A</v>
      </c>
      <c r="G166" s="1135" t="e">
        <f>VLOOKUP(B166,'Livestock parameters'!$A$20:AN$37,36,FALSE)</f>
        <v>#N/A</v>
      </c>
      <c r="H166" s="653"/>
      <c r="K166" s="416">
        <f>IF(B166&lt;&gt;0,C166*E166+C166*G166*Economics_Parameters!$C$14,0)</f>
        <v>0</v>
      </c>
      <c r="AI166" s="418"/>
    </row>
    <row r="167" spans="1:57">
      <c r="B167" s="428">
        <f t="shared" si="15"/>
        <v>0</v>
      </c>
      <c r="C167" s="721">
        <f t="shared" si="16"/>
        <v>0</v>
      </c>
      <c r="D167" s="1135" t="e">
        <f>VLOOKUP(B167,'Livestock parameters'!$A$20:$AK$37,33,FALSE)</f>
        <v>#N/A</v>
      </c>
      <c r="E167" s="1135" t="e">
        <f>VLOOKUP(B167,'Livestock parameters'!$A$20:AK$37,34,FALSE)</f>
        <v>#N/A</v>
      </c>
      <c r="F167" s="1135" t="e">
        <f>VLOOKUP(B167,'Livestock parameters'!$A$20:AN$37,35,FALSE)</f>
        <v>#N/A</v>
      </c>
      <c r="G167" s="1135" t="e">
        <f>VLOOKUP(B167,'Livestock parameters'!$A$20:AN$37,36,FALSE)</f>
        <v>#N/A</v>
      </c>
      <c r="H167" s="653" t="s">
        <v>1621</v>
      </c>
      <c r="K167" s="416">
        <f>IF(B167&lt;&gt;0,C167*E167+C167*G167*Economics_Parameters!$C$14,0)</f>
        <v>0</v>
      </c>
      <c r="AI167" s="418"/>
    </row>
    <row r="168" spans="1:57">
      <c r="B168" s="428">
        <f t="shared" si="15"/>
        <v>0</v>
      </c>
      <c r="C168" s="721">
        <f t="shared" si="16"/>
        <v>0</v>
      </c>
      <c r="D168" s="1135" t="e">
        <f>VLOOKUP(B168,'Livestock parameters'!$A$20:$AK$37,33,FALSE)</f>
        <v>#N/A</v>
      </c>
      <c r="E168" s="1135" t="e">
        <f>VLOOKUP(B168,'Livestock parameters'!$A$20:AK$37,34,FALSE)</f>
        <v>#N/A</v>
      </c>
      <c r="F168" s="1135" t="e">
        <f>VLOOKUP(B168,'Livestock parameters'!$A$20:AN$37,35,FALSE)</f>
        <v>#N/A</v>
      </c>
      <c r="G168" s="1135" t="e">
        <f>VLOOKUP(B168,'Livestock parameters'!$A$20:AN$37,36,FALSE)</f>
        <v>#N/A</v>
      </c>
      <c r="H168" s="653" t="s">
        <v>1621</v>
      </c>
      <c r="K168" s="416">
        <f>IF(B168&lt;&gt;0,C168*E168+C168*G168*Economics_Parameters!$C$14,0)</f>
        <v>0</v>
      </c>
      <c r="AI168" s="418"/>
    </row>
    <row r="169" spans="1:57">
      <c r="B169" s="428">
        <f t="shared" si="15"/>
        <v>0</v>
      </c>
      <c r="C169" s="721">
        <f t="shared" si="16"/>
        <v>0</v>
      </c>
      <c r="D169" s="1135" t="e">
        <f>VLOOKUP(B169,'Livestock parameters'!$A$20:$AK$37,33,FALSE)</f>
        <v>#N/A</v>
      </c>
      <c r="E169" s="1135" t="e">
        <f>VLOOKUP(B169,'Livestock parameters'!$A$20:AK$37,34,FALSE)</f>
        <v>#N/A</v>
      </c>
      <c r="F169" s="1135" t="e">
        <f>VLOOKUP(B169,'Livestock parameters'!$A$20:AN$37,35,FALSE)</f>
        <v>#N/A</v>
      </c>
      <c r="G169" s="1135" t="e">
        <f>VLOOKUP(B169,'Livestock parameters'!$A$20:AN$37,36,FALSE)</f>
        <v>#N/A</v>
      </c>
      <c r="H169" s="653"/>
      <c r="K169" s="416">
        <f>IF(B169&lt;&gt;0,C169*E169+C169*G169*Economics_Parameters!$C$14,0)</f>
        <v>0</v>
      </c>
      <c r="AI169" s="418"/>
    </row>
    <row r="170" spans="1:57">
      <c r="B170" s="428">
        <f t="shared" si="15"/>
        <v>0</v>
      </c>
      <c r="C170" s="721">
        <f t="shared" si="16"/>
        <v>0</v>
      </c>
      <c r="D170" s="1135" t="e">
        <f>VLOOKUP(B170,'Livestock parameters'!$A$20:$AK$37,33,FALSE)</f>
        <v>#N/A</v>
      </c>
      <c r="E170" s="1135" t="e">
        <f>VLOOKUP(B170,'Livestock parameters'!$A$20:AK$37,34,FALSE)</f>
        <v>#N/A</v>
      </c>
      <c r="F170" s="1135" t="e">
        <f>VLOOKUP(B170,'Livestock parameters'!$A$20:AN$37,35,FALSE)</f>
        <v>#N/A</v>
      </c>
      <c r="G170" s="1135" t="e">
        <f>VLOOKUP(B170,'Livestock parameters'!$A$20:AN$37,36,FALSE)</f>
        <v>#N/A</v>
      </c>
      <c r="H170" s="653"/>
      <c r="K170" s="416">
        <f>IF(B170&lt;&gt;0,C170*E170+C170*G170*Economics_Parameters!$C$14,0)</f>
        <v>0</v>
      </c>
      <c r="AI170" s="418"/>
    </row>
    <row r="171" spans="1:57">
      <c r="B171" s="428">
        <f t="shared" si="15"/>
        <v>0</v>
      </c>
      <c r="C171" s="721">
        <f t="shared" si="16"/>
        <v>0</v>
      </c>
      <c r="D171" s="1135" t="e">
        <f>VLOOKUP(B171,'Livestock parameters'!$A$20:$AK$37,33,FALSE)</f>
        <v>#N/A</v>
      </c>
      <c r="E171" s="1135" t="e">
        <f>VLOOKUP(B171,'Livestock parameters'!$A$20:AK$37,34,FALSE)</f>
        <v>#N/A</v>
      </c>
      <c r="F171" s="1135" t="e">
        <f>VLOOKUP(B171,'Livestock parameters'!$A$20:AN$37,35,FALSE)</f>
        <v>#N/A</v>
      </c>
      <c r="G171" s="1135" t="e">
        <f>VLOOKUP(B171,'Livestock parameters'!$A$20:AN$37,36,FALSE)</f>
        <v>#N/A</v>
      </c>
      <c r="H171" s="653"/>
      <c r="K171" s="416">
        <f>IF(B171&lt;&gt;0,C171*E171+C171*G171*Economics_Parameters!$C$14,0)</f>
        <v>0</v>
      </c>
      <c r="AI171" s="418"/>
    </row>
    <row r="172" spans="1:57" s="418" customFormat="1">
      <c r="A172" s="416"/>
      <c r="B172" s="428">
        <f t="shared" si="15"/>
        <v>0</v>
      </c>
      <c r="C172" s="721">
        <f t="shared" si="16"/>
        <v>0</v>
      </c>
      <c r="D172" s="1135" t="e">
        <f>VLOOKUP(B172,'Livestock parameters'!$A$20:$AK$37,33,FALSE)</f>
        <v>#N/A</v>
      </c>
      <c r="E172" s="1135" t="e">
        <f>VLOOKUP(B172,'Livestock parameters'!$A$20:AK$37,34,FALSE)</f>
        <v>#N/A</v>
      </c>
      <c r="F172" s="1135" t="e">
        <f>VLOOKUP(B172,'Livestock parameters'!$A$20:AN$37,35,FALSE)</f>
        <v>#N/A</v>
      </c>
      <c r="G172" s="1135" t="e">
        <f>VLOOKUP(B172,'Livestock parameters'!$A$20:AN$37,36,FALSE)</f>
        <v>#N/A</v>
      </c>
      <c r="H172" s="653"/>
      <c r="I172" s="416"/>
      <c r="J172" s="416"/>
      <c r="K172" s="416">
        <f>IF(B172&lt;&gt;0,C172*E172+C172*G172*Economics_Parameters!$C$14,0)</f>
        <v>0</v>
      </c>
      <c r="L172" s="416"/>
      <c r="M172" s="416"/>
      <c r="N172" s="416"/>
      <c r="O172" s="416"/>
      <c r="P172" s="416"/>
      <c r="Q172" s="416"/>
      <c r="R172" s="416"/>
      <c r="S172" s="416"/>
      <c r="T172" s="416"/>
      <c r="U172" s="416"/>
      <c r="V172" s="416"/>
      <c r="W172" s="416"/>
      <c r="X172" s="416"/>
      <c r="Y172" s="416"/>
      <c r="Z172" s="416"/>
      <c r="AA172" s="416"/>
      <c r="AB172" s="416"/>
      <c r="AC172" s="416"/>
      <c r="AD172" s="416"/>
      <c r="AE172" s="416"/>
      <c r="AF172" s="416"/>
      <c r="AG172" s="416"/>
      <c r="AH172" s="416"/>
      <c r="AJ172" s="416"/>
      <c r="AK172" s="416"/>
      <c r="AL172" s="416"/>
      <c r="AM172" s="416"/>
      <c r="AN172" s="416"/>
      <c r="AO172" s="416"/>
      <c r="AP172" s="416"/>
      <c r="AQ172" s="416"/>
      <c r="AR172" s="416"/>
      <c r="AS172" s="416"/>
      <c r="AT172" s="416"/>
      <c r="AU172" s="416"/>
      <c r="AV172" s="416"/>
      <c r="AW172" s="416"/>
      <c r="AX172" s="416"/>
      <c r="AY172" s="416"/>
      <c r="BC172" s="416"/>
      <c r="BD172" s="416"/>
      <c r="BE172" s="416"/>
    </row>
    <row r="173" spans="1:57" s="418" customFormat="1">
      <c r="A173" s="416"/>
      <c r="B173" s="428">
        <f t="shared" si="15"/>
        <v>0</v>
      </c>
      <c r="C173" s="721">
        <f t="shared" si="16"/>
        <v>0</v>
      </c>
      <c r="D173" s="1135" t="e">
        <f>VLOOKUP(B173,'Livestock parameters'!$A$20:$AK$37,33,FALSE)</f>
        <v>#N/A</v>
      </c>
      <c r="E173" s="1135" t="e">
        <f>VLOOKUP(B173,'Livestock parameters'!$A$20:AK$37,34,FALSE)</f>
        <v>#N/A</v>
      </c>
      <c r="F173" s="1135" t="e">
        <f>VLOOKUP(B173,'Livestock parameters'!$A$20:AN$37,35,FALSE)</f>
        <v>#N/A</v>
      </c>
      <c r="G173" s="1135" t="e">
        <f>VLOOKUP(B173,'Livestock parameters'!$A$20:AN$37,36,FALSE)</f>
        <v>#N/A</v>
      </c>
      <c r="H173" s="653"/>
      <c r="I173" s="416"/>
      <c r="J173" s="416"/>
      <c r="K173" s="416">
        <f>IF(B173&lt;&gt;0,C173*E173+C173*G173*Economics_Parameters!$C$14,0)</f>
        <v>0</v>
      </c>
      <c r="L173" s="416"/>
      <c r="M173" s="416"/>
      <c r="N173" s="416"/>
      <c r="O173" s="416"/>
      <c r="P173" s="416"/>
      <c r="Q173" s="416"/>
      <c r="R173" s="416"/>
      <c r="S173" s="416"/>
      <c r="T173" s="416"/>
      <c r="U173" s="416"/>
      <c r="V173" s="416"/>
      <c r="W173" s="416"/>
      <c r="X173" s="416"/>
      <c r="Y173" s="416"/>
      <c r="Z173" s="416"/>
      <c r="AA173" s="416"/>
      <c r="AB173" s="416"/>
      <c r="AC173" s="416"/>
      <c r="AD173" s="416"/>
      <c r="AE173" s="416"/>
      <c r="AF173" s="416"/>
      <c r="AG173" s="416"/>
      <c r="AH173" s="416"/>
      <c r="AJ173" s="416"/>
      <c r="AK173" s="416"/>
      <c r="AL173" s="416"/>
      <c r="AM173" s="416"/>
      <c r="AN173" s="416"/>
      <c r="AO173" s="416"/>
      <c r="AP173" s="416"/>
      <c r="AQ173" s="416"/>
      <c r="AR173" s="416"/>
      <c r="AS173" s="416"/>
      <c r="AT173" s="416"/>
      <c r="AU173" s="416"/>
      <c r="AV173" s="416"/>
      <c r="AW173" s="416"/>
      <c r="AX173" s="416"/>
      <c r="AY173" s="416"/>
      <c r="BC173" s="416"/>
      <c r="BD173" s="416"/>
      <c r="BE173" s="416"/>
    </row>
    <row r="174" spans="1:57" s="418" customFormat="1">
      <c r="A174" s="416"/>
      <c r="B174" s="428">
        <f t="shared" si="15"/>
        <v>0</v>
      </c>
      <c r="C174" s="721">
        <f t="shared" si="16"/>
        <v>0</v>
      </c>
      <c r="D174" s="1135" t="e">
        <f>VLOOKUP(B174,'Livestock parameters'!$A$20:$AK$37,33,FALSE)</f>
        <v>#N/A</v>
      </c>
      <c r="E174" s="1135" t="e">
        <f>VLOOKUP(B174,'Livestock parameters'!$A$20:AK$37,34,FALSE)</f>
        <v>#N/A</v>
      </c>
      <c r="F174" s="1135" t="e">
        <f>VLOOKUP(B174,'Livestock parameters'!$A$20:AN$37,35,FALSE)</f>
        <v>#N/A</v>
      </c>
      <c r="G174" s="1135" t="e">
        <f>VLOOKUP(B174,'Livestock parameters'!$A$20:AN$37,36,FALSE)</f>
        <v>#N/A</v>
      </c>
      <c r="H174" s="653"/>
      <c r="I174" s="416"/>
      <c r="J174" s="416"/>
      <c r="K174" s="416">
        <f>IF(B174&lt;&gt;0,C174*E174+C174*G174*Economics_Parameters!$C$14,0)</f>
        <v>0</v>
      </c>
      <c r="L174" s="416"/>
      <c r="M174" s="416"/>
      <c r="N174" s="416"/>
      <c r="O174" s="416"/>
      <c r="P174" s="416"/>
      <c r="Q174" s="416"/>
      <c r="R174" s="416"/>
      <c r="S174" s="416"/>
      <c r="T174" s="416"/>
      <c r="U174" s="416"/>
      <c r="V174" s="416"/>
      <c r="W174" s="416"/>
      <c r="X174" s="416"/>
      <c r="Y174" s="416"/>
      <c r="Z174" s="416"/>
      <c r="AA174" s="416"/>
      <c r="AB174" s="416"/>
      <c r="AC174" s="416"/>
      <c r="AD174" s="416"/>
      <c r="AE174" s="416"/>
      <c r="AF174" s="416"/>
      <c r="AG174" s="416"/>
      <c r="AI174" s="416"/>
      <c r="AJ174" s="416"/>
      <c r="AK174" s="416"/>
      <c r="AL174" s="416"/>
      <c r="AM174" s="416"/>
      <c r="AN174" s="416"/>
      <c r="AO174" s="416"/>
      <c r="AP174" s="416"/>
      <c r="AQ174" s="416"/>
      <c r="AR174" s="416"/>
      <c r="AS174" s="416"/>
      <c r="AT174" s="416"/>
      <c r="AU174" s="416"/>
      <c r="AV174" s="416"/>
      <c r="AW174" s="416"/>
      <c r="AX174" s="416"/>
      <c r="AY174" s="416"/>
      <c r="BC174" s="416"/>
      <c r="BD174" s="416"/>
      <c r="BE174" s="416"/>
    </row>
    <row r="175" spans="1:57" s="418" customFormat="1" ht="16.5" thickBot="1">
      <c r="A175" s="416"/>
      <c r="B175" s="428">
        <f t="shared" si="15"/>
        <v>0</v>
      </c>
      <c r="C175" s="721">
        <f t="shared" si="16"/>
        <v>0</v>
      </c>
      <c r="D175" s="1135" t="e">
        <f>VLOOKUP(B175,'Livestock parameters'!$A$20:$AK$37,33,FALSE)</f>
        <v>#N/A</v>
      </c>
      <c r="E175" s="1135" t="e">
        <f>VLOOKUP(B175,'Livestock parameters'!$A$20:AK$37,34,FALSE)</f>
        <v>#N/A</v>
      </c>
      <c r="F175" s="1135" t="e">
        <f>VLOOKUP(B175,'Livestock parameters'!$A$20:AN$37,35,FALSE)</f>
        <v>#N/A</v>
      </c>
      <c r="G175" s="1135" t="e">
        <f>VLOOKUP(B175,'Livestock parameters'!$A$20:AN$37,36,FALSE)</f>
        <v>#N/A</v>
      </c>
      <c r="H175" s="684"/>
      <c r="I175" s="416"/>
      <c r="J175" s="416"/>
      <c r="K175" s="416">
        <f>IF(B175&lt;&gt;0,C175*E175+C175*G175*Economics_Parameters!$C$14,0)</f>
        <v>0</v>
      </c>
      <c r="L175" s="416"/>
      <c r="M175" s="416"/>
      <c r="N175" s="416"/>
      <c r="O175" s="416"/>
      <c r="P175" s="416"/>
      <c r="Q175" s="416"/>
      <c r="R175" s="416"/>
      <c r="S175" s="416"/>
      <c r="T175" s="416"/>
      <c r="U175" s="416"/>
      <c r="V175" s="416"/>
      <c r="W175" s="416"/>
      <c r="X175" s="416"/>
      <c r="Y175" s="416"/>
      <c r="Z175" s="416"/>
      <c r="AA175" s="416"/>
      <c r="AB175" s="416"/>
      <c r="AC175" s="416"/>
      <c r="AD175" s="416"/>
      <c r="AE175" s="416"/>
      <c r="AF175" s="416"/>
      <c r="AG175" s="416"/>
      <c r="AI175" s="416"/>
      <c r="AJ175" s="416"/>
      <c r="AK175" s="416"/>
      <c r="AL175" s="416"/>
      <c r="AM175" s="416"/>
      <c r="AN175" s="416"/>
      <c r="AO175" s="416"/>
      <c r="AP175" s="416"/>
      <c r="AQ175" s="416"/>
      <c r="AR175" s="416"/>
      <c r="AS175" s="416"/>
      <c r="AT175" s="416"/>
      <c r="AU175" s="416"/>
      <c r="AV175" s="416"/>
      <c r="AW175" s="416"/>
      <c r="AX175" s="416"/>
      <c r="AY175" s="416"/>
      <c r="BC175" s="416"/>
      <c r="BD175" s="416"/>
      <c r="BE175" s="416"/>
    </row>
    <row r="176" spans="1:57" s="418" customFormat="1" ht="16.5" thickBot="1">
      <c r="A176" s="416"/>
      <c r="C176" s="416"/>
      <c r="D176" s="416"/>
      <c r="E176" s="416"/>
      <c r="F176" s="416"/>
      <c r="G176" s="416"/>
      <c r="H176" s="416"/>
      <c r="I176" s="416"/>
      <c r="J176" s="416"/>
      <c r="K176" s="416">
        <f>SUM(K162:K175)</f>
        <v>1150</v>
      </c>
      <c r="L176" s="416"/>
      <c r="M176" s="416"/>
      <c r="N176" s="416"/>
      <c r="O176" s="416"/>
      <c r="P176" s="416"/>
      <c r="Q176" s="416"/>
      <c r="R176" s="416"/>
      <c r="S176" s="416"/>
      <c r="T176" s="416"/>
      <c r="U176" s="416"/>
      <c r="V176" s="416"/>
      <c r="W176" s="416"/>
      <c r="X176" s="416"/>
      <c r="Y176" s="416"/>
      <c r="Z176" s="416"/>
      <c r="AA176" s="416"/>
      <c r="AB176" s="416"/>
      <c r="AC176" s="416"/>
      <c r="AD176" s="416"/>
      <c r="AE176" s="416"/>
      <c r="AF176" s="416"/>
      <c r="AG176" s="416"/>
      <c r="AI176" s="416"/>
      <c r="AJ176" s="416"/>
      <c r="AK176" s="416"/>
      <c r="AL176" s="416"/>
      <c r="AM176" s="416"/>
      <c r="AN176" s="416"/>
      <c r="AO176" s="416"/>
      <c r="AP176" s="416"/>
      <c r="AQ176" s="416"/>
      <c r="AR176" s="416"/>
      <c r="AS176" s="416"/>
      <c r="AT176" s="416"/>
      <c r="AU176" s="416"/>
      <c r="AV176" s="416"/>
      <c r="AW176" s="416"/>
      <c r="AX176" s="416"/>
      <c r="AY176" s="416"/>
      <c r="BC176" s="416"/>
      <c r="BD176" s="416"/>
      <c r="BE176" s="416"/>
    </row>
    <row r="177" spans="1:59" s="418" customFormat="1" ht="16.5" thickBot="1">
      <c r="A177" s="416"/>
      <c r="C177" s="436"/>
      <c r="D177" s="599"/>
      <c r="E177" s="599"/>
      <c r="F177" s="599" t="s">
        <v>44</v>
      </c>
      <c r="G177" s="423"/>
      <c r="H177" s="416"/>
      <c r="I177" s="416"/>
      <c r="J177" s="416"/>
      <c r="K177" s="416"/>
      <c r="L177" s="416"/>
      <c r="M177" s="416"/>
      <c r="N177" s="416"/>
      <c r="O177" s="416"/>
      <c r="P177" s="416"/>
      <c r="Q177" s="416"/>
      <c r="R177" s="416"/>
      <c r="S177" s="416"/>
      <c r="T177" s="416"/>
      <c r="U177" s="416"/>
      <c r="V177" s="416"/>
      <c r="W177" s="416"/>
      <c r="X177" s="416"/>
      <c r="Y177" s="416"/>
      <c r="Z177" s="416"/>
      <c r="AA177" s="416"/>
      <c r="AB177" s="416"/>
      <c r="AC177" s="416"/>
      <c r="AD177" s="416"/>
      <c r="AE177" s="416"/>
      <c r="AF177" s="416"/>
      <c r="AG177" s="416"/>
      <c r="AI177" s="416"/>
      <c r="AJ177" s="416"/>
      <c r="AK177" s="416"/>
      <c r="AL177" s="416"/>
      <c r="AM177" s="416"/>
      <c r="AN177" s="416"/>
      <c r="AO177" s="416"/>
      <c r="AP177" s="416"/>
      <c r="AQ177" s="416"/>
      <c r="AR177" s="416"/>
      <c r="AS177" s="416"/>
      <c r="AT177" s="416"/>
      <c r="AU177" s="416"/>
      <c r="AV177" s="416"/>
      <c r="AW177" s="416"/>
      <c r="AX177" s="416"/>
      <c r="AY177" s="416"/>
      <c r="BC177" s="416"/>
      <c r="BD177" s="416"/>
      <c r="BE177" s="416"/>
    </row>
    <row r="178" spans="1:59" s="418" customFormat="1" ht="32.25" thickBot="1">
      <c r="A178" s="416"/>
      <c r="B178" s="504" t="s">
        <v>1622</v>
      </c>
      <c r="C178" s="842" t="s">
        <v>1684</v>
      </c>
      <c r="D178" s="842" t="s">
        <v>1327</v>
      </c>
      <c r="E178" s="681" t="s">
        <v>1472</v>
      </c>
      <c r="F178" s="1041" t="s">
        <v>1623</v>
      </c>
      <c r="G178" s="584" t="s">
        <v>1243</v>
      </c>
      <c r="H178" s="838" t="s">
        <v>1244</v>
      </c>
      <c r="I178" s="844" t="s">
        <v>1175</v>
      </c>
      <c r="K178" s="418" t="s">
        <v>1664</v>
      </c>
      <c r="L178" s="416"/>
      <c r="M178" s="416"/>
      <c r="N178" s="416"/>
      <c r="O178" s="416"/>
      <c r="P178" s="416"/>
      <c r="Q178" s="416"/>
      <c r="R178" s="416"/>
      <c r="S178" s="416"/>
      <c r="T178" s="416"/>
      <c r="U178" s="416"/>
      <c r="V178" s="416"/>
      <c r="W178" s="416"/>
      <c r="X178" s="416"/>
      <c r="Y178" s="416"/>
      <c r="Z178" s="416"/>
      <c r="AA178" s="416"/>
      <c r="AB178" s="416"/>
      <c r="AC178" s="416"/>
      <c r="AD178" s="416"/>
      <c r="AE178" s="416"/>
      <c r="AF178" s="416"/>
      <c r="AG178" s="416"/>
      <c r="AH178" s="416"/>
      <c r="AI178" s="416"/>
      <c r="AK178" s="416"/>
      <c r="AL178" s="416"/>
      <c r="AM178" s="416"/>
      <c r="AN178" s="416"/>
      <c r="AO178" s="416"/>
      <c r="AP178" s="416"/>
      <c r="AQ178" s="416"/>
      <c r="AR178" s="416"/>
      <c r="AS178" s="416"/>
      <c r="AT178" s="416"/>
      <c r="AU178" s="416"/>
      <c r="AV178" s="416"/>
      <c r="AW178" s="416"/>
      <c r="AX178" s="416"/>
      <c r="AY178" s="416"/>
      <c r="AZ178" s="416"/>
      <c r="BA178" s="416"/>
      <c r="BE178" s="416"/>
      <c r="BF178" s="416"/>
      <c r="BG178" s="416"/>
    </row>
    <row r="179" spans="1:59">
      <c r="A179" s="418"/>
      <c r="B179" s="1117" t="e">
        <f ca="1">IF(B56=INDIRECT(CONCATENATE("[", "Baseline.xlsm","]INPUTS","!B55")),B56,"")</f>
        <v>#REF!</v>
      </c>
      <c r="C179" s="840" t="e">
        <f ca="1">IF(B179&lt;&gt; "", 'Land requirements'!E4-INDIRECT(CONCATENATE("'[", "Baseline.xlsm","]Land requirements'","!E4")), 0)</f>
        <v>#REF!</v>
      </c>
      <c r="D179" s="840" t="e">
        <f ca="1">IF(C179&lt;&gt; 0, 'Land requirements'!E17-INDIRECT(CONCATENATE("'[", "Baseline.xlsm","]Land requirements'","!E17")), 0)</f>
        <v>#REF!</v>
      </c>
      <c r="E179" s="1135" t="e">
        <f ca="1">VLOOKUP(B179,'Feed parameters'!$A$2:$M$112,10,FALSE)</f>
        <v>#REF!</v>
      </c>
      <c r="F179" s="1135" t="e">
        <f ca="1">VLOOKUP(B179,'Feed parameters'!$A$2:$M$112,11,FALSE)</f>
        <v>#REF!</v>
      </c>
      <c r="G179" s="1139" t="e">
        <f ca="1">VLOOKUP(B179,'Feed parameters'!$A$2:$M$112,12,FALSE)</f>
        <v>#REF!</v>
      </c>
      <c r="H179" s="1135" t="e">
        <f ca="1">VLOOKUP(B179,'Feed parameters'!$A$2:$M$112,13,FALSE)</f>
        <v>#REF!</v>
      </c>
      <c r="I179" s="653"/>
      <c r="J179" s="839"/>
      <c r="K179" s="839" t="e">
        <f ca="1">C179*F179+C179*H179*Economics_Parameters!$C$14</f>
        <v>#REF!</v>
      </c>
      <c r="L179" s="418"/>
      <c r="M179" s="418"/>
      <c r="N179" s="418"/>
      <c r="O179" s="418"/>
      <c r="P179" s="418"/>
      <c r="Q179" s="418"/>
      <c r="R179" s="418"/>
      <c r="S179" s="418"/>
      <c r="T179" s="418"/>
      <c r="U179" s="418"/>
      <c r="AJ179" s="418"/>
    </row>
    <row r="180" spans="1:59">
      <c r="A180" s="418"/>
      <c r="B180" s="900" t="e">
        <f ca="1">IF(B57=INDIRECT(CONCATENATE("[", "Baseline.xlsm","]INPUTS","!B56")),B57,"")</f>
        <v>#REF!</v>
      </c>
      <c r="C180" s="840" t="e">
        <f ca="1">IF(B180&lt;&gt; "", 'Land requirements'!E5-INDIRECT(CONCATENATE("'[", "Baseline.xlsm","]Land requirements'","!E5")), 0)</f>
        <v>#REF!</v>
      </c>
      <c r="D180" s="840" t="e">
        <f ca="1">IF(C180&lt;&gt;0, 'Land requirements'!E18-INDIRECT(CONCATENATE("'[", "Baseline.xlsm","]Land requirements'","!E18")), 0)</f>
        <v>#REF!</v>
      </c>
      <c r="E180" s="1135" t="e">
        <f ca="1">VLOOKUP(B180,'Feed parameters'!$A$2:$M$112,10,FALSE)</f>
        <v>#REF!</v>
      </c>
      <c r="F180" s="1135" t="e">
        <f ca="1">VLOOKUP(B180,'Feed parameters'!$A$2:$M$112,11,FALSE)</f>
        <v>#REF!</v>
      </c>
      <c r="G180" s="1139" t="e">
        <f ca="1">VLOOKUP(B180,'Feed parameters'!$A$2:$M$112,12,FALSE)</f>
        <v>#REF!</v>
      </c>
      <c r="H180" s="1135" t="e">
        <f ca="1">VLOOKUP(B180,'Feed parameters'!$A$2:$M$112,13,FALSE)</f>
        <v>#REF!</v>
      </c>
      <c r="I180" s="653"/>
      <c r="J180" s="839"/>
      <c r="K180" s="839" t="e">
        <f ca="1">C180*F180+C180*H180*Economics_Parameters!$C$14</f>
        <v>#REF!</v>
      </c>
      <c r="L180" s="418"/>
      <c r="M180" s="418"/>
      <c r="N180" s="418"/>
      <c r="O180" s="418"/>
      <c r="P180" s="418"/>
      <c r="Q180" s="418"/>
      <c r="R180" s="418"/>
      <c r="S180" s="418"/>
      <c r="T180" s="418"/>
      <c r="U180" s="418"/>
      <c r="AJ180" s="418"/>
    </row>
    <row r="181" spans="1:59">
      <c r="A181" s="418"/>
      <c r="B181" s="900" t="e">
        <f ca="1">IF(B58=INDIRECT(CONCATENATE("[", "Baseline.xlsm","]INPUTS","!B57")),B58,"")</f>
        <v>#REF!</v>
      </c>
      <c r="C181" s="840" t="e">
        <f ca="1">IF(B181&lt;&gt; "", 'Land requirements'!E6-INDIRECT(CONCATENATE("'[", "Baseline.xlsm","]Land requirements'","!E6")), 0)</f>
        <v>#REF!</v>
      </c>
      <c r="D181" s="840" t="e">
        <f ca="1">IF(C181&lt;&gt;0, 'Land requirements'!E19-INDIRECT(CONCATENATE("'[", "Baseline.xlsm","]Land requirements'","!E19")), 0)</f>
        <v>#REF!</v>
      </c>
      <c r="E181" s="1135" t="e">
        <f ca="1">VLOOKUP(B181,'Feed parameters'!$A$2:$M$112,10,FALSE)</f>
        <v>#REF!</v>
      </c>
      <c r="F181" s="1135" t="e">
        <f ca="1">VLOOKUP(B181,'Feed parameters'!$A$2:$M$112,11,FALSE)</f>
        <v>#REF!</v>
      </c>
      <c r="G181" s="1139" t="e">
        <f ca="1">VLOOKUP(B181,'Feed parameters'!$A$2:$M$112,12,FALSE)</f>
        <v>#REF!</v>
      </c>
      <c r="H181" s="1135" t="e">
        <f ca="1">VLOOKUP(B181,'Feed parameters'!$A$2:$M$112,13,FALSE)</f>
        <v>#REF!</v>
      </c>
      <c r="I181" s="653"/>
      <c r="J181" s="839"/>
      <c r="K181" s="839" t="e">
        <f ca="1">C181*F181+C181*H181*Economics_Parameters!$C$14</f>
        <v>#REF!</v>
      </c>
      <c r="L181" s="418"/>
      <c r="M181" s="418"/>
      <c r="N181" s="418"/>
      <c r="O181" s="418"/>
      <c r="P181" s="418"/>
      <c r="Q181" s="418"/>
      <c r="R181" s="418"/>
      <c r="S181" s="418"/>
      <c r="T181" s="418"/>
      <c r="U181" s="418"/>
    </row>
    <row r="182" spans="1:59">
      <c r="A182" s="418"/>
      <c r="B182" s="900" t="e">
        <f ca="1">IF(B59=INDIRECT(CONCATENATE("[", "Baseline.xlsm","]INPUTS","!B58")),B59,"")</f>
        <v>#REF!</v>
      </c>
      <c r="C182" s="840" t="e">
        <f ca="1">IF(B182&lt;&gt; "", 'Land requirements'!E7-INDIRECT(CONCATENATE("'[", "Baseline.xlsm","]Land requirements'","!E7")), 0)</f>
        <v>#REF!</v>
      </c>
      <c r="D182" s="840" t="e">
        <f ca="1">IF(C182&lt;&gt;0, 'Land requirements'!E20-INDIRECT(CONCATENATE("'[", "Baseline.xlsm","]Land requirements'","!E20")), 0)</f>
        <v>#REF!</v>
      </c>
      <c r="E182" s="1135" t="e">
        <f ca="1">VLOOKUP(B182,'Feed parameters'!$A$2:$M$112,10,FALSE)</f>
        <v>#REF!</v>
      </c>
      <c r="F182" s="1135" t="e">
        <f ca="1">VLOOKUP(B182,'Feed parameters'!$A$2:$M$112,11,FALSE)</f>
        <v>#REF!</v>
      </c>
      <c r="G182" s="1139" t="e">
        <f ca="1">VLOOKUP(B182,'Feed parameters'!$A$2:$M$112,12,FALSE)</f>
        <v>#REF!</v>
      </c>
      <c r="H182" s="1135" t="e">
        <f ca="1">VLOOKUP(B182,'Feed parameters'!$A$2:$M$112,13,FALSE)</f>
        <v>#REF!</v>
      </c>
      <c r="I182" s="653"/>
      <c r="J182" s="839"/>
      <c r="K182" s="839" t="e">
        <f ca="1">C182*F182+C182*H182*Economics_Parameters!$C$14</f>
        <v>#REF!</v>
      </c>
      <c r="L182" s="418"/>
      <c r="M182" s="418"/>
      <c r="N182" s="418"/>
      <c r="O182" s="418"/>
      <c r="P182" s="418"/>
      <c r="Q182" s="418"/>
      <c r="R182" s="418"/>
      <c r="S182" s="418"/>
      <c r="T182" s="418"/>
      <c r="U182" s="418"/>
    </row>
    <row r="183" spans="1:59">
      <c r="A183" s="418"/>
      <c r="B183" s="900" t="e">
        <f ca="1">IF(B60=INDIRECT(CONCATENATE("[", "Baseline.xlsm","]INPUTS","!B59")),B60,"")</f>
        <v>#REF!</v>
      </c>
      <c r="C183" s="840" t="e">
        <f ca="1">IF(B183&lt;&gt; "", 'Land requirements'!E8-INDIRECT(CONCATENATE("'[", "Baseline.xlsm","]Land requirements'","!E8")), 0)</f>
        <v>#REF!</v>
      </c>
      <c r="D183" s="840" t="e">
        <f ca="1">IF(C183&lt;&gt;0, 'Land requirements'!E21-INDIRECT(CONCATENATE("'[", "Baseline.xlsm","]Land requirements'","!E21")), 0)</f>
        <v>#REF!</v>
      </c>
      <c r="E183" s="1135" t="e">
        <f ca="1">VLOOKUP(B183,'Feed parameters'!$A$2:$M$112,10,FALSE)</f>
        <v>#REF!</v>
      </c>
      <c r="F183" s="1135" t="e">
        <f ca="1">VLOOKUP(B183,'Feed parameters'!$A$2:$M$112,11,FALSE)</f>
        <v>#REF!</v>
      </c>
      <c r="G183" s="1139" t="e">
        <f ca="1">VLOOKUP(B183,'Feed parameters'!$A$2:$M$112,12,FALSE)</f>
        <v>#REF!</v>
      </c>
      <c r="H183" s="1135" t="e">
        <f ca="1">VLOOKUP(B183,'Feed parameters'!$A$2:$M$112,13,FALSE)</f>
        <v>#REF!</v>
      </c>
      <c r="I183" s="653"/>
      <c r="J183" s="839"/>
      <c r="K183" s="839" t="e">
        <f ca="1">C183*F183+C183*H183*Economics_Parameters!$C$14</f>
        <v>#REF!</v>
      </c>
      <c r="L183" s="418"/>
      <c r="M183" s="418"/>
      <c r="N183" s="418"/>
      <c r="O183" s="418"/>
      <c r="P183" s="418"/>
      <c r="Q183" s="418"/>
      <c r="R183" s="418"/>
      <c r="S183" s="418"/>
      <c r="T183" s="418"/>
      <c r="U183" s="418"/>
    </row>
    <row r="184" spans="1:59" ht="31.5" customHeight="1">
      <c r="A184" s="418"/>
      <c r="B184" s="900" t="e">
        <f ca="1">IF(B61=INDIRECT(CONCATENATE("[", "Baseline.xlsm","]INPUTS","!B60")),B61,"")</f>
        <v>#REF!</v>
      </c>
      <c r="C184" s="840" t="e">
        <f ca="1">IF(B184&lt;&gt; "", 'Land requirements'!E9-INDIRECT(CONCATENATE("'[", "Baseline.xlsm","]Land requirements'","!E9")), 0)</f>
        <v>#REF!</v>
      </c>
      <c r="D184" s="840" t="e">
        <f ca="1">IF(C184&lt;&gt;0, 'Land requirements'!E22-INDIRECT(CONCATENATE("'[", "Baseline.xlsm","]Land requirements'","!E22")), 0)</f>
        <v>#REF!</v>
      </c>
      <c r="E184" s="1135" t="e">
        <f ca="1">VLOOKUP(B184,'Feed parameters'!$A$2:$M$112,10,FALSE)</f>
        <v>#REF!</v>
      </c>
      <c r="F184" s="1135" t="e">
        <f ca="1">VLOOKUP(B184,'Feed parameters'!$A$2:$M$112,11,FALSE)</f>
        <v>#REF!</v>
      </c>
      <c r="G184" s="1139" t="e">
        <f ca="1">VLOOKUP(B184,'Feed parameters'!$A$2:$M$112,12,FALSE)</f>
        <v>#REF!</v>
      </c>
      <c r="H184" s="1135" t="e">
        <f ca="1">VLOOKUP(B184,'Feed parameters'!$A$2:$M$112,13,FALSE)</f>
        <v>#REF!</v>
      </c>
      <c r="I184" s="653"/>
      <c r="J184" s="839"/>
      <c r="K184" s="839" t="e">
        <f ca="1">C184*F184+C184*H184*Economics_Parameters!$C$14</f>
        <v>#REF!</v>
      </c>
      <c r="L184" s="418"/>
      <c r="M184" s="418"/>
      <c r="N184" s="418"/>
      <c r="O184" s="418"/>
      <c r="P184" s="418"/>
      <c r="Q184" s="418"/>
      <c r="R184" s="418"/>
      <c r="S184" s="418"/>
      <c r="T184" s="418"/>
      <c r="U184" s="418"/>
    </row>
    <row r="185" spans="1:59" ht="16.5" thickBot="1">
      <c r="A185" s="418"/>
      <c r="B185" s="620" t="e">
        <f ca="1">IF(B62=INDIRECT(CONCATENATE("[", "Baseline.xlsm","]INPUTS","!B61")),B62,"")</f>
        <v>#REF!</v>
      </c>
      <c r="C185" s="840" t="e">
        <f ca="1">IF(B185&lt;&gt; "", 'Land requirements'!E10-INDIRECT(CONCATENATE("'[", "Baseline.xlsm","]Land requirements'","!E10")), 0)</f>
        <v>#REF!</v>
      </c>
      <c r="D185" s="841" t="e">
        <f ca="1">IF(C185&lt;&gt;0, 'Land requirements'!E23-INDIRECT(CONCATENATE("'[", "Baseline.xlsm","]Land requirements'","!E23")), 0)</f>
        <v>#REF!</v>
      </c>
      <c r="E185" s="1137" t="e">
        <f ca="1">VLOOKUP(B185,'Feed parameters'!$A$2:$M$112,10,FALSE)</f>
        <v>#REF!</v>
      </c>
      <c r="F185" s="1137" t="e">
        <f ca="1">VLOOKUP(B185,'Feed parameters'!$A$2:$M$112,11,FALSE)</f>
        <v>#REF!</v>
      </c>
      <c r="G185" s="1140" t="e">
        <f ca="1">VLOOKUP(B185,'Feed parameters'!$A$2:$M$112,12,FALSE)</f>
        <v>#REF!</v>
      </c>
      <c r="H185" s="1137" t="e">
        <f ca="1">VLOOKUP(B185,'Feed parameters'!$A$2:$M$112,13,FALSE)</f>
        <v>#REF!</v>
      </c>
      <c r="I185" s="684"/>
      <c r="J185" s="839"/>
      <c r="K185" s="839" t="e">
        <f ca="1">C185*F185+C185*H185*Economics_Parameters!$C$14</f>
        <v>#REF!</v>
      </c>
      <c r="L185" s="418"/>
      <c r="M185" s="418"/>
      <c r="N185" s="418"/>
      <c r="O185" s="418"/>
      <c r="P185" s="418"/>
      <c r="Q185" s="418"/>
      <c r="R185" s="418"/>
      <c r="S185" s="418"/>
      <c r="T185" s="418"/>
      <c r="U185" s="418"/>
    </row>
    <row r="186" spans="1:59">
      <c r="C186" s="651"/>
    </row>
    <row r="187" spans="1:59" ht="16.5" thickBot="1">
      <c r="C187" s="650"/>
      <c r="K187" s="416" t="e">
        <f ca="1">SUM(K162:K185)</f>
        <v>#REF!</v>
      </c>
    </row>
    <row r="188" spans="1:59" ht="31.5">
      <c r="B188" s="643" t="s">
        <v>1193</v>
      </c>
      <c r="C188" s="847" t="s">
        <v>1219</v>
      </c>
      <c r="D188" s="843" t="s">
        <v>1327</v>
      </c>
      <c r="E188" s="681" t="s">
        <v>1472</v>
      </c>
      <c r="F188" s="681" t="s">
        <v>1189</v>
      </c>
      <c r="G188" s="584" t="s">
        <v>1243</v>
      </c>
      <c r="H188" s="584" t="s">
        <v>1244</v>
      </c>
      <c r="I188" s="584" t="s">
        <v>1175</v>
      </c>
      <c r="K188" s="416" t="s">
        <v>1664</v>
      </c>
    </row>
    <row r="189" spans="1:59">
      <c r="B189" s="1141" t="str">
        <f>C91</f>
        <v>Concentrate (commercial)</v>
      </c>
      <c r="C189" s="642">
        <f>C227</f>
        <v>0</v>
      </c>
      <c r="D189" s="1342">
        <f>IF(B189&lt;&gt; "", 'Land requirements'!F17, 0)</f>
        <v>617.86445406619691</v>
      </c>
      <c r="E189" s="1135">
        <f>IFERROR(VLOOKUP(B189,'Feed parameters'!$A$2:$M$112,10,FALSE),0)</f>
        <v>0</v>
      </c>
      <c r="F189" s="1135">
        <f>IFERROR(VLOOKUP(B189,'Feed parameters'!$A$2:$M$112,11,FALSE),0)</f>
        <v>0</v>
      </c>
      <c r="G189" s="1135">
        <f>IFERROR(VLOOKUP(B189,'Feed parameters'!$A$2:$M$112,12,FALSE),0)</f>
        <v>0</v>
      </c>
      <c r="H189" s="1346">
        <f>IFERROR(VLOOKUP(B189,'Feed parameters'!$A$2:$N$112,13,FALSE),0)+IFERROR(VLOOKUP(B189,'Feed parameters'!$A$2:$N$112,14,FALSE),0)*'Meat &amp; Milk '!$D$17*($D$10*IF(C56&gt;0,1,0)+$D$11*IF(C67&gt;0,1,0)+$D$12*IF(C78&gt;0,1,0))</f>
        <v>0</v>
      </c>
      <c r="I189" s="653"/>
      <c r="K189" s="1341">
        <f>IF(C189&lt;&gt;0,(C189*F189+C189*H189*Economics_Parameters!$C$14+C189*Economics_Parameters!$C$19),D189*F189)</f>
        <v>0</v>
      </c>
    </row>
    <row r="190" spans="1:59">
      <c r="B190" s="1141" t="str">
        <f t="shared" ref="B190:B195" si="17">C92</f>
        <v xml:space="preserve">Naturally occuring pasture - green fodder </v>
      </c>
      <c r="C190" s="642">
        <f t="shared" ref="C190:C195" si="18">C228</f>
        <v>0.1765944930348417</v>
      </c>
      <c r="D190" s="1342">
        <f>IF(B190&lt;&gt; "", 'Land requirements'!F18, 0)</f>
        <v>2074.1023206942159</v>
      </c>
      <c r="E190" s="1135">
        <f>IFERROR(VLOOKUP(B190,'Feed parameters'!$A$2:$M$112,10,FALSE),0)</f>
        <v>0</v>
      </c>
      <c r="F190" s="1135">
        <f>IFERROR(VLOOKUP(B190,'Feed parameters'!$A$2:$M$112,11,FALSE),0)</f>
        <v>0</v>
      </c>
      <c r="G190" s="1135">
        <f>IFERROR(VLOOKUP(B190,'Feed parameters'!$A$2:$M$112,12,FALSE),0)</f>
        <v>0</v>
      </c>
      <c r="H190" s="1346">
        <f>IFERROR(VLOOKUP(B190,'Feed parameters'!$A$2:$N$112,13,FALSE),0)+IFERROR(VLOOKUP(B190,'Feed parameters'!$A$2:$N$112,14,FALSE),0)*'Meat &amp; Milk '!$D$17*($D$10*IF(C57&gt;0,1,0)+$D$11*IF(C68&gt;0,1,0)+$D$12*IF(C79&gt;0,1,0))</f>
        <v>48.983000000000004</v>
      </c>
      <c r="I190" s="653"/>
      <c r="K190" s="1341">
        <f>IF(C190&lt;&gt;0,(C190*F190+C190*H190*Economics_Parameters!$C$14+C190*Economics_Parameters!$C$19),D190*F190)</f>
        <v>39.474255325324684</v>
      </c>
    </row>
    <row r="191" spans="1:59">
      <c r="B191" s="1141" t="str">
        <f t="shared" si="17"/>
        <v>Maize (Zea mays) - stover</v>
      </c>
      <c r="C191" s="642">
        <f t="shared" si="18"/>
        <v>1.9244614121182668</v>
      </c>
      <c r="D191" s="1342">
        <f>IF(B191&lt;&gt; "", 'Land requirements'!F19, 0)</f>
        <v>5136.513161470315</v>
      </c>
      <c r="E191" s="1135">
        <f>IFERROR(VLOOKUP(B191,'Feed parameters'!$A$2:$M$112,10,FALSE),0)</f>
        <v>50</v>
      </c>
      <c r="F191" s="1135">
        <f>IFERROR(VLOOKUP(B191,'Feed parameters'!$A$2:$M$112,11,FALSE),0)</f>
        <v>30</v>
      </c>
      <c r="G191" s="1135">
        <f>IFERROR(VLOOKUP(B191,'Feed parameters'!$A$2:$M$112,12,FALSE),0)</f>
        <v>5</v>
      </c>
      <c r="H191" s="1346">
        <f>IFERROR(VLOOKUP(B191,'Feed parameters'!$A$2:$N$112,13,FALSE),0)+IFERROR(VLOOKUP(B191,'Feed parameters'!$A$2:$N$112,14,FALSE),0)*'Meat &amp; Milk '!$D$17*($D$10*IF(C58&gt;0,1,0)+$D$11*IF(C69&gt;0,1,0)+$D$12*IF(C80&gt;0,1,0))</f>
        <v>10</v>
      </c>
      <c r="I191" s="653"/>
      <c r="K191" s="1341">
        <f>IF(C191&lt;&gt;0,(C191*F191+C191*H191*Economics_Parameters!$C$14+C191*Economics_Parameters!$C$19),D191*F191)</f>
        <v>225.33518674492785</v>
      </c>
      <c r="AE191" s="418"/>
      <c r="AF191" s="418"/>
    </row>
    <row r="192" spans="1:59">
      <c r="B192" s="1141" t="str">
        <f t="shared" si="17"/>
        <v>N/A</v>
      </c>
      <c r="C192" s="642">
        <f t="shared" si="18"/>
        <v>0</v>
      </c>
      <c r="D192" s="1342">
        <f>IF(B192&lt;&gt; "", 'Land requirements'!F20, 0)</f>
        <v>0</v>
      </c>
      <c r="E192" s="1135">
        <f>IFERROR(VLOOKUP(B192,'Feed parameters'!$A$2:$M$112,10,FALSE),0)</f>
        <v>50</v>
      </c>
      <c r="F192" s="1135">
        <f>IFERROR(VLOOKUP(B192,'Feed parameters'!$A$2:$M$112,11,FALSE),0)</f>
        <v>30</v>
      </c>
      <c r="G192" s="1135">
        <f>IFERROR(VLOOKUP(B192,'Feed parameters'!$A$2:$M$112,12,FALSE),0)</f>
        <v>5</v>
      </c>
      <c r="H192" s="1346">
        <f>IFERROR(VLOOKUP(B192,'Feed parameters'!$A$2:$N$112,13,FALSE),0)+IFERROR(VLOOKUP(B192,'Feed parameters'!$A$2:$N$112,14,FALSE),0)*'Meat &amp; Milk '!$D$17*($D$10*IF(C59&gt;0,1,0)+$D$11*IF(C70&gt;0,1,0)+$D$12*IF(C81&gt;0,1,0))</f>
        <v>10</v>
      </c>
      <c r="I192" s="653"/>
      <c r="K192" s="1341">
        <f>IF(C192&lt;&gt;0,(C192*F192+C192*H192*Economics_Parameters!$C$14+C192*Economics_Parameters!$C$19),D192*F192)</f>
        <v>0</v>
      </c>
      <c r="AE192" s="418"/>
      <c r="AF192" s="418"/>
    </row>
    <row r="193" spans="2:33">
      <c r="B193" s="1141" t="str">
        <f t="shared" si="17"/>
        <v>N/A</v>
      </c>
      <c r="C193" s="642">
        <f t="shared" si="18"/>
        <v>0</v>
      </c>
      <c r="D193" s="1342">
        <f>IF(B193&lt;&gt; "", 'Land requirements'!F21, 0)</f>
        <v>0</v>
      </c>
      <c r="E193" s="1135">
        <f>IFERROR(VLOOKUP(B193,'Feed parameters'!$A$2:$M$112,10,FALSE),0)</f>
        <v>50</v>
      </c>
      <c r="F193" s="1135">
        <f>IFERROR(VLOOKUP(B193,'Feed parameters'!$A$2:$M$112,11,FALSE),0)</f>
        <v>30</v>
      </c>
      <c r="G193" s="1135">
        <f>IFERROR(VLOOKUP(B193,'Feed parameters'!$A$2:$M$112,12,FALSE),0)</f>
        <v>5</v>
      </c>
      <c r="H193" s="1346">
        <f>IFERROR(VLOOKUP(B193,'Feed parameters'!$A$2:$N$112,13,FALSE),0)+IFERROR(VLOOKUP(B193,'Feed parameters'!$A$2:$N$112,14,FALSE),0)*'Meat &amp; Milk '!$D$17*($D$10*IF(C60&gt;0,1,0)+$D$11*IF(C71&gt;0,1,0)+$D$12*IF(C82&gt;0,1,0))</f>
        <v>10</v>
      </c>
      <c r="I193" s="653"/>
      <c r="K193" s="1341">
        <f>IF(C193&lt;&gt;0,(C193*F193+C193*H193*Economics_Parameters!$C$14+C193*Economics_Parameters!$C$19),D193*F193)</f>
        <v>0</v>
      </c>
      <c r="AE193" s="418"/>
      <c r="AF193" s="418"/>
    </row>
    <row r="194" spans="2:33">
      <c r="B194" s="1141" t="str">
        <f t="shared" si="17"/>
        <v>N/A</v>
      </c>
      <c r="C194" s="642">
        <f t="shared" si="18"/>
        <v>0</v>
      </c>
      <c r="D194" s="1342">
        <f>IF(B194&lt;&gt; "", 'Land requirements'!F22, 0)</f>
        <v>0</v>
      </c>
      <c r="E194" s="1135">
        <f>IFERROR(VLOOKUP(B194,'Feed parameters'!$A$2:$M$112,10,FALSE),0)</f>
        <v>50</v>
      </c>
      <c r="F194" s="1135">
        <f>IFERROR(VLOOKUP(B194,'Feed parameters'!$A$2:$M$112,11,FALSE),0)</f>
        <v>30</v>
      </c>
      <c r="G194" s="1135">
        <f>IFERROR(VLOOKUP(B194,'Feed parameters'!$A$2:$M$112,12,FALSE),0)</f>
        <v>5</v>
      </c>
      <c r="H194" s="1346">
        <f>IFERROR(VLOOKUP(B194,'Feed parameters'!$A$2:$N$112,13,FALSE),0)+IFERROR(VLOOKUP(B194,'Feed parameters'!$A$2:$N$112,14,FALSE),0)*'Meat &amp; Milk '!$D$17*($D$10*IF(C61&gt;0,1,0)+$D$11*IF(C72&gt;0,1,0)+$D$12*IF(C83&gt;0,1,0))</f>
        <v>10</v>
      </c>
      <c r="I194" s="653"/>
      <c r="K194" s="1341">
        <f>IF(C194&lt;&gt;0,(C194*F194+C194*H194*Economics_Parameters!$C$14+C194*Economics_Parameters!$C$19),D194*F194)</f>
        <v>0</v>
      </c>
      <c r="AD194" s="418"/>
      <c r="AE194" s="418"/>
      <c r="AF194" s="418"/>
    </row>
    <row r="195" spans="2:33" ht="16.5" thickBot="1">
      <c r="B195" s="1141" t="str">
        <f t="shared" si="17"/>
        <v>N/A</v>
      </c>
      <c r="C195" s="642">
        <f t="shared" si="18"/>
        <v>0</v>
      </c>
      <c r="D195" s="1342">
        <f>IF(B195&lt;&gt; "", 'Land requirements'!F23, 0)</f>
        <v>0</v>
      </c>
      <c r="E195" s="1137">
        <f>IFERROR(VLOOKUP(B195,'Feed parameters'!$A$2:$M$112,10,FALSE),0)</f>
        <v>50</v>
      </c>
      <c r="F195" s="1137">
        <f>IFERROR(VLOOKUP(B195,'Feed parameters'!$A$2:$M$112,11,FALSE),0)</f>
        <v>30</v>
      </c>
      <c r="G195" s="1137">
        <f>IFERROR(VLOOKUP(B195,'Feed parameters'!$A$2:$M$112,12,FALSE),0)</f>
        <v>5</v>
      </c>
      <c r="H195" s="1346">
        <f>IFERROR(VLOOKUP(B195,'Feed parameters'!$A$2:$N$112,13,FALSE),0)+IFERROR(VLOOKUP(B195,'Feed parameters'!$A$2:$N$112,14,FALSE),0)*'Meat &amp; Milk '!$D$17*($D$10*IF(C62&gt;0,1,0)+$D$11*IF(C73&gt;0,1,0)+$D$12*IF(C84&gt;0,1,0))</f>
        <v>10</v>
      </c>
      <c r="I195" s="684"/>
      <c r="K195" s="1341">
        <f>IF(C195&lt;&gt;0,(C195*F195+C195*H195*Economics_Parameters!$C$14+C195*Economics_Parameters!$C$19),D195*F195)</f>
        <v>0</v>
      </c>
      <c r="AD195" s="418"/>
      <c r="AE195" s="418"/>
      <c r="AF195" s="418"/>
    </row>
    <row r="196" spans="2:33" ht="16.5" thickBot="1">
      <c r="B196" s="834"/>
      <c r="C196" s="416"/>
      <c r="K196" s="1343">
        <f>SUM(K189:K195)</f>
        <v>264.80944207025254</v>
      </c>
      <c r="AD196" s="418"/>
      <c r="AE196" s="418"/>
      <c r="AF196" s="418"/>
    </row>
    <row r="197" spans="2:33" ht="16.5" thickBot="1">
      <c r="B197" s="643" t="s">
        <v>1190</v>
      </c>
      <c r="C197" s="332"/>
      <c r="D197" s="332"/>
      <c r="E197" s="332"/>
      <c r="F197" s="332"/>
      <c r="G197" s="599"/>
      <c r="H197" s="586"/>
      <c r="AC197" s="418"/>
      <c r="AD197" s="418"/>
      <c r="AE197" s="418"/>
      <c r="AF197" s="418"/>
    </row>
    <row r="198" spans="2:33" ht="31.5">
      <c r="B198" s="571" t="s">
        <v>1173</v>
      </c>
      <c r="C198" s="1352" t="s">
        <v>1855</v>
      </c>
      <c r="D198" s="583" t="s">
        <v>1854</v>
      </c>
      <c r="E198" s="584" t="s">
        <v>1856</v>
      </c>
      <c r="F198" s="838" t="s">
        <v>1857</v>
      </c>
      <c r="G198" s="844" t="s">
        <v>1175</v>
      </c>
      <c r="AC198" s="418"/>
      <c r="AD198" s="418"/>
    </row>
    <row r="199" spans="2:33">
      <c r="B199" s="685" t="s">
        <v>1245</v>
      </c>
      <c r="C199" s="675">
        <v>250</v>
      </c>
      <c r="D199" s="675">
        <v>0</v>
      </c>
      <c r="E199" s="675">
        <v>5</v>
      </c>
      <c r="F199" s="836">
        <v>1</v>
      </c>
      <c r="G199" s="845"/>
      <c r="AC199" s="418"/>
      <c r="AD199" s="418"/>
    </row>
    <row r="200" spans="2:33">
      <c r="B200" s="685"/>
      <c r="C200" s="675"/>
      <c r="D200" s="675"/>
      <c r="E200" s="675"/>
      <c r="F200" s="836"/>
      <c r="G200" s="845"/>
      <c r="AB200" s="418"/>
      <c r="AC200" s="418"/>
      <c r="AD200" s="418"/>
    </row>
    <row r="201" spans="2:33" ht="16.5" thickBot="1">
      <c r="B201" s="686"/>
      <c r="C201" s="683"/>
      <c r="D201" s="683"/>
      <c r="E201" s="683"/>
      <c r="F201" s="837"/>
      <c r="G201" s="846"/>
      <c r="AB201" s="418"/>
      <c r="AC201" s="418"/>
    </row>
    <row r="202" spans="2:33">
      <c r="B202" s="426"/>
      <c r="AB202" s="418"/>
      <c r="AC202" s="418"/>
    </row>
    <row r="203" spans="2:33">
      <c r="H203" s="72"/>
      <c r="I203" s="72"/>
      <c r="J203" s="72"/>
      <c r="AA203" s="418"/>
      <c r="AB203" s="418"/>
      <c r="AC203" s="418"/>
    </row>
    <row r="204" spans="2:33">
      <c r="B204" s="826" t="s">
        <v>1436</v>
      </c>
      <c r="C204" s="827">
        <f>SUMMARY!$D$16</f>
        <v>-20.591895992203309</v>
      </c>
      <c r="H204" s="72"/>
      <c r="I204" s="72"/>
      <c r="J204" s="72"/>
      <c r="AA204" s="418"/>
      <c r="AB204" s="418"/>
    </row>
    <row r="205" spans="2:33">
      <c r="B205" s="72" t="s">
        <v>1437</v>
      </c>
      <c r="C205" s="742">
        <f>SUMMARY!$G$16</f>
        <v>-9.8007368303237659</v>
      </c>
      <c r="AA205" s="418"/>
      <c r="AB205" s="418"/>
    </row>
    <row r="206" spans="2:33">
      <c r="B206" s="72" t="s">
        <v>1335</v>
      </c>
      <c r="C206" s="1113">
        <f>'Soil impacts'!$C$2</f>
        <v>1</v>
      </c>
      <c r="V206" s="418"/>
      <c r="Z206" s="418"/>
      <c r="AA206" s="418"/>
      <c r="AB206" s="418"/>
    </row>
    <row r="207" spans="2:33">
      <c r="B207" s="72" t="s">
        <v>1336</v>
      </c>
      <c r="C207" s="1113">
        <f>'Soil impacts'!$D$2/100</f>
        <v>0</v>
      </c>
      <c r="V207" s="418"/>
      <c r="W207" s="418"/>
      <c r="Z207" s="418"/>
      <c r="AA207" s="418"/>
    </row>
    <row r="208" spans="2:33">
      <c r="B208" s="72" t="s">
        <v>1461</v>
      </c>
      <c r="C208" s="742">
        <f>SUMMARY!$D$21</f>
        <v>21.841168892383468</v>
      </c>
      <c r="U208" s="418"/>
      <c r="V208" s="418"/>
      <c r="W208" s="418"/>
      <c r="X208" s="418"/>
      <c r="Z208" s="418"/>
      <c r="AA208" s="418"/>
      <c r="AG208" s="418"/>
    </row>
    <row r="209" spans="2:33">
      <c r="B209" s="72" t="s">
        <v>1444</v>
      </c>
      <c r="C209" s="742">
        <f>SUMMARY!$D$6</f>
        <v>2.1010559051531086</v>
      </c>
      <c r="U209" s="418"/>
      <c r="V209" s="418"/>
      <c r="W209" s="418"/>
      <c r="X209" s="418"/>
      <c r="Y209" s="418"/>
      <c r="Z209" s="418"/>
      <c r="AA209" s="418"/>
      <c r="AG209" s="418"/>
    </row>
    <row r="210" spans="2:33">
      <c r="B210" s="72" t="s">
        <v>1445</v>
      </c>
      <c r="C210" s="742">
        <f>SUMMARY!$D$9</f>
        <v>1613.1450000000002</v>
      </c>
      <c r="T210" s="418"/>
      <c r="U210" s="418"/>
      <c r="V210" s="418"/>
      <c r="W210" s="418"/>
      <c r="X210" s="418"/>
      <c r="Y210" s="418"/>
      <c r="Z210" s="418"/>
      <c r="AG210" s="418"/>
    </row>
    <row r="211" spans="2:33">
      <c r="B211" s="72" t="s">
        <v>1446</v>
      </c>
      <c r="C211" s="742">
        <f>SUMMARY!$D$11</f>
        <v>90.47999999999999</v>
      </c>
      <c r="T211" s="418"/>
      <c r="U211" s="418"/>
      <c r="V211" s="418"/>
      <c r="W211" s="418"/>
      <c r="X211" s="418"/>
      <c r="Y211" s="418"/>
      <c r="Z211" s="418"/>
      <c r="AG211" s="418"/>
    </row>
    <row r="212" spans="2:33">
      <c r="B212" s="72" t="s">
        <v>1447</v>
      </c>
      <c r="C212" s="742">
        <f>SUMMARY!$D$13</f>
        <v>83.211165000000008</v>
      </c>
      <c r="T212" s="418"/>
      <c r="U212" s="418"/>
      <c r="V212" s="418"/>
      <c r="W212" s="418"/>
      <c r="X212" s="418"/>
      <c r="Y212" s="418"/>
      <c r="Z212" s="418"/>
      <c r="AG212" s="418"/>
    </row>
    <row r="213" spans="2:33">
      <c r="B213" s="72" t="s">
        <v>1438</v>
      </c>
      <c r="C213" s="742">
        <f>SUMMARY!$D$24</f>
        <v>5.715699472016091</v>
      </c>
      <c r="T213" s="418"/>
      <c r="U213" s="418"/>
      <c r="W213" s="418"/>
      <c r="X213" s="418"/>
      <c r="Y213" s="418"/>
      <c r="AG213" s="418"/>
    </row>
    <row r="214" spans="2:33">
      <c r="B214" s="72" t="s">
        <v>1439</v>
      </c>
      <c r="C214" s="742">
        <f>SUMMARY!J24</f>
        <v>3.5432025465882422</v>
      </c>
      <c r="T214" s="418"/>
      <c r="U214" s="418"/>
      <c r="X214" s="418"/>
      <c r="Y214" s="418"/>
      <c r="AG214" s="418"/>
    </row>
    <row r="215" spans="2:33">
      <c r="B215" s="72" t="s">
        <v>1440</v>
      </c>
      <c r="C215" s="742">
        <f>SUMMARY!J25</f>
        <v>63.17086065446609</v>
      </c>
      <c r="T215" s="418"/>
      <c r="Y215" s="418"/>
    </row>
    <row r="216" spans="2:33">
      <c r="B216" s="72" t="s">
        <v>1441</v>
      </c>
      <c r="C216" s="742">
        <f>SUMMARY!J26</f>
        <v>68.689093248677523</v>
      </c>
      <c r="T216" s="418"/>
    </row>
    <row r="217" spans="2:33">
      <c r="B217" s="72" t="s">
        <v>1451</v>
      </c>
      <c r="C217" s="742">
        <f>SUMMARY!G24</f>
        <v>2.7203938067509799</v>
      </c>
    </row>
    <row r="218" spans="2:33">
      <c r="B218" s="72" t="s">
        <v>1739</v>
      </c>
      <c r="C218" s="742">
        <f>SUMMARY!$G$30</f>
        <v>-1.2032550637200286</v>
      </c>
    </row>
    <row r="219" spans="2:33">
      <c r="B219" s="72" t="s">
        <v>1448</v>
      </c>
      <c r="C219" s="742">
        <f>SUMMARY!$J$29</f>
        <v>1.2280425231450096</v>
      </c>
    </row>
    <row r="220" spans="2:33">
      <c r="B220" s="72" t="s">
        <v>1449</v>
      </c>
      <c r="C220" s="742">
        <f>'Water Impacts'!B6</f>
        <v>21.894459062762564</v>
      </c>
    </row>
    <row r="221" spans="2:33">
      <c r="B221" s="72" t="s">
        <v>1473</v>
      </c>
      <c r="C221" s="742">
        <f>'Water Impacts'!B7</f>
        <v>23.80702945330421</v>
      </c>
    </row>
    <row r="222" spans="2:33">
      <c r="B222" s="72" t="s">
        <v>1452</v>
      </c>
      <c r="C222" s="742">
        <f>SUMMARY!$G$27</f>
        <v>942.86432414295803</v>
      </c>
    </row>
    <row r="223" spans="2:33">
      <c r="B223" s="72" t="s">
        <v>1450</v>
      </c>
      <c r="C223" s="742">
        <f>Productivity!B10/SUMMARY!D6</f>
        <v>1.2774529194664199</v>
      </c>
    </row>
    <row r="224" spans="2:33">
      <c r="B224" s="339" t="s">
        <v>1661</v>
      </c>
      <c r="C224" s="742">
        <f>SUMMARY!D44/C209</f>
        <v>391.11900354936853</v>
      </c>
    </row>
    <row r="225" spans="2:3">
      <c r="B225" s="339" t="s">
        <v>1662</v>
      </c>
      <c r="C225" s="742">
        <f>SUMMARY!D45/C209</f>
        <v>673.3801983089794</v>
      </c>
    </row>
    <row r="226" spans="2:3">
      <c r="B226" s="339" t="s">
        <v>1663</v>
      </c>
      <c r="C226" s="742">
        <f>C224-C225</f>
        <v>-282.26119475961087</v>
      </c>
    </row>
    <row r="227" spans="2:3">
      <c r="B227" s="72" t="str">
        <f>'Land requirements'!A4</f>
        <v>Concentrate (commercial)</v>
      </c>
      <c r="C227" s="742">
        <f>'Land requirements'!F4</f>
        <v>0</v>
      </c>
    </row>
    <row r="228" spans="2:3">
      <c r="B228" s="72" t="str">
        <f>'Land requirements'!A5</f>
        <v xml:space="preserve">Naturally occuring pasture - green fodder </v>
      </c>
      <c r="C228" s="742">
        <f>'Land requirements'!F5</f>
        <v>0.1765944930348417</v>
      </c>
    </row>
    <row r="229" spans="2:3">
      <c r="B229" s="72" t="str">
        <f>'Land requirements'!A6</f>
        <v>Maize (Zea mays) - stover</v>
      </c>
      <c r="C229" s="742">
        <f>'Land requirements'!F6</f>
        <v>1.9244614121182668</v>
      </c>
    </row>
    <row r="230" spans="2:3">
      <c r="B230" s="72" t="str">
        <f>'Land requirements'!A7</f>
        <v>N/A</v>
      </c>
      <c r="C230" s="742">
        <f>'Land requirements'!F7</f>
        <v>0</v>
      </c>
    </row>
    <row r="231" spans="2:3">
      <c r="B231" s="72" t="str">
        <f>'Land requirements'!A8</f>
        <v>N/A</v>
      </c>
      <c r="C231" s="742">
        <f>'Land requirements'!F8</f>
        <v>0</v>
      </c>
    </row>
    <row r="232" spans="2:3">
      <c r="B232" s="72" t="str">
        <f>'Land requirements'!A9</f>
        <v>N/A</v>
      </c>
      <c r="C232" s="742">
        <f>'Land requirements'!F9</f>
        <v>0</v>
      </c>
    </row>
    <row r="233" spans="2:3">
      <c r="B233" s="72" t="str">
        <f>'Land requirements'!A10</f>
        <v>N/A</v>
      </c>
      <c r="C233" s="742">
        <f>'Land requirements'!F10</f>
        <v>0</v>
      </c>
    </row>
    <row r="234" spans="2:3">
      <c r="B234" s="72" t="str">
        <f>INPUTS!C17</f>
        <v>Cows (improved)</v>
      </c>
      <c r="C234" s="742">
        <f>INPUTS!D17</f>
        <v>1</v>
      </c>
    </row>
    <row r="235" spans="2:3">
      <c r="B235" s="72" t="str">
        <f>INPUTS!C18</f>
        <v>Steers/heifers (improved)</v>
      </c>
      <c r="C235" s="742">
        <f>INPUTS!D18</f>
        <v>1</v>
      </c>
    </row>
  </sheetData>
  <sheetProtection selectLockedCells="1"/>
  <mergeCells count="8">
    <mergeCell ref="B5:B7"/>
    <mergeCell ref="B16:B25"/>
    <mergeCell ref="B32:B35"/>
    <mergeCell ref="B130:B136"/>
    <mergeCell ref="B90:B112"/>
    <mergeCell ref="B114:B121"/>
    <mergeCell ref="B45:B49"/>
    <mergeCell ref="B37:B42"/>
  </mergeCells>
  <phoneticPr fontId="46" type="noConversion"/>
  <dataValidations disablePrompts="1" count="13">
    <dataValidation allowBlank="1" showInputMessage="1" showErrorMessage="1" promptTitle="Crop" sqref="D91:D97"/>
    <dataValidation type="list" allowBlank="1" showInputMessage="1" showErrorMessage="1" sqref="I91:I97 M98:M103 G98:G103 AA85:AA90">
      <formula1>Land_cover_erosion</formula1>
    </dataValidation>
    <dataValidation type="list" allowBlank="1" showInputMessage="1" showErrorMessage="1" sqref="J91:J97 N98:N103 H98:H103 AB85:AB88">
      <formula1>Slope</formula1>
    </dataValidation>
    <dataValidation type="list" allowBlank="1" showInputMessage="1" showErrorMessage="1" sqref="K91:K97 O98:O103 I98:I103">
      <formula1>Slope_length</formula1>
    </dataValidation>
    <dataValidation type="whole" allowBlank="1" showInputMessage="1" showErrorMessage="1" sqref="F91:F97">
      <formula1>0</formula1>
      <formula2>1</formula2>
    </dataValidation>
    <dataValidation type="decimal" allowBlank="1" showInputMessage="1" showErrorMessage="1" sqref="G91:H97">
      <formula1>0</formula1>
      <formula2>1</formula2>
    </dataValidation>
    <dataValidation type="list" allowBlank="1" showInputMessage="1" showErrorMessage="1" sqref="E133">
      <formula1>RiceEcosystem</formula1>
    </dataValidation>
    <dataValidation type="list" allowBlank="1" showInputMessage="1" showErrorMessage="1" sqref="E134">
      <formula1>wateregime</formula1>
    </dataValidation>
    <dataValidation type="list" allowBlank="1" showInputMessage="1" showErrorMessage="1" sqref="E135">
      <formula1>OrganicAmendment</formula1>
    </dataValidation>
    <dataValidation type="list" allowBlank="1" showInputMessage="1" showErrorMessage="1" promptTitle="Crop" sqref="D98:D103">
      <formula1>$A$1:$A$63</formula1>
    </dataValidation>
    <dataValidation type="decimal" allowBlank="1" showInputMessage="1" showErrorMessage="1" errorTitle="Wrong value put in" error="Value should be between 0.0 - 1 e.g 0.4 to mean 40%" sqref="H17:J30">
      <formula1>0</formula1>
      <formula2>1</formula2>
    </dataValidation>
    <dataValidation type="decimal" allowBlank="1" showInputMessage="1" showErrorMessage="1" errorTitle="Wrong INPUT Value" error="Value should be between 0.0 - 1 e.g 0.4 to mean 40%" sqref="K17:O30">
      <formula1>0</formula1>
      <formula2>1</formula2>
    </dataValidation>
    <dataValidation type="whole" allowBlank="1" showInputMessage="1" showErrorMessage="1" errorTitle="Wrong INPUT value" error="Value should be between 0.0 - 1 e.g 0.4 to mean 40%" sqref="Q17:Q30">
      <formula1>0</formula1>
      <formula2>1</formula2>
    </dataValidation>
  </dataValidations>
  <pageMargins left="0.75" right="0.75" top="1" bottom="1" header="0.5" footer="0.5"/>
  <pageSetup paperSize="9" orientation="portrait" horizontalDpi="4294967292" verticalDpi="4294967292" r:id="rId1"/>
  <drawing r:id="rId2"/>
  <legacyDrawing r:id="rId3"/>
  <controls>
    <mc:AlternateContent xmlns:mc="http://schemas.openxmlformats.org/markup-compatibility/2006">
      <mc:Choice Requires="x14">
        <control shapeId="142352" r:id="rId4" name="CommandButton1">
          <controlPr defaultSize="0" autoLine="0" r:id="rId5">
            <anchor moveWithCells="1">
              <from>
                <xdr:col>5</xdr:col>
                <xdr:colOff>1076325</xdr:colOff>
                <xdr:row>125</xdr:row>
                <xdr:rowOff>95250</xdr:rowOff>
              </from>
              <to>
                <xdr:col>6</xdr:col>
                <xdr:colOff>800100</xdr:colOff>
                <xdr:row>129</xdr:row>
                <xdr:rowOff>152400</xdr:rowOff>
              </to>
            </anchor>
          </controlPr>
        </control>
      </mc:Choice>
      <mc:Fallback>
        <control shapeId="142352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9">
        <x14:dataValidation type="list" allowBlank="1" showInputMessage="1" showErrorMessage="1">
          <x14:formula1>
            <xm:f>'D:\ToBackup\@CIAT\CRP @Livestock and Environment\@CLEANED\Kalkulator June 2017\[T1_Nica_GENERAL_051217.xlsm]Soil erosion parameters'!#REF!</xm:f>
          </x14:formula1>
          <xm:sqref>I91:I97 G98:G103</xm:sqref>
        </x14:dataValidation>
        <x14:dataValidation type="list" allowBlank="1" showInputMessage="1" showErrorMessage="1">
          <x14:formula1>
            <xm:f>'D:\ToBackup\@CIAT\CRP @Livestock and Environment\@CLEANED\Kalkulator June 2017\[T1_Nica_GENERAL_051217.xlsm]GHG Rice'!#REF!</xm:f>
          </x14:formula1>
          <xm:sqref>F133:I135</xm:sqref>
        </x14:dataValidation>
        <x14:dataValidation type="list" allowBlank="1" showInputMessage="1" showErrorMessage="1">
          <x14:formula1>
            <xm:f>'Crop parameters'!$A$45:$A$47</xm:f>
          </x14:formula1>
          <xm:sqref>E91:E97</xm:sqref>
        </x14:dataValidation>
        <x14:dataValidation type="list" allowBlank="1" showInputMessage="1" showErrorMessage="1" promptTitle="Crop">
          <x14:formula1>
            <xm:f>'D:\ToBackup\@CIAT\CRP @Livestock and Environment\@CLEANED\Kalkulator June 2017\[T1_Nica_GENERAL_051217.xlsm]Crop parameters'!#REF!</xm:f>
          </x14:formula1>
          <xm:sqref>K98:K103</xm:sqref>
        </x14:dataValidation>
        <x14:dataValidation type="list" allowBlank="1" showInputMessage="1" showErrorMessage="1" promptTitle="Definition of options" prompt="Solid storage - manure is stacked and in piles are stacks and is dry _x000a_Dry lot - manure storage in paved or unpave area where manure can be removed periodicaly_x000a_Pasute/range/paddock - Manure is left on pasture to decompose no managment_x000a__x000a_">
          <x14:formula1>
            <xm:f>'GHG Parameters'!$A$91:$A$93</xm:f>
          </x14:formula1>
          <xm:sqref>D33:D35</xm:sqref>
        </x14:dataValidation>
        <x14:dataValidation type="list" allowBlank="1" showInputMessage="1" showErrorMessage="1">
          <x14:formula1>
            <xm:f>'SOC parameters'!$D$45:$D$52</xm:f>
          </x14:formula1>
          <xm:sqref>L91:L97</xm:sqref>
        </x14:dataValidation>
        <x14:dataValidation type="list" allowBlank="1" showInputMessage="1" showErrorMessage="1">
          <x14:formula1>
            <xm:f>'Livestock parameters'!$A$20:$A$38</xm:f>
          </x14:formula1>
          <xm:sqref>C17:C30</xm:sqref>
        </x14:dataValidation>
        <x14:dataValidation type="list" allowBlank="1" showInputMessage="1" showErrorMessage="1">
          <x14:formula1>
            <xm:f>'GHG Parameters'!$A$3:$A$5</xm:f>
          </x14:formula1>
          <xm:sqref>E3</xm:sqref>
        </x14:dataValidation>
        <x14:dataValidation type="list" allowBlank="1" showInputMessage="1" showErrorMessage="1">
          <x14:formula1>
            <xm:f>'Feed parameters'!$A$3:$A$113</xm:f>
          </x14:formula1>
          <xm:sqref>B56:B62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0000"/>
  </sheetPr>
  <dimension ref="A1:L52"/>
  <sheetViews>
    <sheetView zoomScale="89" zoomScaleNormal="89" workbookViewId="0">
      <selection activeCell="G28" sqref="G28"/>
    </sheetView>
  </sheetViews>
  <sheetFormatPr defaultColWidth="11" defaultRowHeight="15.75"/>
  <cols>
    <col min="1" max="1" width="44.625" style="1325" bestFit="1" customWidth="1"/>
    <col min="2" max="2" width="35.625" style="1325" customWidth="1"/>
    <col min="3" max="5" width="11.5" style="1325" customWidth="1"/>
    <col min="6" max="6" width="9.5" style="1325" customWidth="1"/>
    <col min="7" max="16384" width="11" style="1325"/>
  </cols>
  <sheetData>
    <row r="1" spans="1:12" s="555" customFormat="1" ht="16.5" thickBot="1"/>
    <row r="2" spans="1:12">
      <c r="A2" s="1454" t="s">
        <v>1122</v>
      </c>
      <c r="B2" s="1455"/>
      <c r="C2" s="1455"/>
      <c r="D2" s="1455"/>
      <c r="E2" s="1455"/>
      <c r="F2" s="1456"/>
      <c r="G2" s="145"/>
      <c r="H2" s="145"/>
      <c r="I2" s="145"/>
      <c r="J2" s="942"/>
      <c r="K2" s="942"/>
      <c r="L2" s="942"/>
    </row>
    <row r="3" spans="1:12">
      <c r="A3" s="391" t="s">
        <v>1082</v>
      </c>
      <c r="B3" s="392" t="s">
        <v>1099</v>
      </c>
      <c r="C3" s="1330" t="s">
        <v>1810</v>
      </c>
      <c r="D3" s="1330" t="s">
        <v>815</v>
      </c>
      <c r="E3" s="1331" t="s">
        <v>1812</v>
      </c>
      <c r="F3" s="1332" t="s">
        <v>126</v>
      </c>
      <c r="G3" s="145"/>
      <c r="H3" s="1146" t="s">
        <v>1372</v>
      </c>
      <c r="I3" s="1147" t="s">
        <v>1371</v>
      </c>
      <c r="J3" s="942"/>
      <c r="K3" s="943" t="s">
        <v>1373</v>
      </c>
      <c r="L3" s="943" t="s">
        <v>1328</v>
      </c>
    </row>
    <row r="4" spans="1:12">
      <c r="A4" s="1333" t="str">
        <f>INPUTS!C91</f>
        <v>Concentrate (commercial)</v>
      </c>
      <c r="B4" s="394" t="str">
        <f>INPUTS!D91</f>
        <v>Purchased</v>
      </c>
      <c r="C4" s="622">
        <f>'Land Requirement '!O21</f>
        <v>0</v>
      </c>
      <c r="D4" s="622">
        <f>'Land Requirement '!P21</f>
        <v>0</v>
      </c>
      <c r="E4" s="622">
        <f>'Land Requirement '!Q21</f>
        <v>0</v>
      </c>
      <c r="F4" s="623">
        <f>C4+D4+E4</f>
        <v>0</v>
      </c>
      <c r="G4" s="145"/>
      <c r="H4" s="1145">
        <f>IF(VLOOKUP(B4,'Crop parameters'!$A$2:$Z$43,22)="grass",F4,0)</f>
        <v>0</v>
      </c>
      <c r="I4" s="1145">
        <f>IF(VLOOKUP(B4,'Crop parameters'!$A$2:$Z$43,22)="tree crop",F4,0)+IF(VLOOKUP(B4,'Crop parameters'!$A$2:$Z$43,22)="tree legume",F4,0)</f>
        <v>0</v>
      </c>
      <c r="J4" s="942"/>
      <c r="K4" s="942" t="str">
        <f t="shared" ref="K4:K10" si="0">IF(VLOOKUP(I4,$I$4:$I$10,1),B4,"")</f>
        <v/>
      </c>
      <c r="L4" s="942" t="str">
        <f t="shared" ref="L4:L10" si="1">IF(VLOOKUP(I4,$I$4:$I$10,1),I4,"")</f>
        <v/>
      </c>
    </row>
    <row r="5" spans="1:12">
      <c r="A5" s="1333" t="str">
        <f>INPUTS!C92</f>
        <v xml:space="preserve">Naturally occuring pasture - green fodder </v>
      </c>
      <c r="B5" s="394" t="str">
        <f>INPUTS!D92</f>
        <v>Natural pasture</v>
      </c>
      <c r="C5" s="622">
        <f>'Land Requirement '!AE21</f>
        <v>0.10740815740749278</v>
      </c>
      <c r="D5" s="622">
        <f>'Land Requirement '!AF21</f>
        <v>6.9186335627348938E-2</v>
      </c>
      <c r="E5" s="622">
        <f>'Land Requirement '!AG21</f>
        <v>0</v>
      </c>
      <c r="F5" s="623">
        <f t="shared" ref="F5:F10" si="2">C5+D5+E5</f>
        <v>0.1765944930348417</v>
      </c>
      <c r="G5" s="145"/>
      <c r="H5" s="1145">
        <f>IF(VLOOKUP(B5,'Crop parameters'!$A$2:$Z$43,22)="grass",F5,0)</f>
        <v>0.1765944930348417</v>
      </c>
      <c r="I5" s="1145">
        <f>IF(VLOOKUP(B5,'Crop parameters'!$A$2:$Z$43,22)="tree crop",F5,0)+IF(VLOOKUP(B5,'Crop parameters'!$A$2:$Z$43,22)="tree legume",F5,0)</f>
        <v>0</v>
      </c>
      <c r="J5" s="942"/>
      <c r="K5" s="942" t="str">
        <f t="shared" si="0"/>
        <v/>
      </c>
      <c r="L5" s="942" t="str">
        <f t="shared" si="1"/>
        <v/>
      </c>
    </row>
    <row r="6" spans="1:12">
      <c r="A6" s="1333" t="str">
        <f>INPUTS!C93</f>
        <v>Maize (Zea mays) - stover</v>
      </c>
      <c r="B6" s="394" t="str">
        <f>INPUTS!D93</f>
        <v>Maize</v>
      </c>
      <c r="C6" s="622">
        <f>'Land Requirement '!AU21</f>
        <v>1.1704943383294664</v>
      </c>
      <c r="D6" s="622">
        <f>'Land Requirement '!AV21</f>
        <v>0.75396707378880046</v>
      </c>
      <c r="E6" s="622">
        <f>'Land Requirement '!AW21</f>
        <v>0</v>
      </c>
      <c r="F6" s="623">
        <f t="shared" si="2"/>
        <v>1.9244614121182668</v>
      </c>
      <c r="G6" s="145"/>
      <c r="H6" s="1145">
        <f>IF(VLOOKUP(B6,'Crop parameters'!$A$2:$Z$43,22)="grass",F6,0)</f>
        <v>0</v>
      </c>
      <c r="I6" s="1145">
        <f>IF(VLOOKUP(B6,'Crop parameters'!$A$2:$Z$43,22)="tree crop",F6,0)+IF(VLOOKUP(B6,'Crop parameters'!$A$2:$Z$43,22)="tree legume",F6,0)</f>
        <v>0</v>
      </c>
      <c r="J6" s="942"/>
      <c r="K6" s="942" t="str">
        <f t="shared" si="0"/>
        <v/>
      </c>
      <c r="L6" s="942" t="str">
        <f t="shared" si="1"/>
        <v/>
      </c>
    </row>
    <row r="7" spans="1:12">
      <c r="A7" s="1333" t="str">
        <f>INPUTS!C94</f>
        <v>N/A</v>
      </c>
      <c r="B7" s="394" t="str">
        <f>INPUTS!D94</f>
        <v>N/A</v>
      </c>
      <c r="C7" s="622">
        <f>'Land Requirement '!BK21</f>
        <v>0</v>
      </c>
      <c r="D7" s="622">
        <f>'Land Requirement '!BL21</f>
        <v>0</v>
      </c>
      <c r="E7" s="622">
        <f>'Land Requirement '!BM21</f>
        <v>0</v>
      </c>
      <c r="F7" s="623">
        <f t="shared" si="2"/>
        <v>0</v>
      </c>
      <c r="G7" s="145"/>
      <c r="H7" s="1145">
        <f>IF(VLOOKUP(B7,'Crop parameters'!$A$2:$Z$43,22)="grass",F7,0)</f>
        <v>0</v>
      </c>
      <c r="I7" s="1145">
        <f>IF(VLOOKUP(B7,'Crop parameters'!$A$2:$Z$43,22)="tree crop",F7,0)+IF(VLOOKUP(B7,'Crop parameters'!$A$2:$Z$43,22)="tree legume",F7,0)</f>
        <v>0</v>
      </c>
      <c r="J7" s="942"/>
      <c r="K7" s="942" t="str">
        <f t="shared" si="0"/>
        <v/>
      </c>
      <c r="L7" s="942" t="str">
        <f t="shared" si="1"/>
        <v/>
      </c>
    </row>
    <row r="8" spans="1:12">
      <c r="A8" s="1333" t="str">
        <f>INPUTS!C95</f>
        <v>N/A</v>
      </c>
      <c r="B8" s="394" t="str">
        <f>INPUTS!D95</f>
        <v>N/A</v>
      </c>
      <c r="C8" s="622">
        <f>'Land Requirement '!CA21</f>
        <v>0</v>
      </c>
      <c r="D8" s="622">
        <f>'Land Requirement '!CB21</f>
        <v>0</v>
      </c>
      <c r="E8" s="622">
        <f>'Land Requirement '!CC21</f>
        <v>0</v>
      </c>
      <c r="F8" s="623">
        <f t="shared" si="2"/>
        <v>0</v>
      </c>
      <c r="G8" s="145"/>
      <c r="H8" s="1145">
        <f>IF(VLOOKUP(B8,'Crop parameters'!$A$2:$Z$43,22)="grass",F8,0)</f>
        <v>0</v>
      </c>
      <c r="I8" s="1145">
        <f>IF(VLOOKUP(B8,'Crop parameters'!$A$2:$Z$43,22)="tree crop",F8,0)+IF(VLOOKUP(B8,'Crop parameters'!$A$2:$Z$43,22)="tree legume",F8,0)</f>
        <v>0</v>
      </c>
      <c r="J8" s="942"/>
      <c r="K8" s="942" t="str">
        <f t="shared" si="0"/>
        <v/>
      </c>
      <c r="L8" s="942" t="str">
        <f t="shared" si="1"/>
        <v/>
      </c>
    </row>
    <row r="9" spans="1:12">
      <c r="A9" s="1333" t="str">
        <f>INPUTS!C96</f>
        <v>N/A</v>
      </c>
      <c r="B9" s="394" t="str">
        <f>INPUTS!D96</f>
        <v>N/A</v>
      </c>
      <c r="C9" s="622">
        <f>'Land Requirement '!CQ21</f>
        <v>0</v>
      </c>
      <c r="D9" s="622">
        <f>'Land Requirement '!CR21</f>
        <v>0</v>
      </c>
      <c r="E9" s="622">
        <f>'Land Requirement '!CS21</f>
        <v>0</v>
      </c>
      <c r="F9" s="623">
        <f t="shared" si="2"/>
        <v>0</v>
      </c>
      <c r="G9" s="145"/>
      <c r="H9" s="1145">
        <f>IF(VLOOKUP(B9,'Crop parameters'!$A$2:$Z$43,22)="grass",F9,0)</f>
        <v>0</v>
      </c>
      <c r="I9" s="1145">
        <f>IF(VLOOKUP(B9,'Crop parameters'!$A$2:$Z$43,22)="tree crop",F9,0)+IF(VLOOKUP(B9,'Crop parameters'!$A$2:$Z$43,22)="tree legume",F9,0)</f>
        <v>0</v>
      </c>
      <c r="J9" s="942"/>
      <c r="K9" s="942" t="str">
        <f t="shared" si="0"/>
        <v/>
      </c>
      <c r="L9" s="942" t="str">
        <f t="shared" si="1"/>
        <v/>
      </c>
    </row>
    <row r="10" spans="1:12">
      <c r="A10" s="1333" t="str">
        <f>INPUTS!C97</f>
        <v>N/A</v>
      </c>
      <c r="B10" s="394" t="str">
        <f>INPUTS!D97</f>
        <v>N/A</v>
      </c>
      <c r="C10" s="622">
        <f>'Land Requirement '!DG21</f>
        <v>0</v>
      </c>
      <c r="D10" s="622">
        <f>'Land Requirement '!DH21</f>
        <v>0</v>
      </c>
      <c r="E10" s="622">
        <f>'Land Requirement '!DI21</f>
        <v>0</v>
      </c>
      <c r="F10" s="623">
        <f t="shared" si="2"/>
        <v>0</v>
      </c>
      <c r="G10" s="145"/>
      <c r="H10" s="1145">
        <f>IF(VLOOKUP(B10,'Crop parameters'!$A$2:$Z$43,22)="grass",F10,0)</f>
        <v>0</v>
      </c>
      <c r="I10" s="1145">
        <f>IF(VLOOKUP(B10,'Crop parameters'!$A$2:$Z$43,22)="tree crop",F10,0)+IF(VLOOKUP(B10,'Crop parameters'!$A$2:$Z$43,22)="tree legume",F10,0)</f>
        <v>0</v>
      </c>
      <c r="J10" s="942"/>
      <c r="K10" s="942" t="str">
        <f t="shared" si="0"/>
        <v/>
      </c>
      <c r="L10" s="942" t="str">
        <f t="shared" si="1"/>
        <v/>
      </c>
    </row>
    <row r="11" spans="1:12">
      <c r="A11" s="393"/>
      <c r="B11" s="395" t="s">
        <v>1091</v>
      </c>
      <c r="C11" s="624">
        <f>SUM(C4:C10)</f>
        <v>1.2779024957369591</v>
      </c>
      <c r="D11" s="624">
        <f t="shared" ref="D11:E11" si="3">SUM(D4:D10)</f>
        <v>0.82315340941614945</v>
      </c>
      <c r="E11" s="624">
        <f t="shared" si="3"/>
        <v>0</v>
      </c>
      <c r="F11" s="625">
        <f>SUM(F4:F10)</f>
        <v>2.1010559051531086</v>
      </c>
      <c r="G11" s="145"/>
      <c r="H11" s="1145">
        <f>SUM(H4:H10)</f>
        <v>0.1765944930348417</v>
      </c>
      <c r="I11" s="1145">
        <f>IF(VLOOKUP(B11,'Crop parameters'!$A$2:$Z$43,22)="tree crop",F11,0)+IF(VLOOKUP(B11,'Crop parameters'!$A$2:$Z$43,22)="tree legume",F11,0)</f>
        <v>0</v>
      </c>
      <c r="J11" s="942"/>
      <c r="K11" s="942"/>
      <c r="L11" s="942"/>
    </row>
    <row r="12" spans="1:12" ht="16.5" thickBot="1">
      <c r="A12" s="396"/>
      <c r="B12" s="397" t="s">
        <v>1562</v>
      </c>
      <c r="C12" s="397"/>
      <c r="D12" s="397"/>
      <c r="E12" s="397"/>
      <c r="F12" s="398">
        <f>F11/Productivity!B14*1000</f>
        <v>1.3024594225274904</v>
      </c>
      <c r="G12" s="145"/>
      <c r="H12" s="145"/>
      <c r="I12" s="145"/>
    </row>
    <row r="13" spans="1:12">
      <c r="G13" s="145"/>
      <c r="H13" s="145"/>
      <c r="I13" s="145"/>
    </row>
    <row r="14" spans="1:12" ht="16.5" thickBot="1">
      <c r="G14" s="145"/>
      <c r="H14" s="145"/>
      <c r="I14" s="145"/>
    </row>
    <row r="15" spans="1:12">
      <c r="A15" s="1454" t="s">
        <v>1121</v>
      </c>
      <c r="B15" s="1455"/>
      <c r="C15" s="1455"/>
      <c r="D15" s="1455"/>
      <c r="E15" s="1455"/>
      <c r="F15" s="1456"/>
      <c r="G15" s="145"/>
      <c r="H15" s="145"/>
      <c r="I15" s="145"/>
    </row>
    <row r="16" spans="1:12">
      <c r="A16" s="391" t="s">
        <v>1082</v>
      </c>
      <c r="B16" s="392" t="s">
        <v>1099</v>
      </c>
      <c r="C16" s="1330" t="s">
        <v>1810</v>
      </c>
      <c r="D16" s="1330" t="s">
        <v>815</v>
      </c>
      <c r="E16" s="1331" t="s">
        <v>1812</v>
      </c>
      <c r="F16" s="1332" t="s">
        <v>126</v>
      </c>
      <c r="G16" s="145"/>
      <c r="H16" s="145"/>
      <c r="I16" s="1148"/>
    </row>
    <row r="17" spans="1:9">
      <c r="A17" s="1333" t="str">
        <f>INPUTS!C91</f>
        <v>Concentrate (commercial)</v>
      </c>
      <c r="B17" s="394" t="str">
        <f>INPUTS!D91</f>
        <v>Purchased</v>
      </c>
      <c r="C17" s="407">
        <f xml:space="preserve"> 'Land Requirement '!B20</f>
        <v>375.79701041834443</v>
      </c>
      <c r="D17" s="407">
        <f xml:space="preserve"> 'Land Requirement '!C20</f>
        <v>242.06744364785249</v>
      </c>
      <c r="E17" s="407">
        <f xml:space="preserve"> 'Land Requirement '!D20</f>
        <v>0</v>
      </c>
      <c r="F17" s="408">
        <f>SUM(C17:E17)</f>
        <v>617.86445406619691</v>
      </c>
      <c r="G17" s="145"/>
      <c r="H17" s="145"/>
      <c r="I17" s="145"/>
    </row>
    <row r="18" spans="1:9">
      <c r="A18" s="1333" t="str">
        <f>INPUTS!C92</f>
        <v xml:space="preserve">Naturally occuring pasture - green fodder </v>
      </c>
      <c r="B18" s="394" t="str">
        <f>INPUTS!D92</f>
        <v>Natural pasture</v>
      </c>
      <c r="C18" s="407">
        <f>'Land Requirement '!R20</f>
        <v>1261.5088087510026</v>
      </c>
      <c r="D18" s="407">
        <f>'Land Requirement '!S20</f>
        <v>812.59351194321334</v>
      </c>
      <c r="E18" s="407">
        <f>'Land Requirement '!T20</f>
        <v>0</v>
      </c>
      <c r="F18" s="408">
        <f t="shared" ref="F18:F23" si="4">SUM(C18:E18)</f>
        <v>2074.1023206942159</v>
      </c>
      <c r="G18" s="145"/>
      <c r="H18" s="145"/>
      <c r="I18" s="145"/>
    </row>
    <row r="19" spans="1:9">
      <c r="A19" s="1333" t="str">
        <f>INPUTS!C93</f>
        <v>Maize (Zea mays) - stover</v>
      </c>
      <c r="B19" s="394" t="str">
        <f>INPUTS!D93</f>
        <v>Maize</v>
      </c>
      <c r="C19" s="407">
        <f>'Land Requirement '!AH20</f>
        <v>3124.1258132778357</v>
      </c>
      <c r="D19" s="407">
        <f>'Land Requirement '!AI20</f>
        <v>2012.3873481924797</v>
      </c>
      <c r="E19" s="407">
        <f>'Land Requirement '!AJ20</f>
        <v>0</v>
      </c>
      <c r="F19" s="408">
        <f t="shared" si="4"/>
        <v>5136.513161470315</v>
      </c>
      <c r="G19" s="145"/>
      <c r="H19" s="145"/>
      <c r="I19" s="145"/>
    </row>
    <row r="20" spans="1:9">
      <c r="A20" s="1333" t="str">
        <f>INPUTS!C94</f>
        <v>N/A</v>
      </c>
      <c r="B20" s="394" t="str">
        <f>INPUTS!D94</f>
        <v>N/A</v>
      </c>
      <c r="C20" s="407">
        <f>'Land Requirement '!AX20</f>
        <v>0</v>
      </c>
      <c r="D20" s="407">
        <f>'Land Requirement '!AY20</f>
        <v>0</v>
      </c>
      <c r="E20" s="407">
        <f>'Land Requirement '!AZ20</f>
        <v>0</v>
      </c>
      <c r="F20" s="408">
        <f t="shared" si="4"/>
        <v>0</v>
      </c>
      <c r="G20" s="145"/>
      <c r="H20" s="145"/>
      <c r="I20" s="145"/>
    </row>
    <row r="21" spans="1:9">
      <c r="A21" s="1333" t="str">
        <f>INPUTS!C95</f>
        <v>N/A</v>
      </c>
      <c r="B21" s="394" t="str">
        <f>INPUTS!D95</f>
        <v>N/A</v>
      </c>
      <c r="C21" s="407">
        <f>'Land Requirement '!BN20</f>
        <v>0</v>
      </c>
      <c r="D21" s="407">
        <f>'Land Requirement '!BO20</f>
        <v>0</v>
      </c>
      <c r="E21" s="407">
        <f>'Land Requirement '!BP20</f>
        <v>0</v>
      </c>
      <c r="F21" s="408">
        <f t="shared" si="4"/>
        <v>0</v>
      </c>
      <c r="G21" s="145"/>
      <c r="H21" s="145"/>
      <c r="I21" s="145"/>
    </row>
    <row r="22" spans="1:9">
      <c r="A22" s="1333" t="str">
        <f>INPUTS!C96</f>
        <v>N/A</v>
      </c>
      <c r="B22" s="394" t="str">
        <f>INPUTS!D96</f>
        <v>N/A</v>
      </c>
      <c r="C22" s="407">
        <f>'Land Requirement '!CD20</f>
        <v>0</v>
      </c>
      <c r="D22" s="407">
        <f>'Land Requirement '!CE20</f>
        <v>0</v>
      </c>
      <c r="E22" s="407">
        <f>'Land Requirement '!CF20</f>
        <v>0</v>
      </c>
      <c r="F22" s="408">
        <f t="shared" si="4"/>
        <v>0</v>
      </c>
      <c r="G22" s="145"/>
      <c r="H22" s="145"/>
      <c r="I22" s="145"/>
    </row>
    <row r="23" spans="1:9">
      <c r="A23" s="1333" t="str">
        <f>INPUTS!C97</f>
        <v>N/A</v>
      </c>
      <c r="B23" s="394" t="str">
        <f>INPUTS!D97</f>
        <v>N/A</v>
      </c>
      <c r="C23" s="407">
        <f>'Land Requirement '!CT20</f>
        <v>0</v>
      </c>
      <c r="D23" s="407">
        <f>'Land Requirement '!CU20</f>
        <v>0</v>
      </c>
      <c r="E23" s="407">
        <f>'Land Requirement '!CV20</f>
        <v>0</v>
      </c>
      <c r="F23" s="408">
        <f t="shared" si="4"/>
        <v>0</v>
      </c>
      <c r="G23" s="145"/>
      <c r="H23" s="145"/>
      <c r="I23" s="145"/>
    </row>
    <row r="24" spans="1:9">
      <c r="A24" s="393"/>
      <c r="B24" s="395" t="s">
        <v>1123</v>
      </c>
      <c r="C24" s="409">
        <f>SUM(C17:C23)</f>
        <v>4761.4316324471829</v>
      </c>
      <c r="D24" s="409">
        <f t="shared" ref="D24:E24" si="5">SUM(D17:D23)</f>
        <v>3067.0483037835456</v>
      </c>
      <c r="E24" s="409">
        <f t="shared" si="5"/>
        <v>0</v>
      </c>
      <c r="F24" s="410">
        <f>SUM(F17:F23)</f>
        <v>7828.4799362307276</v>
      </c>
      <c r="G24" s="145"/>
      <c r="H24" s="145"/>
      <c r="I24" s="145"/>
    </row>
    <row r="25" spans="1:9" ht="16.5" thickBot="1">
      <c r="A25" s="396"/>
      <c r="B25" s="397" t="s">
        <v>1561</v>
      </c>
      <c r="C25" s="411"/>
      <c r="D25" s="411"/>
      <c r="E25" s="411"/>
      <c r="F25" s="406">
        <f>F24/Productivity!B14</f>
        <v>4.8529301062401249</v>
      </c>
      <c r="G25" s="145"/>
      <c r="H25" s="145"/>
      <c r="I25" s="145"/>
    </row>
    <row r="29" spans="1:9">
      <c r="A29" s="1457"/>
      <c r="B29" s="1457"/>
      <c r="C29" s="1457"/>
      <c r="D29" s="1457"/>
      <c r="E29" s="1457"/>
      <c r="F29" s="1457"/>
    </row>
    <row r="30" spans="1:9">
      <c r="A30" s="1308"/>
      <c r="B30" s="1308"/>
      <c r="C30" s="1308"/>
      <c r="D30" s="395"/>
      <c r="E30" s="395"/>
      <c r="F30" s="526"/>
    </row>
    <row r="31" spans="1:9">
      <c r="A31" s="394"/>
      <c r="B31" s="394"/>
      <c r="C31" s="524"/>
      <c r="D31" s="524"/>
      <c r="E31" s="524"/>
      <c r="F31" s="524"/>
    </row>
    <row r="32" spans="1:9">
      <c r="A32" s="394"/>
      <c r="B32" s="394"/>
      <c r="C32" s="524"/>
      <c r="D32" s="524"/>
      <c r="E32" s="524"/>
      <c r="F32" s="524"/>
    </row>
    <row r="33" spans="1:6">
      <c r="A33" s="394"/>
      <c r="B33" s="394"/>
      <c r="C33" s="524"/>
      <c r="D33" s="524"/>
      <c r="E33" s="524"/>
      <c r="F33" s="524"/>
    </row>
    <row r="34" spans="1:6">
      <c r="A34" s="394"/>
      <c r="B34" s="394"/>
      <c r="C34" s="524"/>
      <c r="D34" s="524"/>
      <c r="E34" s="524"/>
      <c r="F34" s="524"/>
    </row>
    <row r="35" spans="1:6">
      <c r="A35" s="394"/>
      <c r="B35" s="394"/>
      <c r="C35" s="524"/>
      <c r="D35" s="524"/>
      <c r="E35" s="524"/>
      <c r="F35" s="524"/>
    </row>
    <row r="36" spans="1:6">
      <c r="A36" s="394"/>
      <c r="B36" s="394"/>
      <c r="C36" s="524"/>
      <c r="D36" s="524"/>
      <c r="E36" s="524"/>
      <c r="F36" s="524"/>
    </row>
    <row r="37" spans="1:6">
      <c r="A37" s="394"/>
      <c r="B37" s="394"/>
      <c r="C37" s="524"/>
      <c r="D37" s="524"/>
      <c r="E37" s="524"/>
      <c r="F37" s="524"/>
    </row>
    <row r="38" spans="1:6">
      <c r="A38" s="394"/>
      <c r="B38" s="395"/>
      <c r="C38" s="525"/>
      <c r="D38" s="525"/>
      <c r="E38" s="525"/>
      <c r="F38" s="525"/>
    </row>
    <row r="39" spans="1:6">
      <c r="A39" s="394"/>
      <c r="B39" s="394"/>
      <c r="C39" s="394"/>
      <c r="D39" s="394"/>
      <c r="E39" s="394"/>
      <c r="F39" s="527"/>
    </row>
    <row r="42" spans="1:6">
      <c r="A42" s="1457"/>
      <c r="B42" s="1457"/>
      <c r="C42" s="1457"/>
      <c r="D42" s="1457"/>
      <c r="E42" s="1457"/>
      <c r="F42" s="1457"/>
    </row>
    <row r="43" spans="1:6">
      <c r="A43" s="1308"/>
      <c r="B43" s="1308"/>
      <c r="C43" s="395"/>
      <c r="D43" s="395"/>
      <c r="E43" s="395"/>
      <c r="F43" s="395"/>
    </row>
    <row r="44" spans="1:6">
      <c r="A44" s="394"/>
      <c r="B44" s="394"/>
      <c r="C44" s="407"/>
      <c r="D44" s="407"/>
      <c r="E44" s="407"/>
      <c r="F44" s="528"/>
    </row>
    <row r="45" spans="1:6">
      <c r="A45" s="394"/>
      <c r="B45" s="394"/>
      <c r="C45" s="407"/>
      <c r="D45" s="407"/>
      <c r="E45" s="407"/>
      <c r="F45" s="528"/>
    </row>
    <row r="46" spans="1:6">
      <c r="A46" s="394"/>
      <c r="B46" s="394"/>
      <c r="C46" s="407"/>
      <c r="D46" s="407"/>
      <c r="E46" s="407"/>
      <c r="F46" s="528"/>
    </row>
    <row r="47" spans="1:6">
      <c r="A47" s="394"/>
      <c r="B47" s="394"/>
      <c r="C47" s="407"/>
      <c r="D47" s="407"/>
      <c r="E47" s="407"/>
      <c r="F47" s="528"/>
    </row>
    <row r="48" spans="1:6">
      <c r="A48" s="394"/>
      <c r="B48" s="394"/>
      <c r="C48" s="407"/>
      <c r="D48" s="407"/>
      <c r="E48" s="407"/>
      <c r="F48" s="528"/>
    </row>
    <row r="49" spans="1:6">
      <c r="A49" s="394"/>
      <c r="B49" s="394"/>
      <c r="C49" s="407"/>
      <c r="D49" s="407"/>
      <c r="E49" s="407"/>
      <c r="F49" s="528"/>
    </row>
    <row r="50" spans="1:6">
      <c r="A50" s="394"/>
      <c r="B50" s="394"/>
      <c r="C50" s="407"/>
      <c r="D50" s="407"/>
      <c r="E50" s="407"/>
      <c r="F50" s="528"/>
    </row>
    <row r="51" spans="1:6">
      <c r="A51" s="394"/>
      <c r="B51" s="395"/>
      <c r="C51" s="409"/>
      <c r="D51" s="409"/>
      <c r="E51" s="409"/>
      <c r="F51" s="409"/>
    </row>
    <row r="52" spans="1:6">
      <c r="A52" s="394"/>
      <c r="B52" s="394"/>
      <c r="C52" s="529"/>
      <c r="D52" s="529"/>
      <c r="E52" s="529"/>
      <c r="F52" s="530"/>
    </row>
  </sheetData>
  <mergeCells count="4">
    <mergeCell ref="A2:F2"/>
    <mergeCell ref="A15:F15"/>
    <mergeCell ref="A29:F29"/>
    <mergeCell ref="A42:F42"/>
  </mergeCells>
  <pageMargins left="0.75" right="0.75" top="1" bottom="1" header="0.5" footer="0.5"/>
  <pageSetup paperSize="9" orientation="portrait" horizontalDpi="4294967292" verticalDpi="4294967292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0000"/>
  </sheetPr>
  <dimension ref="B1:E26"/>
  <sheetViews>
    <sheetView workbookViewId="0">
      <selection activeCell="C3" sqref="C3"/>
    </sheetView>
  </sheetViews>
  <sheetFormatPr defaultRowHeight="15.75"/>
  <cols>
    <col min="2" max="2" width="33" bestFit="1" customWidth="1"/>
    <col min="3" max="3" width="16" customWidth="1"/>
    <col min="4" max="4" width="18.875" bestFit="1" customWidth="1"/>
    <col min="5" max="5" width="37.875" bestFit="1" customWidth="1"/>
  </cols>
  <sheetData>
    <row r="1" spans="2:5">
      <c r="B1" s="37" t="s">
        <v>1572</v>
      </c>
    </row>
    <row r="2" spans="2:5">
      <c r="B2" s="37"/>
    </row>
    <row r="3" spans="2:5">
      <c r="B3" s="13" t="s">
        <v>1197</v>
      </c>
      <c r="C3" s="604">
        <f>'Economics_Payback '!E19</f>
        <v>821.76289202500038</v>
      </c>
    </row>
    <row r="4" spans="2:5">
      <c r="B4" s="13" t="s">
        <v>1270</v>
      </c>
      <c r="C4" s="604">
        <f>'Economics_Payback '!E19/'Land requirements'!F11</f>
        <v>391.11900354936853</v>
      </c>
    </row>
    <row r="5" spans="2:5">
      <c r="C5" s="647"/>
    </row>
    <row r="7" spans="2:5">
      <c r="B7" s="37" t="s">
        <v>1209</v>
      </c>
    </row>
    <row r="9" spans="2:5">
      <c r="B9" s="13" t="s">
        <v>1063</v>
      </c>
      <c r="C9" s="13" t="s">
        <v>1204</v>
      </c>
      <c r="D9" s="13" t="s">
        <v>1269</v>
      </c>
      <c r="E9" s="13" t="s">
        <v>1633</v>
      </c>
    </row>
    <row r="10" spans="2:5">
      <c r="B10" t="s">
        <v>1630</v>
      </c>
      <c r="C10" s="647" t="str">
        <f ca="1">IFERROR('Economics_Payback '!B$64, "")</f>
        <v/>
      </c>
      <c r="D10" s="589" t="str">
        <f ca="1">IFERROR('Economics_Payback '!B89,"")</f>
        <v/>
      </c>
      <c r="E10" s="590" t="str">
        <f ca="1">IFERROR(C10/'Land Requirement '!CI$21+'Land Requirement '!$CH$21,"")</f>
        <v/>
      </c>
    </row>
    <row r="11" spans="2:5">
      <c r="B11" s="1043">
        <f>'Economics_Payback '!A72</f>
        <v>1</v>
      </c>
      <c r="C11" s="647" t="str">
        <f ca="1">IFERROR('Economics_Payback '!C$64, "")</f>
        <v/>
      </c>
      <c r="D11" s="589" t="str">
        <f ca="1">IFERROR('Economics_Payback '!B90,"")</f>
        <v/>
      </c>
      <c r="E11" s="590" t="str">
        <f ca="1">IFERROR(C11/'Land Requirement '!CI$21+'Land Requirement '!$CH$21,"")</f>
        <v/>
      </c>
    </row>
    <row r="12" spans="2:5">
      <c r="B12" s="1043">
        <f>'Economics_Payback '!A73</f>
        <v>2</v>
      </c>
      <c r="C12" s="647" t="str">
        <f ca="1">IFERROR('Economics_Payback '!D$64, "")</f>
        <v/>
      </c>
      <c r="D12" s="589" t="str">
        <f ca="1">IFERROR('Economics_Payback '!B91,"")</f>
        <v/>
      </c>
      <c r="E12" s="590" t="str">
        <f ca="1">IFERROR(C12/'Land Requirement '!CI$21+'Land Requirement '!$CH$21,"")</f>
        <v/>
      </c>
    </row>
    <row r="13" spans="2:5">
      <c r="B13" s="1043">
        <f>'Economics_Payback '!A74</f>
        <v>3</v>
      </c>
      <c r="C13" s="647" t="str">
        <f ca="1">IFERROR('Economics_Payback '!E$64, "")</f>
        <v/>
      </c>
      <c r="D13" s="589" t="str">
        <f ca="1">IFERROR('Economics_Payback '!B92,"")</f>
        <v/>
      </c>
      <c r="E13" s="590" t="str">
        <f ca="1">IFERROR(C13/'Land Requirement '!CI$21+'Land Requirement '!$CH$21,"")</f>
        <v/>
      </c>
    </row>
    <row r="14" spans="2:5">
      <c r="B14" s="1043">
        <f>'Economics_Payback '!A75</f>
        <v>4</v>
      </c>
      <c r="C14" s="647" t="str">
        <f ca="1">IFERROR('Economics_Payback '!F$64, "")</f>
        <v/>
      </c>
      <c r="D14" s="589" t="str">
        <f ca="1">IFERROR('Economics_Payback '!B93,"")</f>
        <v/>
      </c>
      <c r="E14" s="590" t="str">
        <f ca="1">IFERROR(C14/'Land Requirement '!CI$21+'Land Requirement '!$CH$21,"")</f>
        <v/>
      </c>
    </row>
    <row r="15" spans="2:5">
      <c r="B15" s="1043">
        <f>'Economics_Payback '!A76</f>
        <v>5</v>
      </c>
      <c r="C15" s="647" t="str">
        <f ca="1">IFERROR('Economics_Payback '!G$64, "")</f>
        <v/>
      </c>
      <c r="D15" s="589" t="str">
        <f ca="1">IFERROR('Economics_Payback '!B94,"")</f>
        <v/>
      </c>
      <c r="E15" s="590" t="str">
        <f ca="1">IFERROR(C15/'Land Requirement '!CI$21+'Land Requirement '!$CH$21,"")</f>
        <v/>
      </c>
    </row>
    <row r="16" spans="2:5">
      <c r="B16" s="1043">
        <f>'Economics_Payback '!A77</f>
        <v>6</v>
      </c>
      <c r="C16" s="647" t="str">
        <f ca="1">IFERROR('Economics_Payback '!H$64, "")</f>
        <v/>
      </c>
      <c r="D16" s="589" t="str">
        <f ca="1">IFERROR('Economics_Payback '!B95,"")</f>
        <v/>
      </c>
      <c r="E16" s="590" t="str">
        <f ca="1">IFERROR(C16/'Land Requirement '!CI$21+'Land Requirement '!$CH$21,"")</f>
        <v/>
      </c>
    </row>
    <row r="17" spans="2:5">
      <c r="B17" s="1043">
        <f>'Economics_Payback '!A78</f>
        <v>7</v>
      </c>
      <c r="C17" s="647" t="str">
        <f ca="1">IFERROR('Economics_Payback '!I$64, "")</f>
        <v/>
      </c>
      <c r="D17" s="589" t="str">
        <f ca="1">IFERROR('Economics_Payback '!B96,"")</f>
        <v/>
      </c>
      <c r="E17" s="590" t="str">
        <f ca="1">IFERROR(C17/'Land Requirement '!CI$21+'Land Requirement '!$CH$21,"")</f>
        <v/>
      </c>
    </row>
    <row r="18" spans="2:5">
      <c r="B18" s="1043">
        <f>'Economics_Payback '!A79</f>
        <v>8</v>
      </c>
      <c r="C18" s="647" t="str">
        <f ca="1">IFERROR('Economics_Payback '!J$64, "")</f>
        <v/>
      </c>
      <c r="D18" s="589" t="str">
        <f ca="1">IFERROR('Economics_Payback '!B97,"")</f>
        <v/>
      </c>
      <c r="E18" s="590" t="str">
        <f ca="1">IFERROR(C18/'Land Requirement '!CI$21+'Land Requirement '!$CH$21,"")</f>
        <v/>
      </c>
    </row>
    <row r="19" spans="2:5">
      <c r="B19" s="1043">
        <f>'Economics_Payback '!A80</f>
        <v>9</v>
      </c>
      <c r="C19" s="647" t="str">
        <f ca="1">IFERROR('Economics_Payback '!K$64, "")</f>
        <v/>
      </c>
      <c r="D19" s="589" t="str">
        <f ca="1">IFERROR('Economics_Payback '!B98,"")</f>
        <v/>
      </c>
      <c r="E19" s="590" t="str">
        <f ca="1">IFERROR(C19/'Land Requirement '!CI$21+'Land Requirement '!$CH$21,"")</f>
        <v/>
      </c>
    </row>
    <row r="22" spans="2:5" ht="47.25">
      <c r="B22" s="10" t="s">
        <v>1210</v>
      </c>
      <c r="C22" s="1047" t="e">
        <f ca="1">'Economics_Payback '!D84</f>
        <v>#REF!</v>
      </c>
      <c r="D22" s="1046" t="s">
        <v>1629</v>
      </c>
    </row>
    <row r="23" spans="2:5" s="1043" customFormat="1">
      <c r="B23" s="10"/>
      <c r="C23" s="39"/>
      <c r="D23" s="1046"/>
    </row>
    <row r="24" spans="2:5">
      <c r="B24" s="10"/>
    </row>
    <row r="25" spans="2:5">
      <c r="B25" s="600" t="str">
        <f>'Economics_Payback '!A86</f>
        <v>NPV</v>
      </c>
      <c r="C25" s="600" t="str">
        <f ca="1">IFERROR('Economics_Payback '!B86,"")</f>
        <v/>
      </c>
    </row>
    <row r="26" spans="2:5">
      <c r="B26" s="600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S61"/>
  <sheetViews>
    <sheetView workbookViewId="0">
      <selection activeCell="D5" sqref="D5"/>
    </sheetView>
  </sheetViews>
  <sheetFormatPr defaultColWidth="8.875" defaultRowHeight="15.75"/>
  <cols>
    <col min="1" max="1" width="43.375" customWidth="1"/>
    <col min="2" max="2" width="16.5" bestFit="1" customWidth="1"/>
    <col min="3" max="3" width="20.625" customWidth="1"/>
    <col min="4" max="4" width="16.375" customWidth="1"/>
    <col min="5" max="5" width="13" customWidth="1"/>
    <col min="6" max="6" width="18.875" customWidth="1"/>
    <col min="7" max="7" width="23.375" bestFit="1" customWidth="1"/>
    <col min="8" max="9" width="19.125" customWidth="1"/>
    <col min="10" max="10" width="23.875" bestFit="1" customWidth="1"/>
    <col min="12" max="12" width="13.125" customWidth="1"/>
    <col min="14" max="14" width="13.5" customWidth="1"/>
  </cols>
  <sheetData>
    <row r="1" spans="1:19" ht="16.5" thickBot="1"/>
    <row r="2" spans="1:19" ht="31.5">
      <c r="A2" s="325"/>
      <c r="B2" s="326" t="s">
        <v>1067</v>
      </c>
      <c r="C2" s="327" t="s">
        <v>1066</v>
      </c>
      <c r="D2" s="312"/>
    </row>
    <row r="3" spans="1:19">
      <c r="A3" s="322" t="s">
        <v>1096</v>
      </c>
      <c r="B3" s="399">
        <f>C17</f>
        <v>1763806.6500000001</v>
      </c>
      <c r="C3" s="400">
        <f>B3/2500</f>
        <v>705.52266000000009</v>
      </c>
      <c r="D3" s="311"/>
    </row>
    <row r="4" spans="1:19">
      <c r="A4" s="322"/>
      <c r="B4" s="399"/>
      <c r="C4" s="400"/>
      <c r="D4" s="311"/>
    </row>
    <row r="5" spans="1:19" ht="16.5" thickBot="1">
      <c r="A5" s="324"/>
      <c r="B5" s="401"/>
      <c r="C5" s="402"/>
      <c r="D5" s="312"/>
    </row>
    <row r="6" spans="1:19">
      <c r="A6" s="312" t="s">
        <v>1064</v>
      </c>
      <c r="B6" s="312"/>
      <c r="C6" s="312"/>
      <c r="D6" s="312"/>
    </row>
    <row r="7" spans="1:19">
      <c r="A7" s="312"/>
      <c r="B7" s="312"/>
      <c r="C7" s="312"/>
      <c r="D7" s="312"/>
    </row>
    <row r="8" spans="1:19" ht="16.5" thickBot="1">
      <c r="A8" s="312"/>
      <c r="B8" s="312"/>
      <c r="C8" s="312"/>
      <c r="D8" s="312"/>
    </row>
    <row r="9" spans="1:19">
      <c r="A9" s="313" t="s">
        <v>825</v>
      </c>
      <c r="B9" s="314"/>
      <c r="C9" s="314"/>
      <c r="D9" s="314"/>
      <c r="E9" s="314"/>
      <c r="F9" s="315"/>
    </row>
    <row r="10" spans="1:19">
      <c r="A10" s="751" t="s">
        <v>1330</v>
      </c>
      <c r="B10" s="1418">
        <f>SUM('Meat &amp; Milk '!D3:D9)</f>
        <v>2.6840000000000002</v>
      </c>
      <c r="C10" s="752"/>
      <c r="D10" s="752"/>
      <c r="E10" s="752"/>
      <c r="F10" s="753"/>
    </row>
    <row r="11" spans="1:19">
      <c r="A11" s="316" t="s">
        <v>1063</v>
      </c>
      <c r="B11" s="317"/>
      <c r="C11" s="317"/>
      <c r="D11" s="317"/>
      <c r="E11" s="317"/>
      <c r="F11" s="323"/>
    </row>
    <row r="12" spans="1:19" ht="31.5">
      <c r="A12" s="320"/>
      <c r="B12" s="321" t="s">
        <v>1013</v>
      </c>
      <c r="C12" s="321" t="s">
        <v>1015</v>
      </c>
      <c r="D12" s="321" t="s">
        <v>1861</v>
      </c>
      <c r="E12" s="321"/>
      <c r="F12" s="319" t="s">
        <v>1065</v>
      </c>
      <c r="S12" s="218"/>
    </row>
    <row r="13" spans="1:19">
      <c r="A13" s="318"/>
      <c r="B13" s="312"/>
      <c r="C13" s="312"/>
      <c r="D13" s="312"/>
      <c r="E13" s="312"/>
      <c r="F13" s="319"/>
    </row>
    <row r="14" spans="1:19">
      <c r="A14" s="318" t="s">
        <v>1014</v>
      </c>
      <c r="B14" s="403">
        <f>'Meat &amp; Milk '!B33</f>
        <v>1613.1450000000002</v>
      </c>
      <c r="C14" s="403">
        <f>'Meat &amp; Milk '!B35</f>
        <v>1564750.6500000001</v>
      </c>
      <c r="D14" s="403">
        <f>'Meat &amp; Milk '!B36</f>
        <v>59.686365000000016</v>
      </c>
      <c r="E14" s="403"/>
      <c r="F14" s="981">
        <f>C14/2500</f>
        <v>625.90026</v>
      </c>
      <c r="G14" s="944"/>
    </row>
    <row r="15" spans="1:19">
      <c r="A15" s="318" t="s">
        <v>1016</v>
      </c>
      <c r="B15" s="403">
        <f>'Meat &amp; Milk '!B29</f>
        <v>90.47999999999999</v>
      </c>
      <c r="C15" s="403">
        <f>'Meat &amp; Milk '!B28</f>
        <v>199055.99999999997</v>
      </c>
      <c r="D15" s="403">
        <f>'Meat &amp; Milk '!B30</f>
        <v>23.524799999999995</v>
      </c>
      <c r="E15" s="403"/>
      <c r="F15" s="981">
        <f>C15/2500</f>
        <v>79.622399999999985</v>
      </c>
      <c r="G15" s="944"/>
    </row>
    <row r="16" spans="1:19">
      <c r="A16" s="318"/>
      <c r="B16" s="405"/>
      <c r="C16" s="405"/>
      <c r="D16" s="405"/>
      <c r="E16" s="405"/>
      <c r="F16" s="404"/>
    </row>
    <row r="17" spans="1:6" ht="16.5" thickBot="1">
      <c r="A17" s="978" t="s">
        <v>208</v>
      </c>
      <c r="B17" s="979"/>
      <c r="C17" s="979">
        <f>SUM(C14:C15)</f>
        <v>1763806.6500000001</v>
      </c>
      <c r="D17" s="979">
        <f t="shared" ref="D17:F17" si="0">SUM(D14:D15)</f>
        <v>83.211165000000008</v>
      </c>
      <c r="E17" s="979">
        <f t="shared" si="0"/>
        <v>0</v>
      </c>
      <c r="F17" s="980">
        <f t="shared" si="0"/>
        <v>705.52265999999997</v>
      </c>
    </row>
    <row r="18" spans="1:6" ht="16.5" thickBot="1">
      <c r="A18" s="458"/>
      <c r="C18" s="312"/>
      <c r="D18" s="312"/>
    </row>
    <row r="19" spans="1:6" ht="31.5">
      <c r="A19" s="964"/>
      <c r="B19" s="965" t="s">
        <v>1013</v>
      </c>
      <c r="C19" s="312"/>
      <c r="D19" s="312"/>
    </row>
    <row r="20" spans="1:6" ht="16.5" thickBot="1">
      <c r="A20" s="966" t="s">
        <v>747</v>
      </c>
      <c r="B20" s="967">
        <f>Feed!F175</f>
        <v>2857.3951767242161</v>
      </c>
      <c r="C20" s="312"/>
      <c r="D20" s="312"/>
    </row>
    <row r="21" spans="1:6">
      <c r="A21" s="458"/>
      <c r="B21" s="312"/>
      <c r="C21" s="312"/>
      <c r="D21" s="312"/>
    </row>
    <row r="22" spans="1:6">
      <c r="A22" s="458"/>
      <c r="B22" s="312"/>
      <c r="C22" s="312"/>
      <c r="D22" s="312"/>
    </row>
    <row r="23" spans="1:6">
      <c r="A23" s="458"/>
      <c r="B23" s="312"/>
      <c r="C23" s="312"/>
      <c r="D23" s="312"/>
    </row>
    <row r="24" spans="1:6">
      <c r="A24" s="458"/>
      <c r="B24" s="312"/>
      <c r="C24" s="312"/>
      <c r="D24" s="312"/>
    </row>
    <row r="25" spans="1:6">
      <c r="A25" s="458"/>
      <c r="B25" s="312"/>
      <c r="C25" s="312"/>
      <c r="D25" s="312"/>
    </row>
    <row r="26" spans="1:6">
      <c r="A26" s="458"/>
      <c r="B26" s="312"/>
      <c r="C26" s="312"/>
      <c r="D26" s="312"/>
    </row>
    <row r="27" spans="1:6">
      <c r="A27" s="458"/>
      <c r="B27" s="312"/>
      <c r="C27" s="312"/>
      <c r="D27" s="312"/>
    </row>
    <row r="28" spans="1:6">
      <c r="A28" s="458"/>
      <c r="B28" s="312"/>
      <c r="C28" s="312"/>
      <c r="D28" s="312"/>
    </row>
    <row r="29" spans="1:6">
      <c r="A29" s="458"/>
      <c r="B29" s="312"/>
      <c r="C29" s="312"/>
      <c r="D29" s="312"/>
    </row>
    <row r="30" spans="1:6">
      <c r="A30" s="458"/>
      <c r="B30" s="312"/>
      <c r="C30" s="312"/>
      <c r="D30" s="312"/>
    </row>
    <row r="31" spans="1:6">
      <c r="A31" s="458"/>
      <c r="B31" s="312"/>
      <c r="C31" s="312"/>
      <c r="D31" s="312"/>
      <c r="F31" s="39"/>
    </row>
    <row r="32" spans="1:6">
      <c r="A32" s="458"/>
      <c r="B32" s="312"/>
      <c r="C32" s="312"/>
      <c r="D32" s="312"/>
    </row>
    <row r="33" spans="1:4">
      <c r="A33" s="458"/>
      <c r="B33" s="312"/>
      <c r="C33" s="312"/>
      <c r="D33" s="312"/>
    </row>
    <row r="34" spans="1:4">
      <c r="A34" s="458"/>
      <c r="B34" s="312"/>
      <c r="C34" s="312"/>
      <c r="D34" s="312"/>
    </row>
    <row r="35" spans="1:4">
      <c r="A35" s="458"/>
      <c r="B35" s="312"/>
      <c r="C35" s="312"/>
      <c r="D35" s="312"/>
    </row>
    <row r="36" spans="1:4">
      <c r="A36" s="458"/>
      <c r="B36" s="312"/>
      <c r="C36" s="312"/>
      <c r="D36" s="312"/>
    </row>
    <row r="37" spans="1:4">
      <c r="A37" s="458"/>
      <c r="B37" s="312"/>
      <c r="C37" s="312"/>
      <c r="D37" s="312"/>
    </row>
    <row r="38" spans="1:4">
      <c r="A38" s="458"/>
      <c r="B38" s="312"/>
      <c r="C38" s="312"/>
      <c r="D38" s="312"/>
    </row>
    <row r="39" spans="1:4">
      <c r="A39" s="458"/>
      <c r="B39" s="312"/>
      <c r="C39" s="312"/>
      <c r="D39" s="312"/>
    </row>
    <row r="40" spans="1:4">
      <c r="A40" s="458"/>
      <c r="B40" s="312"/>
      <c r="C40" s="312"/>
      <c r="D40" s="312"/>
    </row>
    <row r="41" spans="1:4">
      <c r="A41" s="458"/>
      <c r="B41" s="312"/>
      <c r="C41" s="312"/>
      <c r="D41" s="312"/>
    </row>
    <row r="42" spans="1:4">
      <c r="A42" s="458"/>
      <c r="B42" s="312"/>
      <c r="C42" s="312"/>
      <c r="D42" s="312"/>
    </row>
    <row r="43" spans="1:4">
      <c r="A43" s="458"/>
      <c r="B43" s="312"/>
      <c r="C43" s="312"/>
      <c r="D43" s="312"/>
    </row>
    <row r="44" spans="1:4">
      <c r="A44" s="458"/>
      <c r="B44" s="312"/>
      <c r="C44" s="312"/>
      <c r="D44" s="312"/>
    </row>
    <row r="45" spans="1:4">
      <c r="A45" s="458"/>
      <c r="B45" s="312"/>
      <c r="C45" s="312"/>
      <c r="D45" s="312"/>
    </row>
    <row r="46" spans="1:4">
      <c r="A46" s="458"/>
      <c r="B46" s="312"/>
      <c r="C46" s="312"/>
      <c r="D46" s="312"/>
    </row>
    <row r="47" spans="1:4">
      <c r="A47" s="458"/>
      <c r="B47" s="312"/>
      <c r="C47" s="312"/>
      <c r="D47" s="312"/>
    </row>
    <row r="48" spans="1:4">
      <c r="A48" s="458"/>
      <c r="B48" s="312"/>
      <c r="C48" s="312"/>
      <c r="D48" s="312"/>
    </row>
    <row r="49" spans="1:9">
      <c r="A49" s="458"/>
      <c r="B49" s="312"/>
      <c r="C49" s="312"/>
      <c r="D49" s="312"/>
    </row>
    <row r="50" spans="1:9">
      <c r="A50" s="458"/>
      <c r="B50" s="312"/>
      <c r="C50" s="312"/>
      <c r="D50" s="312"/>
    </row>
    <row r="51" spans="1:9">
      <c r="A51" s="458"/>
      <c r="B51" s="312"/>
      <c r="C51" s="312"/>
      <c r="D51" s="312"/>
    </row>
    <row r="52" spans="1:9">
      <c r="A52" s="458"/>
      <c r="B52" s="312"/>
      <c r="C52" s="312"/>
      <c r="D52" s="312"/>
    </row>
    <row r="53" spans="1:9">
      <c r="A53" s="458"/>
      <c r="B53" s="312"/>
      <c r="C53" s="312"/>
      <c r="D53" s="312"/>
    </row>
    <row r="54" spans="1:9">
      <c r="A54" s="458"/>
      <c r="B54" s="312"/>
      <c r="C54" s="312"/>
      <c r="D54" s="312"/>
    </row>
    <row r="55" spans="1:9">
      <c r="A55" s="312"/>
      <c r="B55" s="312"/>
      <c r="C55" s="312"/>
      <c r="D55" s="312"/>
    </row>
    <row r="56" spans="1:9">
      <c r="A56" s="312"/>
      <c r="B56" s="312"/>
      <c r="C56" s="312"/>
      <c r="D56" s="312"/>
    </row>
    <row r="57" spans="1:9">
      <c r="F57" s="312"/>
      <c r="G57" s="312"/>
      <c r="H57" s="312"/>
      <c r="I57" s="312"/>
    </row>
    <row r="58" spans="1:9">
      <c r="F58" s="312"/>
      <c r="G58" s="312"/>
      <c r="H58" s="312"/>
      <c r="I58" s="312"/>
    </row>
    <row r="59" spans="1:9">
      <c r="F59" s="312"/>
      <c r="G59" s="312"/>
      <c r="H59" s="312"/>
      <c r="I59" s="312"/>
    </row>
    <row r="60" spans="1:9">
      <c r="F60" s="312"/>
      <c r="G60" s="312"/>
      <c r="H60" s="312"/>
      <c r="I60" s="312"/>
    </row>
    <row r="61" spans="1:9">
      <c r="F61" s="312"/>
      <c r="G61" s="312"/>
      <c r="H61" s="312"/>
      <c r="I61" s="312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J29"/>
  <sheetViews>
    <sheetView topLeftCell="A10" workbookViewId="0">
      <selection activeCell="L12" sqref="L12"/>
    </sheetView>
  </sheetViews>
  <sheetFormatPr defaultColWidth="8.875" defaultRowHeight="15.75"/>
  <cols>
    <col min="1" max="1" width="41.25" customWidth="1"/>
    <col min="2" max="2" width="11.625" customWidth="1"/>
    <col min="3" max="3" width="11.375" customWidth="1"/>
    <col min="4" max="4" width="10.375" customWidth="1"/>
    <col min="5" max="5" width="11.625" customWidth="1"/>
    <col min="6" max="6" width="13.375" customWidth="1"/>
    <col min="7" max="7" width="13.125" customWidth="1"/>
    <col min="8" max="8" width="13.375" customWidth="1"/>
    <col min="9" max="9" width="10.875" customWidth="1"/>
    <col min="10" max="10" width="14.375" customWidth="1"/>
    <col min="12" max="12" width="20.125" customWidth="1"/>
  </cols>
  <sheetData>
    <row r="1" spans="1:10" ht="31.5">
      <c r="A1" s="459" t="s">
        <v>790</v>
      </c>
      <c r="B1" s="327"/>
      <c r="C1" s="30" t="str">
        <f>'N balance'!BV8</f>
        <v>% area mining</v>
      </c>
      <c r="D1" s="30" t="str">
        <f>'N balance'!BW8</f>
        <v>% area leaching</v>
      </c>
    </row>
    <row r="2" spans="1:10">
      <c r="A2" s="320" t="s">
        <v>961</v>
      </c>
      <c r="B2" s="594">
        <f>'N balance'!BU6</f>
        <v>-20.591895992203309</v>
      </c>
      <c r="C2" s="1118">
        <f>'N balance'!BV9/100</f>
        <v>1</v>
      </c>
      <c r="D2" s="1111">
        <f>'N balance'!BW9/100</f>
        <v>0</v>
      </c>
    </row>
    <row r="3" spans="1:10" ht="16.5" thickBot="1">
      <c r="A3" s="460" t="s">
        <v>962</v>
      </c>
      <c r="B3" s="467">
        <f>'Soil erosion'!Q3</f>
        <v>21.841168892383468</v>
      </c>
    </row>
    <row r="5" spans="1:10" ht="16.5" thickBot="1">
      <c r="F5" s="760"/>
      <c r="H5" s="760"/>
    </row>
    <row r="6" spans="1:10" s="37" customFormat="1">
      <c r="A6" s="459" t="s">
        <v>1131</v>
      </c>
      <c r="B6" s="462"/>
      <c r="C6" s="462"/>
      <c r="D6" s="462"/>
      <c r="E6" s="462"/>
      <c r="F6" s="759"/>
      <c r="G6" s="462"/>
      <c r="H6" s="462"/>
      <c r="I6" s="462"/>
      <c r="J6" s="593"/>
    </row>
    <row r="7" spans="1:10" ht="47.25">
      <c r="A7" s="391"/>
      <c r="B7" s="392"/>
      <c r="C7" s="1354" t="s">
        <v>1132</v>
      </c>
      <c r="D7" s="1354" t="s">
        <v>1133</v>
      </c>
      <c r="E7" s="1354" t="s">
        <v>1862</v>
      </c>
      <c r="F7" s="1354" t="s">
        <v>1863</v>
      </c>
      <c r="G7" s="1354" t="s">
        <v>1347</v>
      </c>
      <c r="H7" s="1354" t="s">
        <v>1348</v>
      </c>
      <c r="I7" s="1354" t="s">
        <v>1349</v>
      </c>
      <c r="J7" s="1355" t="s">
        <v>1350</v>
      </c>
    </row>
    <row r="8" spans="1:10">
      <c r="A8" s="468"/>
      <c r="B8" s="470"/>
      <c r="C8" s="312"/>
      <c r="D8" s="312"/>
      <c r="J8" s="469"/>
    </row>
    <row r="9" spans="1:10">
      <c r="A9" s="463" t="str">
        <f>INPUTS!C91</f>
        <v>Concentrate (commercial)</v>
      </c>
      <c r="B9" s="39" t="str">
        <f>'N balance'!A9</f>
        <v>Purchased</v>
      </c>
      <c r="C9" s="39">
        <f>'N balance'!BL9</f>
        <v>0</v>
      </c>
      <c r="D9" s="39">
        <f>'N balance'!BM9</f>
        <v>0</v>
      </c>
      <c r="E9" s="39">
        <f>'N balance'!BN9</f>
        <v>0</v>
      </c>
      <c r="F9" s="39" t="str">
        <f>'N balance'!BO9</f>
        <v/>
      </c>
      <c r="G9" s="39">
        <f>'N balance'!BP9</f>
        <v>0</v>
      </c>
      <c r="H9" s="39" t="str">
        <f>'N balance'!BQ9</f>
        <v/>
      </c>
      <c r="I9" s="39">
        <f>E9-G9</f>
        <v>0</v>
      </c>
      <c r="J9" s="309" t="str">
        <f>IFERROR(F9-H9,"")</f>
        <v/>
      </c>
    </row>
    <row r="10" spans="1:10">
      <c r="A10" s="463" t="str">
        <f>INPUTS!C92</f>
        <v xml:space="preserve">Naturally occuring pasture - green fodder </v>
      </c>
      <c r="B10" s="39" t="str">
        <f>'N balance'!A10</f>
        <v>Natural pasture</v>
      </c>
      <c r="C10" s="39">
        <f>'N balance'!BL10</f>
        <v>3.9713135299094002</v>
      </c>
      <c r="D10" s="39">
        <f>'N balance'!BM10</f>
        <v>26.301636571812232</v>
      </c>
      <c r="E10" s="39">
        <f>'N balance'!BN10</f>
        <v>-22.33032304190283</v>
      </c>
      <c r="F10" s="39">
        <f>'N balance'!BO10</f>
        <v>-126.44971345452491</v>
      </c>
      <c r="G10" s="39">
        <f>'N balance'!BP10</f>
        <v>-22.33032304190283</v>
      </c>
      <c r="H10" s="39">
        <f>'N balance'!BQ10</f>
        <v>-126.44971345452491</v>
      </c>
      <c r="I10" s="39">
        <f t="shared" ref="I10:I15" si="0">E10-G10</f>
        <v>0</v>
      </c>
      <c r="J10" s="309">
        <f t="shared" ref="J10:J15" si="1">IFERROR(F10-H10,"")</f>
        <v>0</v>
      </c>
    </row>
    <row r="11" spans="1:10">
      <c r="A11" s="464" t="str">
        <f>INPUTS!C93</f>
        <v>Maize (Zea mays) - stover</v>
      </c>
      <c r="B11" s="461" t="str">
        <f>'N balance'!A11</f>
        <v>Maize</v>
      </c>
      <c r="C11" s="39">
        <f>'N balance'!BL11</f>
        <v>67.049308954289941</v>
      </c>
      <c r="D11" s="39">
        <f>'N balance'!BM11</f>
        <v>64.402259504147608</v>
      </c>
      <c r="E11" s="39">
        <f>'N balance'!BN11</f>
        <v>2.6470494501423332</v>
      </c>
      <c r="F11" s="39">
        <f>'N balance'!BO11</f>
        <v>1.3754754621079719</v>
      </c>
      <c r="G11" s="39">
        <f>'N balance'!BP11</f>
        <v>1.7384270496995209</v>
      </c>
      <c r="H11" s="39">
        <f>'N balance'!BQ11</f>
        <v>0.9033317263483206</v>
      </c>
      <c r="I11" s="39">
        <f t="shared" si="0"/>
        <v>0.90862240044281228</v>
      </c>
      <c r="J11" s="309">
        <f t="shared" si="1"/>
        <v>0.4721437357596513</v>
      </c>
    </row>
    <row r="12" spans="1:10">
      <c r="A12" s="463" t="str">
        <f>INPUTS!C94</f>
        <v>N/A</v>
      </c>
      <c r="B12" s="39" t="str">
        <f>'N balance'!A12</f>
        <v>N/A</v>
      </c>
      <c r="C12" s="39">
        <f>'N balance'!BL12</f>
        <v>0</v>
      </c>
      <c r="D12" s="39">
        <f>'N balance'!BM12</f>
        <v>0</v>
      </c>
      <c r="E12" s="39">
        <f>'N balance'!BN12</f>
        <v>0</v>
      </c>
      <c r="F12" s="39" t="str">
        <f>'N balance'!BO12</f>
        <v/>
      </c>
      <c r="G12" s="39">
        <f>'N balance'!BP12</f>
        <v>0</v>
      </c>
      <c r="H12" s="39" t="str">
        <f>'N balance'!BQ12</f>
        <v/>
      </c>
      <c r="I12" s="39">
        <f t="shared" si="0"/>
        <v>0</v>
      </c>
      <c r="J12" s="309" t="str">
        <f t="shared" si="1"/>
        <v/>
      </c>
    </row>
    <row r="13" spans="1:10">
      <c r="A13" s="463" t="str">
        <f>INPUTS!C95</f>
        <v>N/A</v>
      </c>
      <c r="B13" s="39" t="str">
        <f>'N balance'!A13</f>
        <v>N/A</v>
      </c>
      <c r="C13" s="39">
        <f>'N balance'!BL13</f>
        <v>0</v>
      </c>
      <c r="D13" s="39">
        <f>'N balance'!BM13</f>
        <v>0</v>
      </c>
      <c r="E13" s="39">
        <f>'N balance'!BN13</f>
        <v>0</v>
      </c>
      <c r="F13" s="39" t="str">
        <f>'N balance'!BO13</f>
        <v/>
      </c>
      <c r="G13" s="39">
        <f>'N balance'!BP13</f>
        <v>0</v>
      </c>
      <c r="H13" s="39" t="str">
        <f>'N balance'!BQ13</f>
        <v/>
      </c>
      <c r="I13" s="39">
        <f t="shared" si="0"/>
        <v>0</v>
      </c>
      <c r="J13" s="309" t="str">
        <f t="shared" si="1"/>
        <v/>
      </c>
    </row>
    <row r="14" spans="1:10">
      <c r="A14" s="463" t="str">
        <f>INPUTS!C96</f>
        <v>N/A</v>
      </c>
      <c r="B14" s="39" t="str">
        <f>'N balance'!A14</f>
        <v>N/A</v>
      </c>
      <c r="C14" s="39">
        <f>'N balance'!BL14</f>
        <v>0</v>
      </c>
      <c r="D14" s="39">
        <f>'N balance'!BM14</f>
        <v>0</v>
      </c>
      <c r="E14" s="39">
        <f>'N balance'!BN14</f>
        <v>0</v>
      </c>
      <c r="F14" s="39" t="str">
        <f>'N balance'!BO14</f>
        <v/>
      </c>
      <c r="G14" s="39">
        <f>'N balance'!BP14</f>
        <v>0</v>
      </c>
      <c r="H14" s="39" t="str">
        <f>'N balance'!BQ14</f>
        <v/>
      </c>
      <c r="I14" s="39">
        <f t="shared" si="0"/>
        <v>0</v>
      </c>
      <c r="J14" s="309" t="str">
        <f t="shared" si="1"/>
        <v/>
      </c>
    </row>
    <row r="15" spans="1:10" ht="16.5" thickBot="1">
      <c r="A15" s="465" t="str">
        <f>INPUTS!C97</f>
        <v>N/A</v>
      </c>
      <c r="B15" s="466" t="str">
        <f>'N balance'!A15</f>
        <v>N/A</v>
      </c>
      <c r="C15" s="466">
        <f>'N balance'!BL15</f>
        <v>0</v>
      </c>
      <c r="D15" s="466">
        <f>'N balance'!BM15</f>
        <v>0</v>
      </c>
      <c r="E15" s="466">
        <f>'N balance'!BN15</f>
        <v>0</v>
      </c>
      <c r="F15" s="466" t="str">
        <f>'N balance'!BO15</f>
        <v/>
      </c>
      <c r="G15" s="466">
        <f>'N balance'!BP15</f>
        <v>0</v>
      </c>
      <c r="H15" s="466" t="str">
        <f>'N balance'!BQ15</f>
        <v/>
      </c>
      <c r="I15" s="466">
        <f t="shared" si="0"/>
        <v>0</v>
      </c>
      <c r="J15" s="467" t="str">
        <f t="shared" si="1"/>
        <v/>
      </c>
    </row>
    <row r="16" spans="1:10">
      <c r="A16" s="39" t="s">
        <v>131</v>
      </c>
      <c r="B16" s="39"/>
      <c r="C16" s="39">
        <f>SUM(C9:C15)</f>
        <v>71.020622484199336</v>
      </c>
      <c r="D16" s="39">
        <f t="shared" ref="D16:I16" si="2">SUM(D9:D15)</f>
        <v>90.703896075959847</v>
      </c>
      <c r="E16" s="39">
        <f t="shared" si="2"/>
        <v>-19.683273591760496</v>
      </c>
      <c r="F16" s="39"/>
      <c r="G16" s="39">
        <f t="shared" si="2"/>
        <v>-20.591895992203309</v>
      </c>
      <c r="H16" s="39"/>
      <c r="I16" s="39">
        <f t="shared" si="2"/>
        <v>0.90862240044281228</v>
      </c>
      <c r="J16" s="39"/>
    </row>
    <row r="17" spans="1:4">
      <c r="A17" s="39"/>
      <c r="B17" s="39"/>
      <c r="C17" s="39"/>
      <c r="D17" s="39"/>
    </row>
    <row r="18" spans="1:4">
      <c r="A18" s="39"/>
      <c r="B18" s="39"/>
      <c r="C18" s="39"/>
      <c r="D18" s="39"/>
    </row>
    <row r="19" spans="1:4">
      <c r="A19" s="39"/>
      <c r="B19" s="39"/>
      <c r="C19" s="39"/>
      <c r="D19" s="39"/>
    </row>
    <row r="20" spans="1:4">
      <c r="A20" s="39"/>
      <c r="B20" s="39"/>
      <c r="C20" s="39"/>
      <c r="D20" s="39"/>
    </row>
    <row r="21" spans="1:4">
      <c r="A21" s="39"/>
      <c r="B21" s="39"/>
      <c r="C21" s="39"/>
      <c r="D21" s="39"/>
    </row>
    <row r="22" spans="1:4">
      <c r="A22" s="39"/>
      <c r="B22" s="39"/>
      <c r="C22" s="39"/>
      <c r="D22" s="39"/>
    </row>
    <row r="23" spans="1:4">
      <c r="A23" s="39"/>
    </row>
    <row r="25" spans="1:4" s="37" customFormat="1"/>
    <row r="29" spans="1:4">
      <c r="B29" s="170"/>
    </row>
  </sheetData>
  <pageMargins left="0.7" right="0.7" top="0.75" bottom="0.75" header="0.3" footer="0.3"/>
  <pageSetup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FF0000"/>
  </sheetPr>
  <dimension ref="A1:C17"/>
  <sheetViews>
    <sheetView workbookViewId="0">
      <selection activeCell="C25" sqref="C25"/>
    </sheetView>
  </sheetViews>
  <sheetFormatPr defaultRowHeight="15.75"/>
  <cols>
    <col min="1" max="1" width="43.375" customWidth="1"/>
    <col min="2" max="2" width="10.375" bestFit="1" customWidth="1"/>
  </cols>
  <sheetData>
    <row r="1" spans="1:3" ht="19.5" thickBot="1">
      <c r="B1" s="887" t="s">
        <v>131</v>
      </c>
    </row>
    <row r="2" spans="1:3">
      <c r="A2" s="551" t="str">
        <f>Water!A13</f>
        <v>ET (mm/year)</v>
      </c>
      <c r="B2" s="985">
        <f>Water!B13</f>
        <v>942.86432414295803</v>
      </c>
      <c r="C2" s="552"/>
    </row>
    <row r="3" spans="1:3">
      <c r="A3" s="308" t="str">
        <f>Water!A14</f>
        <v>fraction of precipitation used for feed production</v>
      </c>
      <c r="B3" s="986">
        <f>Water!B14</f>
        <v>0.67347451724496998</v>
      </c>
      <c r="C3" s="469"/>
    </row>
    <row r="4" spans="1:3">
      <c r="A4" s="308" t="str">
        <f>Water!A15</f>
        <v>Total water use (m3)</v>
      </c>
      <c r="B4" s="649">
        <f>Water!B15</f>
        <v>1981.0106559987566</v>
      </c>
      <c r="C4" s="469"/>
    </row>
    <row r="5" spans="1:3">
      <c r="A5" s="308" t="str">
        <f>Water!A16</f>
        <v>Water use (m3/kg FPCM)</v>
      </c>
      <c r="B5" s="39">
        <f>Water!B16</f>
        <v>1.2280425231450096</v>
      </c>
      <c r="C5" s="469"/>
    </row>
    <row r="6" spans="1:3">
      <c r="A6" s="308" t="str">
        <f>Water!A17</f>
        <v>Water use (m3/kg meat)</v>
      </c>
      <c r="B6" s="39">
        <f>Water!B17</f>
        <v>21.894459062762564</v>
      </c>
      <c r="C6" s="469"/>
    </row>
    <row r="7" spans="1:3">
      <c r="A7" s="308" t="str">
        <f>Water!A18</f>
        <v>Water use (m3/kg protein)</v>
      </c>
      <c r="B7" s="39">
        <f>Water!B18</f>
        <v>23.80702945330421</v>
      </c>
      <c r="C7" s="469"/>
    </row>
    <row r="8" spans="1:3">
      <c r="A8" s="308"/>
      <c r="C8" s="469"/>
    </row>
    <row r="9" spans="1:3">
      <c r="A9" s="880" t="s">
        <v>1864</v>
      </c>
      <c r="B9" s="881" t="s">
        <v>1341</v>
      </c>
      <c r="C9" s="882" t="s">
        <v>1342</v>
      </c>
    </row>
    <row r="10" spans="1:3">
      <c r="A10" s="883" t="str">
        <f>INPUTS!C91</f>
        <v>Concentrate (commercial)</v>
      </c>
      <c r="B10" s="649">
        <f>Water!$B$10</f>
        <v>0</v>
      </c>
      <c r="C10" s="884">
        <f>Water!$B$11</f>
        <v>0</v>
      </c>
    </row>
    <row r="11" spans="1:3">
      <c r="A11" s="883" t="str">
        <f>INPUTS!C92</f>
        <v xml:space="preserve">Naturally occuring pasture - green fodder </v>
      </c>
      <c r="B11" s="649">
        <f>Water!$C$10</f>
        <v>154.69677589852131</v>
      </c>
      <c r="C11" s="884">
        <f>Water!$C$11</f>
        <v>0</v>
      </c>
    </row>
    <row r="12" spans="1:3">
      <c r="A12" s="883" t="str">
        <f>INPUTS!C93</f>
        <v>Maize (Zea mays) - stover</v>
      </c>
      <c r="B12" s="649">
        <f>Water!$D$10</f>
        <v>1470.7764210373243</v>
      </c>
      <c r="C12" s="884">
        <f>Water!$D$11</f>
        <v>355.53745906291078</v>
      </c>
    </row>
    <row r="13" spans="1:3">
      <c r="A13" s="883" t="str">
        <f>INPUTS!C94</f>
        <v>N/A</v>
      </c>
      <c r="B13" s="649">
        <f>Water!$E$10</f>
        <v>0</v>
      </c>
      <c r="C13" s="884">
        <f>Water!$E$11</f>
        <v>0</v>
      </c>
    </row>
    <row r="14" spans="1:3">
      <c r="A14" s="883" t="str">
        <f>INPUTS!C95</f>
        <v>N/A</v>
      </c>
      <c r="B14" s="649">
        <f>Water!$F$10</f>
        <v>0</v>
      </c>
      <c r="C14" s="884">
        <f>Water!$F$11</f>
        <v>0</v>
      </c>
    </row>
    <row r="15" spans="1:3">
      <c r="A15" s="883" t="str">
        <f>INPUTS!C96</f>
        <v>N/A</v>
      </c>
      <c r="B15" s="649">
        <f>Water!$G$10</f>
        <v>0</v>
      </c>
      <c r="C15" s="884">
        <f>Water!$G$11</f>
        <v>0</v>
      </c>
    </row>
    <row r="16" spans="1:3">
      <c r="A16" s="883" t="str">
        <f>INPUTS!C97</f>
        <v>N/A</v>
      </c>
      <c r="B16" s="649">
        <f>Water!$H$10</f>
        <v>0</v>
      </c>
      <c r="C16" s="884">
        <f>Water!$H$11</f>
        <v>0</v>
      </c>
    </row>
    <row r="17" spans="1:3" ht="16.5" thickBot="1">
      <c r="A17" s="885" t="s">
        <v>131</v>
      </c>
      <c r="B17" s="725">
        <f>SUM(B10:B16)</f>
        <v>1625.4731969358456</v>
      </c>
      <c r="C17" s="886">
        <f>SUM(C10:C16)</f>
        <v>355.53745906291078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N60"/>
  <sheetViews>
    <sheetView topLeftCell="A4" zoomScale="70" zoomScaleNormal="70" workbookViewId="0">
      <selection activeCell="I23" sqref="I23"/>
    </sheetView>
  </sheetViews>
  <sheetFormatPr defaultColWidth="11" defaultRowHeight="15.75"/>
  <cols>
    <col min="1" max="1" width="11" style="1325"/>
    <col min="2" max="2" width="27.125" style="10" bestFit="1" customWidth="1"/>
    <col min="3" max="3" width="13.5" style="1325" customWidth="1"/>
    <col min="4" max="4" width="12.5" style="12" customWidth="1"/>
    <col min="5" max="5" width="14.125" style="12" customWidth="1"/>
    <col min="6" max="8" width="11" style="1325"/>
    <col min="9" max="9" width="32.5" style="10" customWidth="1"/>
    <col min="10" max="10" width="11" style="1325"/>
    <col min="11" max="11" width="12.875" style="1325" bestFit="1" customWidth="1"/>
    <col min="12" max="16384" width="11" style="1325"/>
  </cols>
  <sheetData>
    <row r="1" spans="1:14" ht="16.5" thickBot="1">
      <c r="B1" s="146"/>
      <c r="C1" s="1324"/>
      <c r="F1" s="1324"/>
      <c r="G1" s="1324"/>
    </row>
    <row r="2" spans="1:14" ht="16.5" thickBot="1">
      <c r="B2" s="328" t="s">
        <v>595</v>
      </c>
      <c r="C2" s="329"/>
      <c r="D2" s="329"/>
      <c r="E2" s="329"/>
      <c r="F2" s="329"/>
      <c r="G2" s="344"/>
      <c r="H2" s="12"/>
      <c r="I2" s="343" t="s">
        <v>787</v>
      </c>
      <c r="J2" s="341"/>
      <c r="K2" s="342"/>
      <c r="L2" s="341"/>
      <c r="M2" s="341"/>
      <c r="N2" s="346"/>
    </row>
    <row r="3" spans="1:14" ht="18.75">
      <c r="B3" s="331"/>
      <c r="C3" s="332"/>
      <c r="D3" s="333"/>
      <c r="E3" s="1458" t="s">
        <v>1074</v>
      </c>
      <c r="F3" s="1459"/>
      <c r="G3" s="345"/>
      <c r="H3" s="12"/>
      <c r="I3" s="350"/>
      <c r="J3" s="339"/>
      <c r="K3" s="330"/>
      <c r="L3" s="1458" t="s">
        <v>1074</v>
      </c>
      <c r="M3" s="1459"/>
      <c r="N3" s="347"/>
    </row>
    <row r="4" spans="1:14" ht="18.75" thickBot="1">
      <c r="B4" s="336" t="s">
        <v>373</v>
      </c>
      <c r="C4" s="337" t="s">
        <v>81</v>
      </c>
      <c r="D4" s="334" t="s">
        <v>82</v>
      </c>
      <c r="E4" s="349" t="s">
        <v>1072</v>
      </c>
      <c r="F4" s="310" t="s">
        <v>1073</v>
      </c>
      <c r="G4" s="348" t="s">
        <v>83</v>
      </c>
      <c r="H4" s="12"/>
      <c r="I4" s="336" t="s">
        <v>373</v>
      </c>
      <c r="J4" s="337" t="s">
        <v>81</v>
      </c>
      <c r="K4" s="334" t="s">
        <v>82</v>
      </c>
      <c r="L4" s="349" t="s">
        <v>585</v>
      </c>
      <c r="M4" s="310" t="s">
        <v>898</v>
      </c>
      <c r="N4" s="348" t="s">
        <v>83</v>
      </c>
    </row>
    <row r="5" spans="1:14" ht="18.75">
      <c r="B5" s="338" t="s">
        <v>589</v>
      </c>
      <c r="C5" s="339" t="s">
        <v>1075</v>
      </c>
      <c r="D5" s="335">
        <f>'GHG Ent fermentation'!E22/'Land requirements'!F11</f>
        <v>41.407751115342222</v>
      </c>
      <c r="E5" s="340">
        <f>D5*C26</f>
        <v>1159.4170312295823</v>
      </c>
      <c r="F5" s="307">
        <f>(E5*'Land requirements'!$F$11/'Meat &amp; Milk '!$B$33)</f>
        <v>1.5100936369638189</v>
      </c>
      <c r="G5" s="796">
        <f>E5*('Land requirements'!F11)/(E$16*'Land requirements'!F11)*100</f>
        <v>66.518149872995536</v>
      </c>
      <c r="H5" s="12"/>
      <c r="I5" s="792" t="s">
        <v>589</v>
      </c>
      <c r="J5" s="793" t="s">
        <v>1389</v>
      </c>
      <c r="K5" s="794">
        <f>'GHG Ent fermentation'!F45/'Land requirements'!F11</f>
        <v>80.294240225023486</v>
      </c>
      <c r="L5" s="340">
        <f>K5*C$26</f>
        <v>2248.2387263006576</v>
      </c>
      <c r="M5" s="795">
        <f>(L5*'Land requirements'!$F$11)/'Meat &amp; Milk '!$B$33</f>
        <v>2.9282397131614948</v>
      </c>
      <c r="N5" s="796">
        <f>L5*('Land requirements'!$F$11)/(SUM(L$5:L$14)*'Land requirements'!$F$11)*100</f>
        <v>82.643870189727181</v>
      </c>
    </row>
    <row r="6" spans="1:14" ht="18.75">
      <c r="B6" s="338" t="s">
        <v>586</v>
      </c>
      <c r="C6" s="339" t="s">
        <v>1075</v>
      </c>
      <c r="D6" s="335">
        <f>'GHG Manure'!E23/'Land requirements'!F11</f>
        <v>0.95190232449062584</v>
      </c>
      <c r="E6" s="340">
        <f>D6*C26</f>
        <v>26.653265085737523</v>
      </c>
      <c r="F6" s="307">
        <f>(E6*'Land requirements'!$F$11/'Meat &amp; Milk '!$B$33)</f>
        <v>3.4714796252041817E-2</v>
      </c>
      <c r="G6" s="796">
        <f>E6*('Land requirements'!F11)/(E$16*'Land requirements'!F11)*100</f>
        <v>1.5291528706435755</v>
      </c>
      <c r="H6" s="12"/>
      <c r="I6" s="792" t="s">
        <v>586</v>
      </c>
      <c r="J6" s="793" t="s">
        <v>1389</v>
      </c>
      <c r="K6" s="794">
        <f>'GHG Manure'!P46/'Land requirements'!F11</f>
        <v>6.8460616977594153</v>
      </c>
      <c r="L6" s="340">
        <f>K6*C$26</f>
        <v>191.68972753726362</v>
      </c>
      <c r="M6" s="795">
        <f>(L6*'Land requirements'!$F$11)/'Meat &amp; Milk '!$B$33</f>
        <v>0.24966809183263633</v>
      </c>
      <c r="N6" s="796">
        <f>L6*('Land requirements'!$F$11)/(SUM(L$5:L$14)*'Land requirements'!$F$11)*100</f>
        <v>7.0463962629808528</v>
      </c>
    </row>
    <row r="7" spans="1:14" ht="18.75">
      <c r="B7" s="338" t="s">
        <v>587</v>
      </c>
      <c r="C7" s="339" t="s">
        <v>1076</v>
      </c>
      <c r="D7" s="335">
        <f>'GHG Manure'!I121/'Land requirements'!F11</f>
        <v>0.56140802344390095</v>
      </c>
      <c r="E7" s="340">
        <f>D7*C27</f>
        <v>148.77312621263374</v>
      </c>
      <c r="F7" s="307">
        <f>(E7*'Land requirements'!$F$11/'Meat &amp; Milk '!$B$33)</f>
        <v>0.19377096005451638</v>
      </c>
      <c r="G7" s="796">
        <f>E7*('Land requirements'!F11)/(E$16*'Land requirements'!F11)*100</f>
        <v>8.5354215436968772</v>
      </c>
      <c r="H7" s="12"/>
      <c r="I7" s="792" t="s">
        <v>1390</v>
      </c>
      <c r="J7" s="793" t="s">
        <v>1391</v>
      </c>
      <c r="K7" s="794">
        <f>'GHG Manure'!J121/'Land requirements'!F11</f>
        <v>0.22713561943416369</v>
      </c>
      <c r="L7" s="340">
        <f>K7*C27</f>
        <v>60.190939150053374</v>
      </c>
      <c r="M7" s="795">
        <f>(L7*'Land requirements'!$F$11)/'Meat &amp; Milk '!$B$33</f>
        <v>7.8396255846765822E-2</v>
      </c>
      <c r="N7" s="796">
        <f>L7*('Land requirements'!$F$11)/(SUM(L$5:L$14)*'Land requirements'!$F$11)*100</f>
        <v>2.212581832846495</v>
      </c>
    </row>
    <row r="8" spans="1:14" ht="18.75">
      <c r="B8" s="338" t="s">
        <v>588</v>
      </c>
      <c r="C8" s="339" t="s">
        <v>1076</v>
      </c>
      <c r="D8" s="335">
        <f>'GHG Manure'!L144/'Land requirements'!F11</f>
        <v>0.33684481406634054</v>
      </c>
      <c r="E8" s="340">
        <f>D8*C27</f>
        <v>89.263875727580242</v>
      </c>
      <c r="F8" s="307">
        <f>(E8*'Land requirements'!$F$11/'Meat &amp; Milk '!$B$33)</f>
        <v>0.11626257603270983</v>
      </c>
      <c r="G8" s="796">
        <f>E8*('Land requirements'!F11)/(E$16*'Land requirements'!F11)*100</f>
        <v>5.1212529262181263</v>
      </c>
      <c r="H8" s="12"/>
      <c r="I8" s="792" t="s">
        <v>1392</v>
      </c>
      <c r="J8" s="793" t="s">
        <v>1391</v>
      </c>
      <c r="K8" s="794">
        <f>'GHG Manure'!M144/'Land requirements'!F11</f>
        <v>0.13628137166049822</v>
      </c>
      <c r="L8" s="340">
        <f>K8*C27</f>
        <v>36.114563490032026</v>
      </c>
      <c r="M8" s="795">
        <f>(L8*'Land requirements'!$F$11)/'Meat &amp; Milk '!$B$33</f>
        <v>4.7037753508059499E-2</v>
      </c>
      <c r="N8" s="796">
        <f>L8*('Land requirements'!$F$11)/(SUM(L$5:L$14)*'Land requirements'!$F$11)*100</f>
        <v>1.3275490997078971</v>
      </c>
    </row>
    <row r="9" spans="1:14" ht="18.75">
      <c r="B9" s="338" t="s">
        <v>590</v>
      </c>
      <c r="C9" s="339" t="s">
        <v>1076</v>
      </c>
      <c r="D9" s="335">
        <f>'GHG Soil'!B6/'Land requirements'!F11</f>
        <v>1.0166023881706674</v>
      </c>
      <c r="E9" s="340">
        <f>D9*C27</f>
        <v>269.39963286522686</v>
      </c>
      <c r="F9" s="307">
        <f>(E9*'Land requirements'!$F$11/'Meat &amp; Milk '!$B$33)</f>
        <v>0.35088209025076128</v>
      </c>
      <c r="G9" s="796">
        <f>E9*('Land requirements'!F11)/(E$16*'Land requirements'!F11)*100</f>
        <v>15.45601338601581</v>
      </c>
      <c r="H9" s="12"/>
      <c r="I9" s="792" t="s">
        <v>1393</v>
      </c>
      <c r="J9" s="793" t="s">
        <v>1391</v>
      </c>
      <c r="K9" s="794">
        <f>'GHG Soil'!C6/'Land requirements'!F11</f>
        <v>0.59876188315849599</v>
      </c>
      <c r="L9" s="340">
        <f>K9*C27</f>
        <v>158.67189903700142</v>
      </c>
      <c r="M9" s="795">
        <f>(L9*'Land requirements'!$F$11)/'Meat &amp; Milk '!$B$33</f>
        <v>0.20666370999107311</v>
      </c>
      <c r="N9" s="796">
        <f>L9*('Land requirements'!$F$11)/(SUM(L$5:L$14)*'Land requirements'!$F$11)*100</f>
        <v>5.8326812332552098</v>
      </c>
    </row>
    <row r="10" spans="1:14" ht="19.5" customHeight="1">
      <c r="B10" s="338" t="s">
        <v>591</v>
      </c>
      <c r="C10" s="339" t="s">
        <v>1076</v>
      </c>
      <c r="D10" s="335">
        <f>'GHG Soil'!J49/'Land requirements'!F11</f>
        <v>0.17974904906270495</v>
      </c>
      <c r="E10" s="340">
        <f>D10*C$27</f>
        <v>47.633498001616807</v>
      </c>
      <c r="F10" s="307">
        <f>(E10*'Land requirements'!$F$11/'Meat &amp; Milk '!$B$33)</f>
        <v>6.2040698300150188E-2</v>
      </c>
      <c r="G10" s="796">
        <f>E10*('Land requirements'!F11)/(E$16*'Land requirements'!F11)*100</f>
        <v>2.7328321679787106</v>
      </c>
      <c r="H10" s="12"/>
      <c r="I10" s="792" t="s">
        <v>1394</v>
      </c>
      <c r="J10" s="793" t="s">
        <v>1391</v>
      </c>
      <c r="K10" s="794">
        <f>'GHG Soil'!J59/'Land requirements'!F11</f>
        <v>9.6180948060270638E-2</v>
      </c>
      <c r="L10" s="340">
        <f>K10*C$27</f>
        <v>25.487951235971718</v>
      </c>
      <c r="M10" s="795">
        <f>(L10*'Land requirements'!$F$11)/'Meat &amp; Milk '!$B$33</f>
        <v>3.3197022248212554E-2</v>
      </c>
      <c r="N10" s="796">
        <f>L10*('Land requirements'!$F$11)/(SUM(L$5:L$14)*'Land requirements'!$F$11)*100</f>
        <v>0.93692138148235538</v>
      </c>
    </row>
    <row r="11" spans="1:14" ht="18.75">
      <c r="B11" s="338" t="s">
        <v>946</v>
      </c>
      <c r="C11" s="339" t="s">
        <v>1076</v>
      </c>
      <c r="D11" s="335">
        <f>'GHG Soil'!B68/'Land requirements'!F11</f>
        <v>0</v>
      </c>
      <c r="E11" s="340">
        <f>D11*C$27</f>
        <v>0</v>
      </c>
      <c r="F11" s="307">
        <f>(E11*'Land requirements'!$F$11/'Meat &amp; Milk '!$B$33)</f>
        <v>0</v>
      </c>
      <c r="G11" s="796">
        <f>E11*('Land requirements'!F11)/(E$16*'Land requirements'!F11)*100</f>
        <v>0</v>
      </c>
      <c r="H11" s="12"/>
      <c r="I11" s="792" t="s">
        <v>1395</v>
      </c>
      <c r="J11" s="793" t="s">
        <v>1391</v>
      </c>
      <c r="K11" s="794">
        <f>'GHG Soil'!C68/'Land requirements'!F11</f>
        <v>0</v>
      </c>
      <c r="L11" s="340">
        <f>K11*C$27</f>
        <v>0</v>
      </c>
      <c r="M11" s="795">
        <f>(L11*'Land requirements'!$F$11)/'Meat &amp; Milk '!$B$33</f>
        <v>0</v>
      </c>
      <c r="N11" s="796">
        <f>L11*('Land requirements'!$F$11)/(SUM(L$5:L$14)*'Land requirements'!$F$11)*100</f>
        <v>0</v>
      </c>
    </row>
    <row r="12" spans="1:14" ht="18.75">
      <c r="B12" s="338" t="s">
        <v>947</v>
      </c>
      <c r="C12" s="339" t="s">
        <v>1076</v>
      </c>
      <c r="D12" s="335">
        <f>('GHG Soil'!K74+'GHG Soil'!K75)/'Land requirements'!F11</f>
        <v>0</v>
      </c>
      <c r="E12" s="340">
        <f>D12*C$27</f>
        <v>0</v>
      </c>
      <c r="F12" s="307">
        <f>(E12*'Land requirements'!$F$11/'Meat &amp; Milk '!$B$33)</f>
        <v>0</v>
      </c>
      <c r="G12" s="796">
        <f>E12*('Land requirements'!F11)/(E$16*'Land requirements'!F11)*100</f>
        <v>0</v>
      </c>
      <c r="H12" s="12"/>
      <c r="I12" s="792" t="s">
        <v>1396</v>
      </c>
      <c r="J12" s="793" t="s">
        <v>1391</v>
      </c>
      <c r="K12" s="794">
        <f>('GHG Soil'!K77+'GHG Soil'!K78)/'Land requirements'!F11</f>
        <v>0</v>
      </c>
      <c r="L12" s="340">
        <f>K12*C$27</f>
        <v>0</v>
      </c>
      <c r="M12" s="795">
        <f>(L12*'Land requirements'!$F$11)/'Meat &amp; Milk '!$B$33</f>
        <v>0</v>
      </c>
      <c r="N12" s="796">
        <f>L12*('Land requirements'!$F$11)/(SUM(L$5:L$14)*'Land requirements'!$F$11)*100</f>
        <v>0</v>
      </c>
    </row>
    <row r="13" spans="1:14" ht="18.75">
      <c r="B13" s="338" t="s">
        <v>889</v>
      </c>
      <c r="C13" s="339" t="s">
        <v>1076</v>
      </c>
      <c r="D13" s="335">
        <f>'GHG Burning'!O11*1000/'Land requirements'!F11</f>
        <v>0</v>
      </c>
      <c r="E13" s="340">
        <f>D13</f>
        <v>0</v>
      </c>
      <c r="F13" s="307">
        <f>(E13*'Land requirements'!$F$11/'Meat &amp; Milk '!$B$33)</f>
        <v>0</v>
      </c>
      <c r="G13" s="796">
        <f>E13*('Land requirements'!F11)/(E$16*'Land requirements'!F11)*100</f>
        <v>0</v>
      </c>
      <c r="H13" s="12"/>
      <c r="I13" s="792" t="s">
        <v>889</v>
      </c>
      <c r="J13" s="793" t="s">
        <v>1391</v>
      </c>
      <c r="K13" s="794">
        <f>'GHG Burning'!O11/'Land requirements'!F11*1000</f>
        <v>0</v>
      </c>
      <c r="L13" s="340">
        <f>K13</f>
        <v>0</v>
      </c>
      <c r="M13" s="795">
        <f>(L13*'Land requirements'!$F$11)/'Meat &amp; Milk '!$B$33</f>
        <v>0</v>
      </c>
      <c r="N13" s="796">
        <f>L13*('Land requirements'!$F$11)/(SUM(L$5:L$14)*'Land requirements'!$F$11)*100</f>
        <v>0</v>
      </c>
    </row>
    <row r="14" spans="1:14" ht="18.75">
      <c r="B14" s="338" t="s">
        <v>592</v>
      </c>
      <c r="C14" s="339" t="s">
        <v>1075</v>
      </c>
      <c r="D14" s="335">
        <f>'GHG Rice'!M13/'Land requirements'!F11</f>
        <v>0</v>
      </c>
      <c r="E14" s="340">
        <f>D14*C26</f>
        <v>0</v>
      </c>
      <c r="F14" s="307">
        <f>(E14*'Land requirements'!$F$11/'Meat &amp; Milk '!$B$33)</f>
        <v>0</v>
      </c>
      <c r="G14" s="796">
        <f>E14*('Land requirements'!F11)/(E$16*'Land requirements'!F11)*100</f>
        <v>0</v>
      </c>
      <c r="H14" s="12"/>
      <c r="I14" s="792" t="s">
        <v>592</v>
      </c>
      <c r="J14" s="793" t="s">
        <v>1389</v>
      </c>
      <c r="K14" s="794">
        <f>'GHG Rice'!M13/'Land requirements'!F11</f>
        <v>0</v>
      </c>
      <c r="L14" s="340">
        <f>K14*C26</f>
        <v>0</v>
      </c>
      <c r="M14" s="795">
        <f>(L14*'Land requirements'!$F$11)/'Meat &amp; Milk '!$B$33</f>
        <v>0</v>
      </c>
      <c r="N14" s="796">
        <f>L14*('Land requirements'!$F$11)/(SUM(L$5:L$14)*'Land requirements'!$F$11)*100</f>
        <v>0</v>
      </c>
    </row>
    <row r="15" spans="1:14">
      <c r="B15" s="1180" t="s">
        <v>1038</v>
      </c>
      <c r="C15" s="1181" t="s">
        <v>1077</v>
      </c>
      <c r="D15" s="1182" t="s">
        <v>635</v>
      </c>
      <c r="E15" s="1183">
        <f>'GHG Off-farm'!E10</f>
        <v>1.8681083118128534</v>
      </c>
      <c r="F15" s="1184">
        <f>(E15*'Land requirements'!F11)/'Meat &amp; Milk '!$B$33</f>
        <v>2.4331352730225736E-3</v>
      </c>
      <c r="G15" s="796">
        <f>E15*('Land requirements'!F11)/(E$16*'Land requirements'!F11)*100</f>
        <v>0.10717723245135775</v>
      </c>
      <c r="H15" s="12"/>
      <c r="I15" s="1185" t="s">
        <v>1038</v>
      </c>
      <c r="J15" s="1186" t="s">
        <v>1077</v>
      </c>
      <c r="K15" s="1187" t="s">
        <v>635</v>
      </c>
      <c r="L15" s="1188">
        <f>'GHG Off-farm'!E10</f>
        <v>1.8681083118128534</v>
      </c>
      <c r="M15" s="1187">
        <f>(L15*'Land requirements'!F11)/'Meat &amp; Milk '!$B$33</f>
        <v>2.4331352730225736E-3</v>
      </c>
      <c r="N15" s="796">
        <f>L15*('Land requirements'!F11)/(L$16*'Land requirements'!F11)*100</f>
        <v>6.8623386363973832E-2</v>
      </c>
    </row>
    <row r="16" spans="1:14" ht="16.5" thickBot="1">
      <c r="A16" s="12"/>
      <c r="B16" s="797" t="s">
        <v>1766</v>
      </c>
      <c r="C16" s="798"/>
      <c r="D16" s="799"/>
      <c r="E16" s="800">
        <f>SUM(E5:E14)+E15</f>
        <v>1743.0085374341904</v>
      </c>
      <c r="F16" s="800">
        <f>(E16*'Land requirements'!F11)/'Meat &amp; Milk '!$B$33</f>
        <v>2.2701978931270212</v>
      </c>
      <c r="G16" s="804">
        <f>E16*('Land requirements'!F11)/(E$16*'Land requirements'!F11)*100</f>
        <v>100</v>
      </c>
      <c r="H16" s="12"/>
      <c r="I16" s="797" t="s">
        <v>1766</v>
      </c>
      <c r="J16" s="801"/>
      <c r="K16" s="802"/>
      <c r="L16" s="800">
        <f>SUM(L5:L14)+L15</f>
        <v>2722.2619150627925</v>
      </c>
      <c r="M16" s="803">
        <f>(L16*'Land requirements'!F11)/'Meat &amp; Milk '!$B$33</f>
        <v>3.5456356818612647</v>
      </c>
      <c r="N16" s="804">
        <f>L16*('Land requirements'!F11)/(L$16*'Land requirements'!F11)*100</f>
        <v>100</v>
      </c>
    </row>
    <row r="17" spans="2:14">
      <c r="D17" s="1325"/>
      <c r="E17" s="1325"/>
      <c r="M17" s="145"/>
      <c r="N17" s="145"/>
    </row>
    <row r="18" spans="2:14">
      <c r="D18" s="1325"/>
      <c r="E18" s="1325"/>
      <c r="M18" s="145"/>
      <c r="N18" s="145"/>
    </row>
    <row r="19" spans="2:14">
      <c r="D19" s="1325"/>
      <c r="E19" s="1325"/>
      <c r="M19" s="145"/>
      <c r="N19" s="145"/>
    </row>
    <row r="20" spans="2:14">
      <c r="D20" s="1325"/>
      <c r="E20" s="1325"/>
      <c r="M20" s="145"/>
      <c r="N20" s="145"/>
    </row>
    <row r="21" spans="2:14" ht="47.25">
      <c r="B21" s="10" t="s">
        <v>85</v>
      </c>
      <c r="C21" s="1324"/>
    </row>
    <row r="22" spans="2:14" ht="31.5">
      <c r="B22" s="10" t="s">
        <v>86</v>
      </c>
      <c r="C22" s="1324"/>
    </row>
    <row r="23" spans="2:14">
      <c r="F23" s="1325" t="s">
        <v>44</v>
      </c>
    </row>
    <row r="25" spans="2:14" ht="31.5">
      <c r="B25" s="10" t="s">
        <v>1865</v>
      </c>
    </row>
    <row r="26" spans="2:14">
      <c r="B26" s="10" t="s">
        <v>84</v>
      </c>
      <c r="C26" s="1325">
        <v>28</v>
      </c>
      <c r="F26" s="1324"/>
      <c r="G26" s="1324"/>
    </row>
    <row r="27" spans="2:14">
      <c r="B27" s="10" t="s">
        <v>87</v>
      </c>
      <c r="C27" s="1325">
        <v>265</v>
      </c>
      <c r="F27" s="1324"/>
      <c r="G27" s="1324"/>
    </row>
    <row r="28" spans="2:14">
      <c r="B28" s="1314"/>
      <c r="C28" s="1316" t="s">
        <v>96</v>
      </c>
      <c r="D28" s="1316" t="s">
        <v>482</v>
      </c>
    </row>
    <row r="29" spans="2:14" s="30" customFormat="1">
      <c r="B29" s="1314" t="s">
        <v>593</v>
      </c>
      <c r="C29" s="147" t="s">
        <v>1068</v>
      </c>
      <c r="D29" s="147" t="s">
        <v>1068</v>
      </c>
    </row>
    <row r="30" spans="2:14" s="30" customFormat="1">
      <c r="B30" s="1314" t="s">
        <v>596</v>
      </c>
      <c r="C30" s="45">
        <f>(E9+E10)/1000</f>
        <v>0.3170331308668437</v>
      </c>
      <c r="D30" s="45">
        <f>(L9+L10)/1000</f>
        <v>0.18415985027297313</v>
      </c>
    </row>
    <row r="31" spans="2:14" s="30" customFormat="1">
      <c r="B31" s="1314" t="s">
        <v>948</v>
      </c>
      <c r="C31" s="45">
        <f>(E11+E12)/1000</f>
        <v>0</v>
      </c>
      <c r="D31" s="45">
        <f>(L11+L12)/1000</f>
        <v>0</v>
      </c>
    </row>
    <row r="32" spans="2:14" s="30" customFormat="1">
      <c r="B32" s="1314" t="s">
        <v>1078</v>
      </c>
      <c r="C32" s="45">
        <f>(E6+E7+E8)/1000</f>
        <v>0.26469026702595155</v>
      </c>
      <c r="D32" s="45">
        <f>(L6+L7+L8)/1000</f>
        <v>0.28799523017734902</v>
      </c>
    </row>
    <row r="33" spans="2:5" s="30" customFormat="1">
      <c r="B33" s="1314" t="s">
        <v>1079</v>
      </c>
      <c r="C33" s="45">
        <f>E5/1000</f>
        <v>1.1594170312295824</v>
      </c>
      <c r="D33" s="45">
        <f>L5/1000</f>
        <v>2.2482387263006576</v>
      </c>
    </row>
    <row r="34" spans="2:5" s="30" customFormat="1">
      <c r="B34" s="1314" t="s">
        <v>889</v>
      </c>
      <c r="C34" s="45">
        <f>D13/1000</f>
        <v>0</v>
      </c>
      <c r="D34" s="45">
        <f>K13/1000</f>
        <v>0</v>
      </c>
    </row>
    <row r="35" spans="2:5" s="30" customFormat="1">
      <c r="B35" s="1314" t="s">
        <v>641</v>
      </c>
      <c r="C35" s="45">
        <f>E14/1000</f>
        <v>0</v>
      </c>
      <c r="D35" s="45">
        <f>L14/1000</f>
        <v>0</v>
      </c>
    </row>
    <row r="36" spans="2:5" s="30" customFormat="1">
      <c r="B36" s="81" t="s">
        <v>1038</v>
      </c>
      <c r="C36" s="45">
        <f>E15/1000</f>
        <v>1.8681083118128534E-3</v>
      </c>
      <c r="D36" s="45">
        <f>L15/1000</f>
        <v>1.8681083118128534E-3</v>
      </c>
    </row>
    <row r="37" spans="2:5" s="30" customFormat="1">
      <c r="B37" s="1326" t="s">
        <v>639</v>
      </c>
      <c r="C37" s="47">
        <f>SUM(C30:C35)</f>
        <v>1.7411404291223778</v>
      </c>
      <c r="D37" s="47">
        <f>SUM(D30:D35)</f>
        <v>2.7203938067509799</v>
      </c>
    </row>
    <row r="38" spans="2:5">
      <c r="D38" s="1325"/>
      <c r="E38" s="1325"/>
    </row>
    <row r="39" spans="2:5">
      <c r="D39" s="1325"/>
      <c r="E39" s="1325"/>
    </row>
    <row r="40" spans="2:5">
      <c r="D40" s="1325"/>
      <c r="E40" s="1325"/>
    </row>
    <row r="41" spans="2:5">
      <c r="B41" s="172" t="s">
        <v>904</v>
      </c>
      <c r="C41" s="37"/>
      <c r="D41" s="37" t="s">
        <v>405</v>
      </c>
      <c r="E41" s="1325"/>
    </row>
    <row r="42" spans="2:5">
      <c r="B42" s="69" t="s">
        <v>905</v>
      </c>
      <c r="C42" s="147" t="s">
        <v>1069</v>
      </c>
      <c r="D42" s="69">
        <f>D37*'Land requirements'!F11</f>
        <v>5.715699472016091</v>
      </c>
      <c r="E42" s="1325"/>
    </row>
    <row r="43" spans="2:5">
      <c r="B43" s="47" t="s">
        <v>905</v>
      </c>
      <c r="C43" s="219" t="s">
        <v>1070</v>
      </c>
      <c r="D43" s="69">
        <f>D37</f>
        <v>2.7203938067509799</v>
      </c>
      <c r="E43" s="1325"/>
    </row>
    <row r="44" spans="2:5" ht="31.5">
      <c r="B44" s="47" t="s">
        <v>906</v>
      </c>
      <c r="C44" s="219" t="s">
        <v>1071</v>
      </c>
      <c r="D44" s="69">
        <f>D42*1000/'Meat &amp; Milk '!B33</f>
        <v>3.5432025465882422</v>
      </c>
      <c r="E44" s="1325"/>
    </row>
    <row r="45" spans="2:5">
      <c r="D45" s="1325"/>
      <c r="E45" s="1325"/>
    </row>
    <row r="46" spans="2:5">
      <c r="D46" s="1325"/>
      <c r="E46" s="1325"/>
    </row>
    <row r="47" spans="2:5">
      <c r="D47" s="1325"/>
      <c r="E47" s="1325"/>
    </row>
    <row r="48" spans="2:5">
      <c r="D48" s="1325"/>
      <c r="E48" s="1325"/>
    </row>
    <row r="49" spans="4:5">
      <c r="D49" s="1325"/>
      <c r="E49" s="1325"/>
    </row>
    <row r="50" spans="4:5">
      <c r="D50" s="1325"/>
      <c r="E50" s="1325"/>
    </row>
    <row r="51" spans="4:5">
      <c r="D51" s="1325"/>
      <c r="E51" s="1325"/>
    </row>
    <row r="52" spans="4:5">
      <c r="D52" s="1325"/>
      <c r="E52" s="1325"/>
    </row>
    <row r="53" spans="4:5">
      <c r="D53" s="1325"/>
      <c r="E53" s="1325"/>
    </row>
    <row r="54" spans="4:5">
      <c r="D54" s="1325"/>
      <c r="E54" s="1325"/>
    </row>
    <row r="55" spans="4:5">
      <c r="D55" s="1325"/>
      <c r="E55" s="1325"/>
    </row>
    <row r="56" spans="4:5">
      <c r="D56" s="1325"/>
      <c r="E56" s="1325"/>
    </row>
    <row r="57" spans="4:5">
      <c r="D57" s="1325"/>
      <c r="E57" s="1325"/>
    </row>
    <row r="58" spans="4:5">
      <c r="D58" s="1325"/>
      <c r="E58" s="1325"/>
    </row>
    <row r="59" spans="4:5">
      <c r="D59" s="1325"/>
      <c r="E59" s="1325"/>
    </row>
    <row r="60" spans="4:5">
      <c r="D60" s="1325"/>
      <c r="E60" s="1325"/>
    </row>
  </sheetData>
  <mergeCells count="2">
    <mergeCell ref="E3:F3"/>
    <mergeCell ref="L3:M3"/>
  </mergeCells>
  <pageMargins left="0.75" right="0.75" top="1" bottom="1" header="0.5" footer="0.5"/>
  <pageSetup paperSize="9" scale="150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rgb="FFFF0000"/>
  </sheetPr>
  <dimension ref="B1:K81"/>
  <sheetViews>
    <sheetView topLeftCell="A25" zoomScale="70" zoomScaleNormal="70" workbookViewId="0">
      <selection activeCell="D45" sqref="D45"/>
    </sheetView>
  </sheetViews>
  <sheetFormatPr defaultColWidth="9" defaultRowHeight="15.75"/>
  <cols>
    <col min="3" max="3" width="36.75" customWidth="1"/>
    <col min="4" max="4" width="16.75" customWidth="1"/>
    <col min="6" max="6" width="35.5" customWidth="1"/>
    <col min="7" max="7" width="15.875" customWidth="1"/>
    <col min="9" max="9" width="34.75" customWidth="1"/>
    <col min="10" max="10" width="14.375" customWidth="1"/>
    <col min="11" max="11" width="20.125" bestFit="1" customWidth="1"/>
  </cols>
  <sheetData>
    <row r="1" spans="2:11">
      <c r="B1" s="72"/>
      <c r="C1" s="72"/>
      <c r="D1" s="72"/>
      <c r="E1" s="72"/>
      <c r="F1" s="72"/>
      <c r="G1" s="72"/>
      <c r="H1" s="72"/>
      <c r="I1" s="72"/>
      <c r="J1" s="72"/>
      <c r="K1" s="72"/>
    </row>
    <row r="2" spans="2:11" ht="16.5" thickBot="1">
      <c r="B2" s="416"/>
      <c r="C2" s="72"/>
      <c r="D2" s="72"/>
      <c r="E2" s="72"/>
      <c r="F2" s="72"/>
      <c r="G2" s="72"/>
      <c r="H2" s="72"/>
      <c r="I2" s="72"/>
      <c r="J2" s="72"/>
      <c r="K2" s="72"/>
    </row>
    <row r="3" spans="2:11">
      <c r="B3" s="416"/>
      <c r="C3" s="743" t="s">
        <v>1093</v>
      </c>
      <c r="D3" s="744"/>
      <c r="E3" s="791"/>
      <c r="F3" s="743" t="s">
        <v>1094</v>
      </c>
      <c r="G3" s="744"/>
      <c r="H3" s="72"/>
      <c r="I3" s="743" t="s">
        <v>1092</v>
      </c>
      <c r="J3" s="890" t="s">
        <v>1095</v>
      </c>
      <c r="K3" s="744" t="s">
        <v>1105</v>
      </c>
    </row>
    <row r="4" spans="2:11">
      <c r="B4" s="416"/>
      <c r="C4" s="816"/>
      <c r="D4" s="817"/>
      <c r="E4" s="472"/>
      <c r="F4" s="816"/>
      <c r="G4" s="817"/>
      <c r="H4" s="72"/>
      <c r="I4" s="816"/>
      <c r="J4" s="888"/>
      <c r="K4" s="817"/>
    </row>
    <row r="5" spans="2:11">
      <c r="B5" s="416"/>
      <c r="C5" s="379" t="s">
        <v>1110</v>
      </c>
      <c r="D5" s="626"/>
      <c r="E5" s="864"/>
      <c r="F5" s="379"/>
      <c r="G5" s="626"/>
      <c r="H5" s="72"/>
      <c r="I5" s="988" t="s">
        <v>1110</v>
      </c>
      <c r="J5" s="989"/>
      <c r="K5" s="990"/>
    </row>
    <row r="6" spans="2:11">
      <c r="B6" s="416"/>
      <c r="C6" s="389" t="s">
        <v>1111</v>
      </c>
      <c r="D6" s="652">
        <f>'Land requirements'!$F$11</f>
        <v>2.1010559051531086</v>
      </c>
      <c r="E6" s="791"/>
      <c r="F6" s="389"/>
      <c r="G6" s="652"/>
      <c r="H6" s="72"/>
      <c r="I6" s="389" t="s">
        <v>1565</v>
      </c>
      <c r="J6" s="889">
        <f>IFERROR(D6/D9,0)*1000</f>
        <v>1.3024594225274904</v>
      </c>
      <c r="K6" s="991">
        <f>IFERROR(D6/D10,0)*1000</f>
        <v>1.4868633358529824</v>
      </c>
    </row>
    <row r="7" spans="2:11">
      <c r="B7" s="416"/>
      <c r="C7" s="865"/>
      <c r="D7" s="863"/>
      <c r="E7" s="72"/>
      <c r="F7" s="854"/>
      <c r="G7" s="862"/>
      <c r="H7" s="72"/>
      <c r="I7" s="865"/>
      <c r="J7" s="992"/>
      <c r="K7" s="993"/>
    </row>
    <row r="8" spans="2:11">
      <c r="B8" s="416"/>
      <c r="C8" s="722" t="s">
        <v>1108</v>
      </c>
      <c r="D8" s="863"/>
      <c r="E8" s="72"/>
      <c r="F8" s="722" t="s">
        <v>1108</v>
      </c>
      <c r="G8" s="813"/>
      <c r="H8" s="72"/>
      <c r="I8" s="722" t="s">
        <v>1108</v>
      </c>
      <c r="J8" s="992"/>
      <c r="K8" s="993"/>
    </row>
    <row r="9" spans="2:11">
      <c r="B9" s="416"/>
      <c r="C9" s="865" t="s">
        <v>1085</v>
      </c>
      <c r="D9" s="869">
        <f>Productivity!$B$14</f>
        <v>1613.1450000000002</v>
      </c>
      <c r="E9" s="72"/>
      <c r="F9" s="865" t="s">
        <v>1112</v>
      </c>
      <c r="G9" s="869">
        <f>D9/D6</f>
        <v>767.77823762021546</v>
      </c>
      <c r="H9" s="72"/>
      <c r="I9" s="994" t="s">
        <v>1566</v>
      </c>
      <c r="J9" s="992"/>
      <c r="K9" s="993"/>
    </row>
    <row r="10" spans="2:11">
      <c r="B10" s="416"/>
      <c r="C10" s="865" t="s">
        <v>1109</v>
      </c>
      <c r="D10" s="869">
        <f>D9*(1-INPUTS!D49/100)</f>
        <v>1413.0793694955003</v>
      </c>
      <c r="E10" s="72"/>
      <c r="F10" s="865" t="s">
        <v>1412</v>
      </c>
      <c r="G10" s="869">
        <f>D10/D6</f>
        <v>672.55676825625733</v>
      </c>
      <c r="H10" s="72"/>
      <c r="I10" s="994" t="s">
        <v>1566</v>
      </c>
      <c r="J10" s="992"/>
      <c r="K10" s="993"/>
    </row>
    <row r="11" spans="2:11">
      <c r="B11" s="416"/>
      <c r="C11" s="865" t="s">
        <v>1422</v>
      </c>
      <c r="D11" s="869">
        <f>Productivity!$B$15</f>
        <v>90.47999999999999</v>
      </c>
      <c r="E11" s="72"/>
      <c r="F11" s="865" t="s">
        <v>1424</v>
      </c>
      <c r="G11" s="869">
        <f>D11/D6</f>
        <v>43.064061159955912</v>
      </c>
      <c r="H11" s="72"/>
      <c r="I11" s="994" t="s">
        <v>1566</v>
      </c>
      <c r="J11" s="992"/>
      <c r="K11" s="993"/>
    </row>
    <row r="12" spans="2:11">
      <c r="B12" s="416"/>
      <c r="C12" s="865" t="s">
        <v>1423</v>
      </c>
      <c r="D12" s="869">
        <f>D11*(1-INPUTS!E49/100)</f>
        <v>79.258480391999996</v>
      </c>
      <c r="E12" s="72"/>
      <c r="F12" s="865" t="s">
        <v>1425</v>
      </c>
      <c r="G12" s="869">
        <f>D12/D6</f>
        <v>37.723165860369747</v>
      </c>
      <c r="H12" s="72"/>
      <c r="I12" s="994" t="s">
        <v>1566</v>
      </c>
      <c r="J12" s="992"/>
      <c r="K12" s="993"/>
    </row>
    <row r="13" spans="2:11">
      <c r="B13" s="416"/>
      <c r="C13" s="865" t="s">
        <v>1409</v>
      </c>
      <c r="D13" s="869">
        <f>Productivity!D17</f>
        <v>83.211165000000008</v>
      </c>
      <c r="E13" s="72"/>
      <c r="F13" s="865" t="s">
        <v>1413</v>
      </c>
      <c r="G13" s="869">
        <f>D13/D6</f>
        <v>39.604450693536506</v>
      </c>
      <c r="H13" s="72"/>
      <c r="I13" s="994" t="s">
        <v>1566</v>
      </c>
      <c r="J13" s="992"/>
      <c r="K13" s="993"/>
    </row>
    <row r="14" spans="2:11">
      <c r="B14" s="416"/>
      <c r="C14" s="865"/>
      <c r="D14" s="869"/>
      <c r="E14" s="811"/>
      <c r="F14" s="812"/>
      <c r="G14" s="869"/>
      <c r="H14" s="72"/>
      <c r="I14" s="865"/>
      <c r="J14" s="992"/>
      <c r="K14" s="993"/>
    </row>
    <row r="15" spans="2:11">
      <c r="B15" s="416"/>
      <c r="C15" s="722" t="s">
        <v>827</v>
      </c>
      <c r="D15" s="863"/>
      <c r="E15" s="811"/>
      <c r="F15" s="722" t="s">
        <v>827</v>
      </c>
      <c r="G15" s="869"/>
      <c r="H15" s="72"/>
      <c r="I15" s="722" t="s">
        <v>827</v>
      </c>
      <c r="J15" s="72"/>
      <c r="K15" s="867"/>
    </row>
    <row r="16" spans="2:11">
      <c r="B16" s="416"/>
      <c r="C16" s="812" t="s">
        <v>1051</v>
      </c>
      <c r="D16" s="871">
        <f>'Soil impacts'!$B$2</f>
        <v>-20.591895992203309</v>
      </c>
      <c r="E16" s="72"/>
      <c r="F16" s="812" t="s">
        <v>1054</v>
      </c>
      <c r="G16" s="872">
        <f>D16/D6</f>
        <v>-9.8007368303237659</v>
      </c>
      <c r="H16" s="72"/>
      <c r="I16" s="812" t="s">
        <v>1084</v>
      </c>
      <c r="J16" s="868">
        <f>IFERROR(D16/D9,0)</f>
        <v>-1.2765062032367398E-2</v>
      </c>
      <c r="K16" s="866">
        <f>IFERROR(D16/D10,0)</f>
        <v>-1.4572356257352381E-2</v>
      </c>
    </row>
    <row r="17" spans="2:11">
      <c r="B17" s="416"/>
      <c r="C17" s="812" t="s">
        <v>1333</v>
      </c>
      <c r="D17" s="1112">
        <f>'Soil impacts'!$C$2</f>
        <v>1</v>
      </c>
      <c r="E17" s="72"/>
      <c r="F17" s="994" t="s">
        <v>1566</v>
      </c>
      <c r="G17" s="872"/>
      <c r="H17" s="72"/>
      <c r="I17" s="994" t="s">
        <v>1566</v>
      </c>
      <c r="J17" s="868"/>
      <c r="K17" s="866"/>
    </row>
    <row r="18" spans="2:11">
      <c r="B18" s="416"/>
      <c r="C18" s="812" t="s">
        <v>1334</v>
      </c>
      <c r="D18" s="1112">
        <f>'Soil impacts'!$D$2</f>
        <v>0</v>
      </c>
      <c r="E18" s="72"/>
      <c r="F18" s="994" t="s">
        <v>1566</v>
      </c>
      <c r="G18" s="872"/>
      <c r="H18" s="72"/>
      <c r="I18" s="994" t="s">
        <v>1566</v>
      </c>
      <c r="J18" s="868"/>
      <c r="K18" s="866"/>
    </row>
    <row r="19" spans="2:11">
      <c r="B19" s="416"/>
      <c r="C19" s="812"/>
      <c r="D19" s="813"/>
      <c r="E19" s="72"/>
      <c r="F19" s="812"/>
      <c r="G19" s="872"/>
      <c r="H19" s="72"/>
      <c r="I19" s="812"/>
      <c r="J19" s="72"/>
      <c r="K19" s="866"/>
    </row>
    <row r="20" spans="2:11">
      <c r="B20" s="416"/>
      <c r="C20" s="722" t="s">
        <v>1052</v>
      </c>
      <c r="D20" s="863"/>
      <c r="E20" s="72"/>
      <c r="F20" s="873" t="s">
        <v>1052</v>
      </c>
      <c r="G20" s="869"/>
      <c r="H20" s="72"/>
      <c r="I20" s="722" t="s">
        <v>1052</v>
      </c>
      <c r="J20" s="811"/>
      <c r="K20" s="866"/>
    </row>
    <row r="21" spans="2:11">
      <c r="B21" s="416"/>
      <c r="C21" s="812" t="s">
        <v>1053</v>
      </c>
      <c r="D21" s="875">
        <f>'Soil impacts'!$B$3</f>
        <v>21.841168892383468</v>
      </c>
      <c r="E21" s="72"/>
      <c r="F21" s="874" t="s">
        <v>1055</v>
      </c>
      <c r="G21" s="875">
        <f>D21/D6</f>
        <v>10.395329719126085</v>
      </c>
      <c r="H21" s="72"/>
      <c r="I21" s="870" t="s">
        <v>1088</v>
      </c>
      <c r="J21" s="811">
        <f>IFERROR(D21/D9,0)*1000</f>
        <v>13.53949514295582</v>
      </c>
      <c r="K21" s="818">
        <f>IFERROR(D21/D10,0)*1000</f>
        <v>15.456434623471459</v>
      </c>
    </row>
    <row r="22" spans="2:11">
      <c r="B22" s="416"/>
      <c r="C22" s="812"/>
      <c r="D22" s="875"/>
      <c r="E22" s="72"/>
      <c r="F22" s="812"/>
      <c r="G22" s="869"/>
      <c r="H22" s="72"/>
      <c r="I22" s="870"/>
      <c r="J22" s="811"/>
      <c r="K22" s="818"/>
    </row>
    <row r="23" spans="2:11">
      <c r="B23" s="416"/>
      <c r="C23" s="722" t="s">
        <v>951</v>
      </c>
      <c r="D23" s="863"/>
      <c r="E23" s="72"/>
      <c r="F23" s="722" t="s">
        <v>968</v>
      </c>
      <c r="G23" s="869"/>
      <c r="H23" s="72"/>
      <c r="I23" s="722" t="s">
        <v>951</v>
      </c>
      <c r="J23" s="72"/>
      <c r="K23" s="866"/>
    </row>
    <row r="24" spans="2:11">
      <c r="B24" s="416"/>
      <c r="C24" s="812" t="s">
        <v>955</v>
      </c>
      <c r="D24" s="876">
        <f>'GHG emissions'!$D$42</f>
        <v>5.715699472016091</v>
      </c>
      <c r="E24" s="378"/>
      <c r="F24" s="812" t="s">
        <v>1113</v>
      </c>
      <c r="G24" s="876">
        <f>D24/D6</f>
        <v>2.7203938067509799</v>
      </c>
      <c r="H24" s="72"/>
      <c r="I24" s="812" t="s">
        <v>1097</v>
      </c>
      <c r="J24" s="811">
        <f>IFERROR(D24/D9,0)*1000</f>
        <v>3.5432025465882422</v>
      </c>
      <c r="K24" s="818">
        <f>IFERROR(D24/D10,0)*1000</f>
        <v>4.0448538103395553</v>
      </c>
    </row>
    <row r="25" spans="2:11">
      <c r="B25" s="416"/>
      <c r="C25" s="812"/>
      <c r="D25" s="876"/>
      <c r="E25" s="378"/>
      <c r="F25" s="812"/>
      <c r="G25" s="876"/>
      <c r="H25" s="72"/>
      <c r="I25" s="812" t="s">
        <v>1443</v>
      </c>
      <c r="J25" s="811">
        <f>IFERROR(D24/D11*1000,0)</f>
        <v>63.17086065446609</v>
      </c>
      <c r="K25" s="818">
        <f>IFERROR(D24/D12*1000,0)</f>
        <v>72.114673959772361</v>
      </c>
    </row>
    <row r="26" spans="2:11">
      <c r="B26" s="416"/>
      <c r="C26" s="722" t="s">
        <v>1453</v>
      </c>
      <c r="D26" s="876"/>
      <c r="E26" s="378"/>
      <c r="F26" s="722" t="s">
        <v>1453</v>
      </c>
      <c r="G26" s="876"/>
      <c r="H26" s="72"/>
      <c r="I26" s="812" t="s">
        <v>1442</v>
      </c>
      <c r="J26" s="811">
        <f>IFERROR(D24/D13*1000,0)</f>
        <v>68.689093248677523</v>
      </c>
      <c r="K26" s="818"/>
    </row>
    <row r="27" spans="2:11">
      <c r="B27" s="416"/>
      <c r="C27" s="308" t="s">
        <v>1567</v>
      </c>
      <c r="D27" s="996">
        <f>Water!B14*100</f>
        <v>67.347451724496992</v>
      </c>
      <c r="E27" s="378"/>
      <c r="F27" s="812" t="s">
        <v>1455</v>
      </c>
      <c r="G27" s="876">
        <f>D28/D6</f>
        <v>942.86432414295803</v>
      </c>
      <c r="H27" s="72"/>
      <c r="I27" s="812"/>
      <c r="J27" s="811"/>
      <c r="K27" s="818"/>
    </row>
    <row r="28" spans="2:11">
      <c r="B28" s="416"/>
      <c r="C28" s="812" t="s">
        <v>1454</v>
      </c>
      <c r="D28" s="995">
        <f>'Water Impacts'!$B$4</f>
        <v>1981.0106559987566</v>
      </c>
      <c r="E28" s="378"/>
      <c r="F28" s="812"/>
      <c r="G28" s="876"/>
      <c r="H28" s="72"/>
      <c r="I28" s="722" t="s">
        <v>1456</v>
      </c>
      <c r="J28" s="72"/>
      <c r="K28" s="813"/>
    </row>
    <row r="29" spans="2:11">
      <c r="B29" s="416"/>
      <c r="C29" s="812"/>
      <c r="D29" s="876"/>
      <c r="E29" s="72"/>
      <c r="F29" s="722" t="s">
        <v>1397</v>
      </c>
      <c r="G29" s="876"/>
      <c r="H29" s="72"/>
      <c r="I29" s="865" t="s">
        <v>1458</v>
      </c>
      <c r="J29" s="811">
        <f>IFERROR('Water Impacts'!$B$5,0)</f>
        <v>1.2280425231450096</v>
      </c>
      <c r="K29" s="818">
        <f>IFERROR('Water Impacts'!$B$5*(D9/D10),0)</f>
        <v>1.4019103942519664</v>
      </c>
    </row>
    <row r="30" spans="2:11">
      <c r="B30" s="416"/>
      <c r="C30" s="722" t="s">
        <v>1397</v>
      </c>
      <c r="D30" s="876"/>
      <c r="E30" s="72"/>
      <c r="F30" s="812" t="s">
        <v>1411</v>
      </c>
      <c r="G30" s="872">
        <f>D31/D6</f>
        <v>-1.2032550637200286</v>
      </c>
      <c r="H30" s="72"/>
      <c r="I30" s="865" t="s">
        <v>1457</v>
      </c>
      <c r="J30" s="811">
        <f>IFERROR('Water Impacts'!$B$6,0)</f>
        <v>21.894459062762564</v>
      </c>
      <c r="K30" s="818">
        <f>IFERROR('Water Impacts'!$B$6*(D9/D10),0)</f>
        <v>24.994305293275737</v>
      </c>
    </row>
    <row r="31" spans="2:11">
      <c r="B31" s="416"/>
      <c r="C31" s="812" t="s">
        <v>955</v>
      </c>
      <c r="D31" s="875">
        <f>SOC!$G$54+Biomass!$R$33</f>
        <v>-2.5281061570343462</v>
      </c>
      <c r="E31" s="72"/>
      <c r="F31" s="812"/>
      <c r="G31" s="869"/>
      <c r="H31" s="72"/>
      <c r="I31" s="865" t="s">
        <v>1459</v>
      </c>
      <c r="J31" s="811">
        <f>'Water Impacts'!$B$7</f>
        <v>23.80702945330421</v>
      </c>
      <c r="K31" s="818">
        <f>'Water Impacts'!$B$7*(D9/D10)</f>
        <v>27.177659908205687</v>
      </c>
    </row>
    <row r="32" spans="2:11">
      <c r="B32" s="72"/>
      <c r="C32" s="812"/>
      <c r="D32" s="863"/>
      <c r="E32" s="72"/>
      <c r="F32" s="722" t="s">
        <v>956</v>
      </c>
      <c r="G32" s="869"/>
      <c r="H32" s="72"/>
      <c r="I32" s="722"/>
      <c r="J32" s="811"/>
      <c r="K32" s="818"/>
    </row>
    <row r="33" spans="2:11">
      <c r="B33" s="72"/>
      <c r="C33" s="722" t="s">
        <v>956</v>
      </c>
      <c r="D33" s="863"/>
      <c r="E33" s="72"/>
      <c r="F33" s="812" t="s">
        <v>1426</v>
      </c>
      <c r="G33" s="877">
        <f>D34/D6</f>
        <v>744744.89049160888</v>
      </c>
      <c r="H33" s="72"/>
      <c r="I33" s="722" t="s">
        <v>1397</v>
      </c>
      <c r="J33" s="72"/>
      <c r="K33" s="813"/>
    </row>
    <row r="34" spans="2:11">
      <c r="B34" s="72"/>
      <c r="C34" s="812" t="s">
        <v>1414</v>
      </c>
      <c r="D34" s="869">
        <f>Productivity!C14</f>
        <v>1564750.6500000001</v>
      </c>
      <c r="E34" s="72"/>
      <c r="F34" s="812" t="s">
        <v>1427</v>
      </c>
      <c r="G34" s="877">
        <f>D35/D6</f>
        <v>94740.934551903003</v>
      </c>
      <c r="H34" s="72"/>
      <c r="I34" s="812" t="s">
        <v>1097</v>
      </c>
      <c r="J34" s="811">
        <f>IFERROR(D31*1000/D9,0)</f>
        <v>-1.5671908954460672</v>
      </c>
      <c r="K34" s="818">
        <f>IFERROR(D31*1000/D10,0)</f>
        <v>-1.7890758379247549</v>
      </c>
    </row>
    <row r="35" spans="2:11">
      <c r="B35" s="72"/>
      <c r="C35" s="812" t="s">
        <v>1415</v>
      </c>
      <c r="D35" s="869">
        <f>Productivity!C15</f>
        <v>199055.99999999997</v>
      </c>
      <c r="E35" s="72"/>
      <c r="F35" s="812" t="s">
        <v>1428</v>
      </c>
      <c r="G35" s="877">
        <f>SUM(G33:G34)</f>
        <v>839485.82504351193</v>
      </c>
      <c r="H35" s="72"/>
      <c r="I35" s="812"/>
      <c r="J35" s="811"/>
      <c r="K35" s="813"/>
    </row>
    <row r="36" spans="2:11">
      <c r="B36" s="72"/>
      <c r="C36" s="870" t="s">
        <v>1410</v>
      </c>
      <c r="D36" s="869">
        <f>SUM(D34:D35)</f>
        <v>1763806.6500000001</v>
      </c>
      <c r="E36" s="72"/>
      <c r="F36" s="812"/>
      <c r="G36" s="877"/>
      <c r="H36" s="72"/>
      <c r="I36" s="722" t="s">
        <v>1569</v>
      </c>
      <c r="J36" s="72"/>
      <c r="K36" s="813"/>
    </row>
    <row r="37" spans="2:11">
      <c r="B37" s="72"/>
      <c r="C37" s="812"/>
      <c r="D37" s="863"/>
      <c r="E37" s="72"/>
      <c r="F37" s="812"/>
      <c r="G37" s="877"/>
      <c r="H37" s="72"/>
      <c r="I37" s="812" t="s">
        <v>1097</v>
      </c>
      <c r="J37" s="811">
        <f>J24-J34</f>
        <v>5.1103934420343098</v>
      </c>
      <c r="K37" s="818">
        <f>K24-K34</f>
        <v>5.8339296482643102</v>
      </c>
    </row>
    <row r="38" spans="2:11" ht="16.5" thickBot="1">
      <c r="B38" s="72"/>
      <c r="C38" s="812" t="s">
        <v>1416</v>
      </c>
      <c r="D38" s="869">
        <f>Productivity!F14</f>
        <v>625.90026</v>
      </c>
      <c r="E38" s="72"/>
      <c r="F38" s="812" t="s">
        <v>1429</v>
      </c>
      <c r="G38" s="877">
        <f>D38/D6</f>
        <v>297.89795619664358</v>
      </c>
      <c r="H38" s="72"/>
      <c r="I38" s="815"/>
      <c r="J38" s="998"/>
      <c r="K38" s="999"/>
    </row>
    <row r="39" spans="2:11">
      <c r="B39" s="72"/>
      <c r="C39" s="812" t="s">
        <v>1417</v>
      </c>
      <c r="D39" s="869">
        <f>Productivity!F15</f>
        <v>79.622399999999985</v>
      </c>
      <c r="E39" s="72"/>
      <c r="F39" s="812" t="s">
        <v>1430</v>
      </c>
      <c r="G39" s="877">
        <f>D39/D6</f>
        <v>37.896373820761198</v>
      </c>
      <c r="H39" s="72"/>
      <c r="I39" s="72"/>
      <c r="J39" s="814"/>
      <c r="K39" s="814"/>
    </row>
    <row r="40" spans="2:11">
      <c r="B40" s="72"/>
      <c r="C40" s="812" t="s">
        <v>1418</v>
      </c>
      <c r="D40" s="869">
        <f>SUM(D38:D39)</f>
        <v>705.52265999999997</v>
      </c>
      <c r="E40" s="72"/>
      <c r="F40" s="812" t="s">
        <v>1107</v>
      </c>
      <c r="G40" s="877">
        <f>SUM(G38:G39)</f>
        <v>335.79433001740477</v>
      </c>
      <c r="H40" s="72"/>
      <c r="I40" s="72"/>
      <c r="J40" s="814"/>
      <c r="K40" s="814"/>
    </row>
    <row r="41" spans="2:11" ht="31.5">
      <c r="B41" s="72"/>
      <c r="C41" s="812"/>
      <c r="D41" s="869"/>
      <c r="E41" s="72"/>
      <c r="F41" s="997" t="s">
        <v>1568</v>
      </c>
      <c r="G41" s="869">
        <f>G40/365</f>
        <v>0.91998446580110893</v>
      </c>
      <c r="H41" s="72"/>
      <c r="I41" s="72"/>
      <c r="J41" s="814"/>
      <c r="K41" s="814"/>
    </row>
    <row r="42" spans="2:11">
      <c r="B42" s="72"/>
      <c r="C42" s="812"/>
      <c r="D42" s="869"/>
      <c r="E42" s="72"/>
      <c r="F42" s="997"/>
      <c r="G42" s="869"/>
      <c r="H42" s="72"/>
      <c r="I42" s="72"/>
      <c r="J42" s="814"/>
      <c r="K42" s="814"/>
    </row>
    <row r="43" spans="2:11">
      <c r="B43" s="72"/>
      <c r="C43" s="722" t="s">
        <v>1298</v>
      </c>
      <c r="D43" s="869"/>
      <c r="E43" s="72"/>
      <c r="F43" s="722" t="s">
        <v>1298</v>
      </c>
      <c r="G43" s="869"/>
      <c r="H43" s="72"/>
      <c r="I43" s="72"/>
      <c r="J43" s="72"/>
      <c r="K43" s="72"/>
    </row>
    <row r="44" spans="2:11">
      <c r="B44" s="72"/>
      <c r="C44" s="812" t="s">
        <v>1570</v>
      </c>
      <c r="D44" s="869">
        <f>'Economics '!C3</f>
        <v>821.76289202500038</v>
      </c>
      <c r="E44" s="72"/>
      <c r="F44" s="997" t="s">
        <v>1571</v>
      </c>
      <c r="G44" s="869">
        <f>'Economics '!C4</f>
        <v>391.11900354936853</v>
      </c>
      <c r="H44" s="72"/>
      <c r="I44" s="72"/>
      <c r="J44" s="72"/>
      <c r="K44" s="72"/>
    </row>
    <row r="45" spans="2:11" ht="16.5" thickBot="1">
      <c r="B45" s="72"/>
      <c r="C45" s="815" t="s">
        <v>1665</v>
      </c>
      <c r="D45" s="878">
        <f>INPUTS!K176+INPUTS!K196</f>
        <v>1414.8094420702525</v>
      </c>
      <c r="E45" s="72"/>
      <c r="F45" s="815" t="s">
        <v>1666</v>
      </c>
      <c r="G45" s="878">
        <f>D45/D6</f>
        <v>673.3801983089794</v>
      </c>
      <c r="H45" s="72"/>
      <c r="I45" s="72"/>
      <c r="J45" s="72"/>
      <c r="K45" s="72"/>
    </row>
    <row r="46" spans="2:11">
      <c r="B46" s="72"/>
      <c r="C46" s="72"/>
      <c r="D46" s="987"/>
      <c r="E46" s="72"/>
      <c r="F46" s="747"/>
      <c r="G46" s="987"/>
      <c r="H46" s="72"/>
      <c r="I46" s="72"/>
      <c r="J46" s="72"/>
      <c r="K46" s="72"/>
    </row>
    <row r="47" spans="2:11" ht="16.5" thickBot="1">
      <c r="B47" s="72"/>
      <c r="C47" s="72"/>
      <c r="D47" s="72"/>
      <c r="E47" s="72"/>
      <c r="F47" s="72"/>
      <c r="G47" s="72"/>
      <c r="H47" s="72"/>
      <c r="I47" s="72"/>
      <c r="J47" s="72"/>
      <c r="K47" s="72"/>
    </row>
    <row r="48" spans="2:11">
      <c r="B48" s="72"/>
      <c r="C48" s="743" t="s">
        <v>1460</v>
      </c>
      <c r="D48" s="890"/>
      <c r="E48" s="744"/>
      <c r="F48" s="72"/>
      <c r="G48" s="72"/>
      <c r="H48" s="72"/>
      <c r="I48" s="72"/>
      <c r="J48" s="72"/>
      <c r="K48" s="72"/>
    </row>
    <row r="49" spans="2:11">
      <c r="B49" s="72"/>
      <c r="C49" s="816"/>
      <c r="D49" s="888"/>
      <c r="E49" s="817"/>
      <c r="F49" s="72"/>
      <c r="G49" s="72"/>
      <c r="H49" s="72"/>
      <c r="I49" s="72"/>
      <c r="J49" s="72"/>
      <c r="K49" s="72"/>
    </row>
    <row r="50" spans="2:11">
      <c r="B50" s="72"/>
      <c r="C50" s="722" t="str">
        <f>'Water Impacts'!A9</f>
        <v>Water use per feed item (m3)</v>
      </c>
      <c r="D50" s="848" t="str">
        <f>'Water Impacts'!B9</f>
        <v>feed</v>
      </c>
      <c r="E50" s="849" t="s">
        <v>1408</v>
      </c>
      <c r="F50" s="72"/>
      <c r="G50" s="72"/>
      <c r="H50" s="72"/>
      <c r="I50" s="72"/>
      <c r="J50" s="72"/>
      <c r="K50" s="72"/>
    </row>
    <row r="51" spans="2:11">
      <c r="B51" s="72"/>
      <c r="C51" s="812" t="str">
        <f>'Water Impacts'!A10</f>
        <v>Concentrate (commercial)</v>
      </c>
      <c r="D51" s="987">
        <f>'Water Impacts'!B10</f>
        <v>0</v>
      </c>
      <c r="E51" s="993">
        <f>'Water Impacts'!C10</f>
        <v>0</v>
      </c>
      <c r="F51" s="72"/>
      <c r="G51" s="72"/>
      <c r="H51" s="72"/>
      <c r="I51" s="72"/>
      <c r="J51" s="72"/>
      <c r="K51" s="72"/>
    </row>
    <row r="52" spans="2:11">
      <c r="B52" s="72"/>
      <c r="C52" s="850" t="str">
        <f>'Water Impacts'!A11</f>
        <v xml:space="preserve">Naturally occuring pasture - green fodder </v>
      </c>
      <c r="D52" s="851">
        <f>'Water Impacts'!B11</f>
        <v>154.69677589852131</v>
      </c>
      <c r="E52" s="852">
        <f>'Water Impacts'!C11</f>
        <v>0</v>
      </c>
      <c r="F52" s="72"/>
      <c r="G52" s="72"/>
      <c r="H52" s="72"/>
      <c r="I52" s="72"/>
      <c r="J52" s="72"/>
      <c r="K52" s="72"/>
    </row>
    <row r="53" spans="2:11">
      <c r="B53" s="72"/>
      <c r="C53" s="850" t="str">
        <f>'Water Impacts'!A12</f>
        <v>Maize (Zea mays) - stover</v>
      </c>
      <c r="D53" s="851">
        <f>'Water Impacts'!B12</f>
        <v>1470.7764210373243</v>
      </c>
      <c r="E53" s="852">
        <f>'Water Impacts'!C12</f>
        <v>355.53745906291078</v>
      </c>
      <c r="F53" s="72"/>
      <c r="G53" s="72"/>
      <c r="H53" s="72"/>
      <c r="I53" s="72"/>
      <c r="J53" s="72"/>
      <c r="K53" s="72"/>
    </row>
    <row r="54" spans="2:11">
      <c r="B54" s="72"/>
      <c r="C54" s="850" t="str">
        <f>'Water Impacts'!A13</f>
        <v>N/A</v>
      </c>
      <c r="D54" s="851">
        <f>'Water Impacts'!B13</f>
        <v>0</v>
      </c>
      <c r="E54" s="852">
        <f>'Water Impacts'!C13</f>
        <v>0</v>
      </c>
      <c r="F54" s="72"/>
      <c r="G54" s="72"/>
      <c r="H54" s="72"/>
      <c r="I54" s="72"/>
      <c r="J54" s="72"/>
      <c r="K54" s="72"/>
    </row>
    <row r="55" spans="2:11">
      <c r="B55" s="72"/>
      <c r="C55" s="850" t="str">
        <f>'Water Impacts'!A14</f>
        <v>N/A</v>
      </c>
      <c r="D55" s="851">
        <f>'Water Impacts'!B14</f>
        <v>0</v>
      </c>
      <c r="E55" s="852">
        <f>'Water Impacts'!C14</f>
        <v>0</v>
      </c>
      <c r="F55" s="72"/>
      <c r="G55" s="72"/>
      <c r="H55" s="72"/>
      <c r="I55" s="72"/>
      <c r="J55" s="72"/>
      <c r="K55" s="72"/>
    </row>
    <row r="56" spans="2:11">
      <c r="B56" s="72"/>
      <c r="C56" s="850" t="str">
        <f>'Water Impacts'!A15</f>
        <v>N/A</v>
      </c>
      <c r="D56" s="851">
        <f>'Water Impacts'!B15</f>
        <v>0</v>
      </c>
      <c r="E56" s="852">
        <f>'Water Impacts'!C15</f>
        <v>0</v>
      </c>
      <c r="F56" s="72"/>
      <c r="G56" s="72"/>
      <c r="H56" s="72"/>
      <c r="I56" s="72"/>
      <c r="J56" s="72"/>
      <c r="K56" s="72"/>
    </row>
    <row r="57" spans="2:11">
      <c r="B57" s="72"/>
      <c r="C57" s="850" t="str">
        <f>'Water Impacts'!A16</f>
        <v>N/A</v>
      </c>
      <c r="D57" s="851">
        <f>'Water Impacts'!B16</f>
        <v>0</v>
      </c>
      <c r="E57" s="852">
        <f>'Water Impacts'!C16</f>
        <v>0</v>
      </c>
      <c r="F57" s="72"/>
      <c r="G57" s="72"/>
      <c r="H57" s="72"/>
      <c r="I57" s="72"/>
      <c r="J57" s="72"/>
      <c r="K57" s="72"/>
    </row>
    <row r="58" spans="2:11">
      <c r="B58" s="72"/>
      <c r="C58" s="850" t="str">
        <f>'Water Impacts'!A17</f>
        <v>total</v>
      </c>
      <c r="D58" s="851">
        <f>'Water Impacts'!B17</f>
        <v>1625.4731969358456</v>
      </c>
      <c r="E58" s="852">
        <f>'Water Impacts'!C17</f>
        <v>355.53745906291078</v>
      </c>
      <c r="F58" s="72"/>
      <c r="G58" s="72"/>
      <c r="H58" s="72"/>
      <c r="I58" s="72"/>
      <c r="J58" s="72"/>
      <c r="K58" s="72"/>
    </row>
    <row r="59" spans="2:11">
      <c r="B59" s="72"/>
      <c r="C59" s="586"/>
      <c r="D59" s="518"/>
      <c r="E59" s="853"/>
      <c r="F59" s="72"/>
      <c r="G59" s="72"/>
      <c r="H59" s="72"/>
      <c r="I59" s="72"/>
      <c r="J59" s="72"/>
      <c r="K59" s="72"/>
    </row>
    <row r="60" spans="2:11">
      <c r="B60" s="72"/>
      <c r="C60" s="586"/>
      <c r="D60" s="518"/>
      <c r="E60" s="853"/>
      <c r="F60" s="72"/>
      <c r="G60" s="72"/>
      <c r="H60" s="72"/>
      <c r="I60" s="72"/>
      <c r="J60" s="72"/>
      <c r="K60" s="72"/>
    </row>
    <row r="61" spans="2:11">
      <c r="B61" s="72"/>
      <c r="C61" s="854" t="s">
        <v>1354</v>
      </c>
      <c r="D61" s="848" t="str">
        <f>D50</f>
        <v>feed</v>
      </c>
      <c r="E61" s="849" t="str">
        <f>E50</f>
        <v>non-feed</v>
      </c>
      <c r="F61" s="72"/>
      <c r="G61" s="72"/>
      <c r="H61" s="72"/>
      <c r="I61" s="72"/>
      <c r="J61" s="72"/>
      <c r="K61" s="72"/>
    </row>
    <row r="62" spans="2:11">
      <c r="B62" s="72"/>
      <c r="C62" s="850" t="str">
        <f t="shared" ref="C62:C69" si="0">C51</f>
        <v>Concentrate (commercial)</v>
      </c>
      <c r="D62" s="855">
        <f>'Soil impacts'!G9</f>
        <v>0</v>
      </c>
      <c r="E62" s="856">
        <f>'Soil impacts'!I9</f>
        <v>0</v>
      </c>
      <c r="F62" s="72"/>
      <c r="G62" s="72"/>
      <c r="H62" s="72"/>
      <c r="I62" s="72"/>
      <c r="J62" s="72"/>
      <c r="K62" s="72"/>
    </row>
    <row r="63" spans="2:11">
      <c r="B63" s="72"/>
      <c r="C63" s="850" t="str">
        <f t="shared" si="0"/>
        <v xml:space="preserve">Naturally occuring pasture - green fodder </v>
      </c>
      <c r="D63" s="855">
        <f>'Soil impacts'!G10</f>
        <v>-22.33032304190283</v>
      </c>
      <c r="E63" s="856">
        <f>'Soil impacts'!I10</f>
        <v>0</v>
      </c>
      <c r="F63" s="72"/>
      <c r="G63" s="72"/>
      <c r="H63" s="72"/>
      <c r="I63" s="72"/>
      <c r="J63" s="72"/>
      <c r="K63" s="72"/>
    </row>
    <row r="64" spans="2:11">
      <c r="B64" s="72"/>
      <c r="C64" s="850" t="str">
        <f t="shared" si="0"/>
        <v>Maize (Zea mays) - stover</v>
      </c>
      <c r="D64" s="855">
        <f>'Soil impacts'!G11</f>
        <v>1.7384270496995209</v>
      </c>
      <c r="E64" s="856">
        <f>'Soil impacts'!I11</f>
        <v>0.90862240044281228</v>
      </c>
      <c r="F64" s="72"/>
      <c r="G64" s="72"/>
      <c r="H64" s="72"/>
      <c r="I64" s="72"/>
      <c r="J64" s="72"/>
      <c r="K64" s="72"/>
    </row>
    <row r="65" spans="2:11">
      <c r="B65" s="72"/>
      <c r="C65" s="850" t="str">
        <f t="shared" si="0"/>
        <v>N/A</v>
      </c>
      <c r="D65" s="855">
        <f>'Soil impacts'!G12</f>
        <v>0</v>
      </c>
      <c r="E65" s="856">
        <f>'Soil impacts'!I12</f>
        <v>0</v>
      </c>
      <c r="F65" s="72"/>
      <c r="G65" s="72"/>
      <c r="H65" s="72"/>
      <c r="I65" s="72"/>
      <c r="J65" s="72"/>
      <c r="K65" s="72"/>
    </row>
    <row r="66" spans="2:11">
      <c r="B66" s="72"/>
      <c r="C66" s="850" t="str">
        <f t="shared" si="0"/>
        <v>N/A</v>
      </c>
      <c r="D66" s="855">
        <f>'Soil impacts'!G13</f>
        <v>0</v>
      </c>
      <c r="E66" s="856">
        <f>'Soil impacts'!I13</f>
        <v>0</v>
      </c>
      <c r="F66" s="72"/>
      <c r="G66" s="72"/>
      <c r="H66" s="72"/>
      <c r="I66" s="72"/>
      <c r="J66" s="72"/>
      <c r="K66" s="72"/>
    </row>
    <row r="67" spans="2:11">
      <c r="B67" s="72"/>
      <c r="C67" s="850" t="str">
        <f t="shared" si="0"/>
        <v>N/A</v>
      </c>
      <c r="D67" s="855">
        <f>'Soil impacts'!G14</f>
        <v>0</v>
      </c>
      <c r="E67" s="856">
        <f>'Soil impacts'!I14</f>
        <v>0</v>
      </c>
      <c r="F67" s="72"/>
      <c r="G67" s="72"/>
      <c r="H67" s="72"/>
      <c r="I67" s="72"/>
      <c r="J67" s="72"/>
      <c r="K67" s="72"/>
    </row>
    <row r="68" spans="2:11">
      <c r="B68" s="72"/>
      <c r="C68" s="850" t="str">
        <f t="shared" si="0"/>
        <v>N/A</v>
      </c>
      <c r="D68" s="855">
        <f>'Soil impacts'!G15</f>
        <v>0</v>
      </c>
      <c r="E68" s="856">
        <f>'Soil impacts'!I15</f>
        <v>0</v>
      </c>
      <c r="F68" s="72"/>
      <c r="G68" s="72"/>
      <c r="H68" s="72"/>
      <c r="I68" s="72"/>
      <c r="J68" s="72"/>
      <c r="K68" s="72"/>
    </row>
    <row r="69" spans="2:11">
      <c r="B69" s="72"/>
      <c r="C69" s="850" t="str">
        <f t="shared" si="0"/>
        <v>total</v>
      </c>
      <c r="D69" s="855">
        <f>'Soil impacts'!G16</f>
        <v>-20.591895992203309</v>
      </c>
      <c r="E69" s="856">
        <f>'Soil impacts'!I16</f>
        <v>0.90862240044281228</v>
      </c>
      <c r="F69" s="72"/>
      <c r="G69" s="72"/>
      <c r="H69" s="72"/>
      <c r="I69" s="72"/>
      <c r="J69" s="72"/>
      <c r="K69" s="72"/>
    </row>
    <row r="70" spans="2:11">
      <c r="B70" s="72"/>
      <c r="C70" s="586"/>
      <c r="D70" s="416"/>
      <c r="E70" s="330"/>
      <c r="F70" s="72"/>
      <c r="G70" s="72"/>
      <c r="H70" s="72"/>
      <c r="I70" s="72"/>
      <c r="J70" s="72"/>
      <c r="K70" s="72"/>
    </row>
    <row r="71" spans="2:11">
      <c r="B71" s="72"/>
      <c r="C71" s="854" t="s">
        <v>1355</v>
      </c>
      <c r="D71" s="857" t="s">
        <v>1341</v>
      </c>
      <c r="E71" s="858" t="s">
        <v>1408</v>
      </c>
      <c r="F71" s="72"/>
      <c r="G71" s="72"/>
      <c r="H71" s="72"/>
      <c r="I71" s="72"/>
      <c r="J71" s="72"/>
      <c r="K71" s="72"/>
    </row>
    <row r="72" spans="2:11">
      <c r="B72" s="72"/>
      <c r="C72" s="850" t="str">
        <f t="shared" ref="C72:C79" si="1">C62</f>
        <v>Concentrate (commercial)</v>
      </c>
      <c r="D72" s="855">
        <f>'Land requirements'!F4</f>
        <v>0</v>
      </c>
      <c r="E72" s="856">
        <f>SUM('Land Requirement '!L21+'Land Requirement '!M21)</f>
        <v>0</v>
      </c>
      <c r="F72" s="72"/>
      <c r="G72" s="72"/>
      <c r="H72" s="72"/>
      <c r="I72" s="72"/>
      <c r="J72" s="72"/>
      <c r="K72" s="72"/>
    </row>
    <row r="73" spans="2:11">
      <c r="B73" s="72"/>
      <c r="C73" s="850" t="str">
        <f t="shared" si="1"/>
        <v xml:space="preserve">Naturally occuring pasture - green fodder </v>
      </c>
      <c r="D73" s="855">
        <f>'Land requirements'!F5</f>
        <v>0.1765944930348417</v>
      </c>
      <c r="E73" s="856">
        <f>SUM('Land Requirement '!AB21+'Land Requirement '!AC21)</f>
        <v>0</v>
      </c>
      <c r="F73" s="72"/>
      <c r="G73" s="72"/>
      <c r="H73" s="72"/>
      <c r="I73" s="72"/>
      <c r="J73" s="72"/>
      <c r="K73" s="72"/>
    </row>
    <row r="74" spans="2:11">
      <c r="B74" s="72"/>
      <c r="C74" s="850" t="str">
        <f t="shared" si="1"/>
        <v>Maize (Zea mays) - stover</v>
      </c>
      <c r="D74" s="855">
        <f>'Land requirements'!F6</f>
        <v>1.9244614121182668</v>
      </c>
      <c r="E74" s="856">
        <f>SUM('Land Requirement '!AR21+'Land Requirement '!AS21)</f>
        <v>0.46520879090961875</v>
      </c>
      <c r="F74" s="72"/>
      <c r="G74" s="72"/>
      <c r="H74" s="72"/>
      <c r="I74" s="72"/>
      <c r="J74" s="72"/>
      <c r="K74" s="72"/>
    </row>
    <row r="75" spans="2:11">
      <c r="B75" s="72"/>
      <c r="C75" s="850" t="str">
        <f t="shared" si="1"/>
        <v>N/A</v>
      </c>
      <c r="D75" s="855">
        <f>'Land requirements'!F7</f>
        <v>0</v>
      </c>
      <c r="E75" s="856">
        <f>SUM('Land Requirement '!BH21+'Land Requirement '!BI21)</f>
        <v>0</v>
      </c>
      <c r="F75" s="72"/>
      <c r="G75" s="72"/>
      <c r="H75" s="72"/>
      <c r="I75" s="72"/>
      <c r="J75" s="72"/>
      <c r="K75" s="72"/>
    </row>
    <row r="76" spans="2:11">
      <c r="B76" s="72"/>
      <c r="C76" s="850" t="str">
        <f t="shared" si="1"/>
        <v>N/A</v>
      </c>
      <c r="D76" s="855">
        <f>'Land requirements'!F8</f>
        <v>0</v>
      </c>
      <c r="E76" s="856">
        <f>SUM('Land Requirement '!BZ21+'Land Requirement '!CA21)</f>
        <v>0</v>
      </c>
      <c r="F76" s="72"/>
      <c r="G76" s="72"/>
      <c r="H76" s="72"/>
      <c r="I76" s="72"/>
      <c r="J76" s="72"/>
      <c r="K76" s="72"/>
    </row>
    <row r="77" spans="2:11">
      <c r="B77" s="72"/>
      <c r="C77" s="850" t="str">
        <f t="shared" si="1"/>
        <v>N/A</v>
      </c>
      <c r="D77" s="855">
        <f>'Land requirements'!F9</f>
        <v>0</v>
      </c>
      <c r="E77" s="856">
        <f>SUM('Land Requirement '!CP21+'Land Requirement '!CQ21)</f>
        <v>0</v>
      </c>
      <c r="F77" s="72"/>
      <c r="G77" s="72"/>
      <c r="H77" s="72"/>
      <c r="I77" s="72"/>
      <c r="J77" s="72"/>
      <c r="K77" s="72"/>
    </row>
    <row r="78" spans="2:11">
      <c r="B78" s="72"/>
      <c r="C78" s="850" t="str">
        <f t="shared" si="1"/>
        <v>N/A</v>
      </c>
      <c r="D78" s="855">
        <f>'Land requirements'!F10</f>
        <v>0</v>
      </c>
      <c r="E78" s="856">
        <f>SUM('Land Requirement '!DF21+'Land Requirement '!DG21)</f>
        <v>0</v>
      </c>
      <c r="F78" s="72"/>
      <c r="G78" s="72"/>
      <c r="H78" s="72"/>
      <c r="I78" s="72"/>
      <c r="J78" s="72"/>
      <c r="K78" s="72"/>
    </row>
    <row r="79" spans="2:11" ht="16.5" thickBot="1">
      <c r="C79" s="859" t="str">
        <f t="shared" si="1"/>
        <v>total</v>
      </c>
      <c r="D79" s="860">
        <f>SUM(D72:D78)</f>
        <v>2.1010559051531086</v>
      </c>
      <c r="E79" s="861">
        <f>SUM(E72:E78)</f>
        <v>0.46520879090961875</v>
      </c>
      <c r="F79" s="72"/>
      <c r="G79" s="72"/>
      <c r="H79" s="72"/>
      <c r="I79" s="72"/>
      <c r="J79" s="72"/>
      <c r="K79" s="72"/>
    </row>
    <row r="80" spans="2:11">
      <c r="C80" s="416"/>
      <c r="D80" s="416"/>
      <c r="E80" s="416"/>
      <c r="F80" s="72"/>
      <c r="G80" s="72"/>
      <c r="H80" s="72"/>
      <c r="I80" s="72"/>
      <c r="J80" s="72"/>
      <c r="K80" s="72"/>
    </row>
    <row r="81" spans="3:11">
      <c r="C81" s="72"/>
      <c r="D81" s="72"/>
      <c r="E81" s="72"/>
      <c r="I81" s="72"/>
      <c r="J81" s="72"/>
      <c r="K81" s="72"/>
    </row>
  </sheetData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 tint="-0.499984740745262"/>
  </sheetPr>
  <dimension ref="A1:BC140"/>
  <sheetViews>
    <sheetView topLeftCell="A4" zoomScaleNormal="100" workbookViewId="0">
      <pane xSplit="1" topLeftCell="B1" activePane="topRight" state="frozen"/>
      <selection pane="topRight" activeCell="AA8" sqref="AA8"/>
    </sheetView>
  </sheetViews>
  <sheetFormatPr defaultColWidth="8.875" defaultRowHeight="15.75"/>
  <cols>
    <col min="1" max="1" width="30.375" customWidth="1"/>
    <col min="2" max="3" width="13.25" customWidth="1"/>
    <col min="4" max="4" width="13.25" style="1098" customWidth="1"/>
    <col min="5" max="6" width="10.25" customWidth="1"/>
    <col min="7" max="7" width="11.25" style="825" customWidth="1"/>
    <col min="8" max="8" width="9.5" style="825" customWidth="1"/>
    <col min="9" max="9" width="14" style="825" customWidth="1"/>
    <col min="10" max="11" width="12.375" style="825" customWidth="1"/>
    <col min="12" max="12" width="12.25" style="825" customWidth="1"/>
    <col min="13" max="13" width="12.625" style="825" customWidth="1"/>
    <col min="14" max="14" width="10.5" style="825" customWidth="1"/>
    <col min="15" max="15" width="8.5" style="825" customWidth="1"/>
    <col min="16" max="16" width="7.875" style="825" customWidth="1"/>
    <col min="17" max="17" width="9.875" customWidth="1"/>
    <col min="18" max="18" width="9.625" customWidth="1"/>
    <col min="19" max="19" width="7.875" customWidth="1"/>
    <col min="20" max="20" width="6.5" customWidth="1"/>
    <col min="21" max="21" width="7.25" customWidth="1"/>
    <col min="22" max="22" width="8.625" customWidth="1"/>
    <col min="23" max="23" width="6.625" customWidth="1"/>
    <col min="27" max="27" width="12.125" customWidth="1"/>
    <col min="28" max="28" width="13.125" customWidth="1"/>
    <col min="29" max="29" width="11.75" customWidth="1"/>
    <col min="30" max="30" width="12" customWidth="1"/>
    <col min="32" max="32" width="11.375" customWidth="1"/>
    <col min="33" max="33" width="14.375" style="1351" customWidth="1"/>
    <col min="38" max="39" width="8.875" style="1351"/>
    <col min="41" max="41" width="25" customWidth="1"/>
    <col min="42" max="42" width="75.125" customWidth="1"/>
    <col min="43" max="43" width="15.375" customWidth="1"/>
    <col min="44" max="44" width="17.125" bestFit="1" customWidth="1"/>
  </cols>
  <sheetData>
    <row r="1" spans="1:39" s="1195" customFormat="1">
      <c r="G1" s="825"/>
      <c r="H1" s="825"/>
      <c r="I1" s="825"/>
      <c r="J1" s="825"/>
      <c r="K1" s="825"/>
      <c r="L1" s="825"/>
      <c r="M1" s="825"/>
      <c r="N1" s="825"/>
      <c r="O1" s="825"/>
      <c r="P1" s="825"/>
      <c r="AG1" s="1351"/>
      <c r="AL1" s="1351"/>
      <c r="AM1" s="1351"/>
    </row>
    <row r="2" spans="1:39" s="1195" customFormat="1">
      <c r="A2" s="1195" t="str">
        <f>INPUTS!$C17</f>
        <v>Cows (improved)</v>
      </c>
      <c r="B2" s="1195">
        <f t="shared" ref="B2:B15" si="0">IFERROR(VLOOKUP($A2,$A$20:$AM$37,2,FALSE),0)</f>
        <v>381</v>
      </c>
      <c r="C2" s="1202">
        <f t="shared" ref="C2:C15" si="1">IFERROR(VLOOKUP($A2,$A$20:$AM$37,3,FALSE),0)</f>
        <v>0</v>
      </c>
      <c r="D2" s="1202">
        <f t="shared" ref="D2:D15" si="2">IFERROR(VLOOKUP($A2,$A$20:$AM$37,4,FALSE),0)</f>
        <v>0</v>
      </c>
      <c r="E2" s="1202">
        <f t="shared" ref="E2:E15" si="3">IFERROR(VLOOKUP($A2,$A$20:$AM$37,5,FALSE),0)</f>
        <v>0</v>
      </c>
      <c r="F2" s="1202">
        <f t="shared" ref="F2:F15" si="4">IFERROR(VLOOKUP($A2,$A$20:$AM$37,6,FALSE),0)</f>
        <v>0</v>
      </c>
      <c r="G2" s="1202">
        <f t="shared" ref="G2:G15" si="5">IFERROR(VLOOKUP($A2,$A$20:$AM$37,7,FALSE),0)</f>
        <v>0</v>
      </c>
      <c r="H2" s="649">
        <f t="shared" ref="H2:H15" si="6">IFERROR(VLOOKUP($A2,$A$20:$AM$37,8,FALSE),0)</f>
        <v>43.118509116603107</v>
      </c>
      <c r="I2" s="1202">
        <f t="shared" ref="I2:I15" si="7">IFERROR(VLOOKUP($A2,$A$20:$AM$37,9,FALSE),0)</f>
        <v>0</v>
      </c>
      <c r="J2" s="649">
        <f t="shared" ref="J2:J15" si="8">IFERROR(VLOOKUP($A2,$A$20:$AM$37,10,FALSE),0)</f>
        <v>1500</v>
      </c>
      <c r="K2" s="649">
        <f t="shared" ref="K2:K15" si="9">IFERROR(VLOOKUP($A2,$A$20:$AM$37,11,FALSE),0)</f>
        <v>0</v>
      </c>
      <c r="L2" s="1202">
        <f t="shared" ref="L2:L15" si="10">IFERROR(VLOOKUP($A2,$A$20:$AM$37,12,FALSE),0)</f>
        <v>5.5</v>
      </c>
      <c r="M2" s="1202">
        <f t="shared" ref="M2:M15" si="11">IFERROR(VLOOKUP($A2,$A$20:$AM$37,13,FALSE),0)</f>
        <v>0</v>
      </c>
      <c r="N2" s="39">
        <f t="shared" ref="N2:N15" si="12">IFERROR(VLOOKUP($A2,$A$20:$AM$37,14,FALSE),0)</f>
        <v>0.38100000000000001</v>
      </c>
      <c r="O2" s="1202">
        <f t="shared" ref="O2:O15" si="13">IFERROR(VLOOKUP($A2,$A$20:$AM$37,15,FALSE),0)</f>
        <v>0</v>
      </c>
      <c r="P2" s="39">
        <f t="shared" ref="P2:P15" si="14">IFERROR(VLOOKUP($A2,$A$20:$AM$37,16,FALSE),0)</f>
        <v>12.21</v>
      </c>
      <c r="Q2" s="39">
        <f t="shared" ref="Q2:Q15" si="15">IFERROR(VLOOKUP($A2,$A$20:$AM$37,17,FALSE),0)</f>
        <v>0</v>
      </c>
      <c r="R2" s="1202">
        <f t="shared" ref="R2:R15" si="16">IFERROR(VLOOKUP($A2,$A$20:$AM$37,18,FALSE),0)</f>
        <v>0.09</v>
      </c>
      <c r="S2" s="1202">
        <f t="shared" ref="S2:S15" si="17">IFERROR(VLOOKUP($A2,$A$20:$AM$37,19,FALSE),0)</f>
        <v>0</v>
      </c>
      <c r="T2" s="1202">
        <f>IFERROR(VLOOKUP($A2,INPUTS!$C$17:$F$30,3,FALSE),0)</f>
        <v>1525</v>
      </c>
      <c r="U2" s="1340">
        <f>IFERROR(VLOOKUP($A2,INPUTS!$C$17:$F$30,4,FALSE),0)</f>
        <v>0</v>
      </c>
      <c r="V2" s="1202">
        <f t="shared" ref="V2:V15" si="18">IFERROR(VLOOKUP($A2,$A$20:$AM$37,22,FALSE),0)</f>
        <v>1.2</v>
      </c>
      <c r="W2" s="1202">
        <f t="shared" ref="W2:W15" si="19">IFERROR(VLOOKUP($A2,$A$20:$AM$37,23,FALSE),0)</f>
        <v>3.7</v>
      </c>
      <c r="X2" s="1202">
        <f t="shared" ref="X2:X15" si="20">IFERROR(VLOOKUP($A2,$A$20:$AM$37,24,FALSE),0)</f>
        <v>4.3</v>
      </c>
      <c r="Y2" s="1202">
        <f t="shared" ref="Y2:Y15" si="21">IFERROR(VLOOKUP($A2,$A$20:$AM$37,25,FALSE),0)</f>
        <v>970</v>
      </c>
      <c r="Z2" s="1202">
        <f t="shared" ref="Z2:Z15" si="22">IFERROR(VLOOKUP($A2,$A$20:$AM$37,26,FALSE),0)</f>
        <v>2200</v>
      </c>
      <c r="AA2" s="1202">
        <f t="shared" ref="AA2:AA15" si="23">IFERROR(VLOOKUP($A2,$A$20:$AM$37,27,FALSE),0)</f>
        <v>26</v>
      </c>
      <c r="AB2" s="1202">
        <f t="shared" ref="AB2:AB15" si="24">IFERROR(VLOOKUP($A2,$A$20:$AM$37,28,FALSE),0)</f>
        <v>0</v>
      </c>
      <c r="AC2" s="1202">
        <f t="shared" ref="AC2:AC15" si="25">IFERROR(VLOOKUP($A2,$A$20:$AM$37,29,FALSE),0)</f>
        <v>0</v>
      </c>
      <c r="AD2" s="1202">
        <f t="shared" ref="AD2:AD15" si="26">IFERROR(VLOOKUP($A2,$A$20:$AM$37,30,FALSE),0)</f>
        <v>2.9000000000000001E-2</v>
      </c>
      <c r="AE2" s="1202">
        <f t="shared" ref="AE2:AE15" si="27">IFERROR(VLOOKUP($A2,$A$20:$AM$37,31,FALSE),0)</f>
        <v>0</v>
      </c>
      <c r="AF2" s="1202" t="str">
        <f t="shared" ref="AF2:AF15" si="28">IFERROR(VLOOKUP($A2,$A$20:$AM$37,32,FALSE),0)</f>
        <v>beef</v>
      </c>
      <c r="AG2" s="1351" t="str">
        <f>IFERROR(VLOOKUP($A2,$A$20:$AM$37,33,FALSE),0)</f>
        <v>cow milk</v>
      </c>
      <c r="AH2" s="1202">
        <f>IFERROR(VLOOKUP($A2,$A$20:$AM$37,34,FALSE),0)</f>
        <v>900</v>
      </c>
      <c r="AI2" s="1202">
        <f>IFERROR(VLOOKUP($A2,$A$20:$AM$37,35,FALSE),0)</f>
        <v>45</v>
      </c>
      <c r="AJ2" s="1202">
        <f>IFERROR(VLOOKUP($A2,$A$20:$AM$37,36,FALSE),0)</f>
        <v>0</v>
      </c>
      <c r="AK2" s="1202">
        <f>IFERROR(VLOOKUP($A2,$A$20:$AM$37,37,FALSE),0)</f>
        <v>8</v>
      </c>
      <c r="AL2" s="1351">
        <f>IFERROR(VLOOKUP($A2,$A$20:$AM$37,38,FALSE),0)</f>
        <v>3</v>
      </c>
      <c r="AM2" s="1351">
        <f>IFERROR(VLOOKUP($A2,$A$20:$AM$37,39,FALSE),0)</f>
        <v>0.35</v>
      </c>
    </row>
    <row r="3" spans="1:39" s="1195" customFormat="1">
      <c r="A3" s="1196" t="str">
        <f>INPUTS!$C18</f>
        <v>Steers/heifers (improved)</v>
      </c>
      <c r="B3" s="1202">
        <f t="shared" si="0"/>
        <v>290</v>
      </c>
      <c r="C3" s="1202">
        <f t="shared" si="1"/>
        <v>0</v>
      </c>
      <c r="D3" s="1202">
        <f t="shared" si="2"/>
        <v>0</v>
      </c>
      <c r="E3" s="1202">
        <f t="shared" si="3"/>
        <v>0</v>
      </c>
      <c r="F3" s="1202">
        <f t="shared" si="4"/>
        <v>0</v>
      </c>
      <c r="G3" s="1202">
        <f t="shared" si="5"/>
        <v>0</v>
      </c>
      <c r="H3" s="649">
        <f t="shared" si="6"/>
        <v>35.137309395138168</v>
      </c>
      <c r="I3" s="1202">
        <f t="shared" si="7"/>
        <v>0</v>
      </c>
      <c r="J3" s="649">
        <f t="shared" si="8"/>
        <v>0</v>
      </c>
      <c r="K3" s="649">
        <f t="shared" si="9"/>
        <v>0</v>
      </c>
      <c r="L3" s="1202">
        <f t="shared" si="10"/>
        <v>0</v>
      </c>
      <c r="M3" s="1202">
        <f t="shared" si="11"/>
        <v>50</v>
      </c>
      <c r="N3" s="39">
        <f t="shared" si="12"/>
        <v>0.28999999999999998</v>
      </c>
      <c r="O3" s="1202">
        <f t="shared" si="13"/>
        <v>0</v>
      </c>
      <c r="P3" s="39">
        <f t="shared" si="14"/>
        <v>0</v>
      </c>
      <c r="Q3" s="39">
        <f t="shared" si="15"/>
        <v>0</v>
      </c>
      <c r="R3" s="1202">
        <f t="shared" si="16"/>
        <v>0</v>
      </c>
      <c r="S3" s="1202">
        <f t="shared" si="17"/>
        <v>0.4</v>
      </c>
      <c r="T3" s="1340">
        <f>IFERROR(VLOOKUP($A3,INPUTS!$C$17:$F$30,3,FALSE),0)</f>
        <v>0</v>
      </c>
      <c r="U3" s="1340">
        <f>IFERROR(VLOOKUP($A3,INPUTS!$C$17:$F$30,4,FALSE),0)</f>
        <v>156</v>
      </c>
      <c r="V3" s="1202">
        <f t="shared" si="18"/>
        <v>0</v>
      </c>
      <c r="W3" s="1202">
        <f t="shared" si="19"/>
        <v>0</v>
      </c>
      <c r="X3" s="1202">
        <f t="shared" si="20"/>
        <v>0</v>
      </c>
      <c r="Y3" s="1202">
        <f t="shared" si="21"/>
        <v>0</v>
      </c>
      <c r="Z3" s="1202">
        <f t="shared" si="22"/>
        <v>2200</v>
      </c>
      <c r="AA3" s="1202">
        <f t="shared" si="23"/>
        <v>26</v>
      </c>
      <c r="AB3" s="1202">
        <f t="shared" si="24"/>
        <v>0.57999999999999996</v>
      </c>
      <c r="AC3" s="1202">
        <f t="shared" si="25"/>
        <v>0</v>
      </c>
      <c r="AD3" s="1202">
        <f t="shared" si="26"/>
        <v>2.9000000000000001E-2</v>
      </c>
      <c r="AE3" s="1202">
        <f t="shared" si="27"/>
        <v>0</v>
      </c>
      <c r="AF3" s="1202" t="str">
        <f t="shared" si="28"/>
        <v>beef</v>
      </c>
      <c r="AG3" s="1351" t="str">
        <f t="shared" ref="AG3:AG15" si="29">IFERROR(VLOOKUP($A3,$A$20:$AM$37,33,FALSE),0)</f>
        <v>cow milk</v>
      </c>
      <c r="AH3" s="1351">
        <f t="shared" ref="AH3:AH15" si="30">IFERROR(VLOOKUP($A3,$A$20:$AM$37,34,FALSE),0)</f>
        <v>250</v>
      </c>
      <c r="AI3" s="1351">
        <f t="shared" ref="AI3:AI15" si="31">IFERROR(VLOOKUP($A3,$A$20:$AM$37,35,FALSE),0)</f>
        <v>50</v>
      </c>
      <c r="AJ3" s="1351">
        <f t="shared" ref="AJ3:AJ15" si="32">IFERROR(VLOOKUP($A3,$A$20:$AM$37,36,FALSE),0)</f>
        <v>0</v>
      </c>
      <c r="AK3" s="1351">
        <f t="shared" ref="AK3:AK15" si="33">IFERROR(VLOOKUP($A3,$A$20:$AM$37,37,FALSE),0)</f>
        <v>2</v>
      </c>
      <c r="AL3" s="1351">
        <f t="shared" ref="AL3:AL15" si="34">IFERROR(VLOOKUP($A3,$A$20:$AM$37,38,FALSE),0)</f>
        <v>3</v>
      </c>
      <c r="AM3" s="1351">
        <f t="shared" ref="AM3:AM15" si="35">IFERROR(VLOOKUP($A3,$A$20:$AM$37,39,FALSE),0)</f>
        <v>0.35</v>
      </c>
    </row>
    <row r="4" spans="1:39" s="1195" customFormat="1">
      <c r="A4" s="1196">
        <f>INPUTS!$C19</f>
        <v>0</v>
      </c>
      <c r="B4" s="1202">
        <f t="shared" si="0"/>
        <v>0</v>
      </c>
      <c r="C4" s="1202">
        <f t="shared" si="1"/>
        <v>0</v>
      </c>
      <c r="D4" s="1202">
        <f t="shared" si="2"/>
        <v>0</v>
      </c>
      <c r="E4" s="1202">
        <f t="shared" si="3"/>
        <v>0</v>
      </c>
      <c r="F4" s="1202">
        <f t="shared" si="4"/>
        <v>0</v>
      </c>
      <c r="G4" s="1202">
        <f t="shared" si="5"/>
        <v>0</v>
      </c>
      <c r="H4" s="649">
        <f t="shared" si="6"/>
        <v>0</v>
      </c>
      <c r="I4" s="1202">
        <f t="shared" si="7"/>
        <v>0</v>
      </c>
      <c r="J4" s="1419">
        <f>IFERROR(VLOOKUP($A4,$A$20:$AM$37,10,FALSE),0)</f>
        <v>0</v>
      </c>
      <c r="K4" s="649">
        <f t="shared" si="9"/>
        <v>0</v>
      </c>
      <c r="L4" s="42">
        <v>0</v>
      </c>
      <c r="M4" s="1202">
        <f t="shared" si="11"/>
        <v>0</v>
      </c>
      <c r="N4" s="39">
        <f t="shared" si="12"/>
        <v>0</v>
      </c>
      <c r="O4" s="1202">
        <f t="shared" si="13"/>
        <v>0</v>
      </c>
      <c r="P4" s="1165">
        <f t="shared" si="14"/>
        <v>0</v>
      </c>
      <c r="Q4" s="39">
        <f t="shared" si="15"/>
        <v>0</v>
      </c>
      <c r="R4" s="42">
        <v>0</v>
      </c>
      <c r="S4" s="1202">
        <f t="shared" si="17"/>
        <v>0</v>
      </c>
      <c r="T4" s="42">
        <v>0</v>
      </c>
      <c r="U4" s="1340">
        <f>IFERROR(VLOOKUP($A4,INPUTS!$C$17:$F$30,4,FALSE),0)</f>
        <v>0</v>
      </c>
      <c r="V4" s="1202">
        <f t="shared" si="18"/>
        <v>0</v>
      </c>
      <c r="W4" s="42">
        <v>0</v>
      </c>
      <c r="X4" s="42">
        <v>0</v>
      </c>
      <c r="Y4" s="42">
        <v>0</v>
      </c>
      <c r="Z4" s="1202">
        <f t="shared" si="22"/>
        <v>0</v>
      </c>
      <c r="AA4" s="1202">
        <f t="shared" si="23"/>
        <v>0</v>
      </c>
      <c r="AB4" s="1202">
        <f t="shared" si="24"/>
        <v>0</v>
      </c>
      <c r="AC4" s="1202">
        <f t="shared" si="25"/>
        <v>0</v>
      </c>
      <c r="AD4" s="1202">
        <f t="shared" si="26"/>
        <v>0</v>
      </c>
      <c r="AE4" s="1202">
        <f t="shared" si="27"/>
        <v>0</v>
      </c>
      <c r="AF4" s="1202">
        <f t="shared" si="28"/>
        <v>0</v>
      </c>
      <c r="AG4" s="1351">
        <f t="shared" si="29"/>
        <v>0</v>
      </c>
      <c r="AH4" s="1351">
        <f t="shared" si="30"/>
        <v>0</v>
      </c>
      <c r="AI4" s="1351">
        <f t="shared" si="31"/>
        <v>0</v>
      </c>
      <c r="AJ4" s="1351">
        <f t="shared" si="32"/>
        <v>0</v>
      </c>
      <c r="AK4" s="1351">
        <f t="shared" si="33"/>
        <v>0</v>
      </c>
      <c r="AL4" s="1351">
        <f t="shared" si="34"/>
        <v>0</v>
      </c>
      <c r="AM4" s="1351">
        <f t="shared" si="35"/>
        <v>0</v>
      </c>
    </row>
    <row r="5" spans="1:39" s="1195" customFormat="1">
      <c r="A5" s="1196">
        <f>INPUTS!$C20</f>
        <v>0</v>
      </c>
      <c r="B5" s="1202">
        <f t="shared" si="0"/>
        <v>0</v>
      </c>
      <c r="C5" s="1202">
        <f t="shared" si="1"/>
        <v>0</v>
      </c>
      <c r="D5" s="1202">
        <f t="shared" si="2"/>
        <v>0</v>
      </c>
      <c r="E5" s="1202">
        <f t="shared" si="3"/>
        <v>0</v>
      </c>
      <c r="F5" s="1202">
        <f t="shared" si="4"/>
        <v>0</v>
      </c>
      <c r="G5" s="1202">
        <f t="shared" si="5"/>
        <v>0</v>
      </c>
      <c r="H5" s="649">
        <f t="shared" si="6"/>
        <v>0</v>
      </c>
      <c r="I5" s="1202">
        <f t="shared" si="7"/>
        <v>0</v>
      </c>
      <c r="J5" s="649">
        <f t="shared" si="8"/>
        <v>0</v>
      </c>
      <c r="K5" s="649">
        <f t="shared" si="9"/>
        <v>0</v>
      </c>
      <c r="L5" s="1202">
        <f t="shared" si="10"/>
        <v>0</v>
      </c>
      <c r="M5" s="1202">
        <f t="shared" si="11"/>
        <v>0</v>
      </c>
      <c r="N5" s="39">
        <f t="shared" si="12"/>
        <v>0</v>
      </c>
      <c r="O5" s="1202">
        <f t="shared" si="13"/>
        <v>0</v>
      </c>
      <c r="P5" s="39">
        <f t="shared" si="14"/>
        <v>0</v>
      </c>
      <c r="Q5" s="39">
        <f t="shared" si="15"/>
        <v>0</v>
      </c>
      <c r="R5" s="1202">
        <f t="shared" si="16"/>
        <v>0</v>
      </c>
      <c r="S5" s="1202">
        <f t="shared" si="17"/>
        <v>0</v>
      </c>
      <c r="T5" s="1340">
        <f>IFERROR(VLOOKUP($A5,INPUTS!$C$17:$F$30,3,FALSE),0)</f>
        <v>0</v>
      </c>
      <c r="U5" s="1340">
        <f>IFERROR(VLOOKUP($A5,INPUTS!$C$17:$F$30,4,FALSE),0)</f>
        <v>0</v>
      </c>
      <c r="V5" s="1202">
        <f t="shared" si="18"/>
        <v>0</v>
      </c>
      <c r="W5" s="1202">
        <f t="shared" si="19"/>
        <v>0</v>
      </c>
      <c r="X5" s="1202">
        <f t="shared" si="20"/>
        <v>0</v>
      </c>
      <c r="Y5" s="1202">
        <f t="shared" si="21"/>
        <v>0</v>
      </c>
      <c r="Z5" s="1202">
        <f t="shared" si="22"/>
        <v>0</v>
      </c>
      <c r="AA5" s="1202">
        <f t="shared" si="23"/>
        <v>0</v>
      </c>
      <c r="AB5" s="1202">
        <f t="shared" si="24"/>
        <v>0</v>
      </c>
      <c r="AC5" s="1202">
        <f t="shared" si="25"/>
        <v>0</v>
      </c>
      <c r="AD5" s="1202">
        <f t="shared" si="26"/>
        <v>0</v>
      </c>
      <c r="AE5" s="1202">
        <f t="shared" si="27"/>
        <v>0</v>
      </c>
      <c r="AF5" s="1202">
        <f t="shared" si="28"/>
        <v>0</v>
      </c>
      <c r="AG5" s="1351">
        <f t="shared" si="29"/>
        <v>0</v>
      </c>
      <c r="AH5" s="1351">
        <f t="shared" si="30"/>
        <v>0</v>
      </c>
      <c r="AI5" s="1351">
        <f t="shared" si="31"/>
        <v>0</v>
      </c>
      <c r="AJ5" s="1351">
        <f t="shared" si="32"/>
        <v>0</v>
      </c>
      <c r="AK5" s="1351">
        <f t="shared" si="33"/>
        <v>0</v>
      </c>
      <c r="AL5" s="1351">
        <f t="shared" si="34"/>
        <v>0</v>
      </c>
      <c r="AM5" s="1351">
        <f t="shared" si="35"/>
        <v>0</v>
      </c>
    </row>
    <row r="6" spans="1:39" s="1195" customFormat="1">
      <c r="A6" s="1196">
        <f>INPUTS!$C21</f>
        <v>0</v>
      </c>
      <c r="B6" s="1202">
        <f t="shared" si="0"/>
        <v>0</v>
      </c>
      <c r="C6" s="1202">
        <f t="shared" si="1"/>
        <v>0</v>
      </c>
      <c r="D6" s="1202">
        <f t="shared" si="2"/>
        <v>0</v>
      </c>
      <c r="E6" s="1202">
        <f t="shared" si="3"/>
        <v>0</v>
      </c>
      <c r="F6" s="1202">
        <f t="shared" si="4"/>
        <v>0</v>
      </c>
      <c r="G6" s="1202">
        <f t="shared" si="5"/>
        <v>0</v>
      </c>
      <c r="H6" s="649">
        <f t="shared" si="6"/>
        <v>0</v>
      </c>
      <c r="I6" s="1202">
        <f t="shared" si="7"/>
        <v>0</v>
      </c>
      <c r="J6" s="649">
        <f t="shared" si="8"/>
        <v>0</v>
      </c>
      <c r="K6" s="649">
        <f t="shared" si="9"/>
        <v>0</v>
      </c>
      <c r="L6" s="1202">
        <f t="shared" si="10"/>
        <v>0</v>
      </c>
      <c r="M6" s="1202">
        <f t="shared" si="11"/>
        <v>0</v>
      </c>
      <c r="N6" s="39">
        <f t="shared" si="12"/>
        <v>0</v>
      </c>
      <c r="O6" s="1202">
        <f t="shared" si="13"/>
        <v>0</v>
      </c>
      <c r="P6" s="39">
        <f t="shared" si="14"/>
        <v>0</v>
      </c>
      <c r="Q6" s="39">
        <f t="shared" si="15"/>
        <v>0</v>
      </c>
      <c r="R6" s="1202">
        <f t="shared" si="16"/>
        <v>0</v>
      </c>
      <c r="S6" s="1202">
        <f t="shared" si="17"/>
        <v>0</v>
      </c>
      <c r="T6" s="1340">
        <f>IFERROR(VLOOKUP($A6,INPUTS!$C$17:$F$30,3,FALSE),0)</f>
        <v>0</v>
      </c>
      <c r="U6" s="1340">
        <f>IFERROR(VLOOKUP($A6,INPUTS!$C$17:$F$30,4,FALSE),0)</f>
        <v>0</v>
      </c>
      <c r="V6" s="1202">
        <f t="shared" si="18"/>
        <v>0</v>
      </c>
      <c r="W6" s="1202">
        <f t="shared" si="19"/>
        <v>0</v>
      </c>
      <c r="X6" s="1202">
        <f t="shared" si="20"/>
        <v>0</v>
      </c>
      <c r="Y6" s="1202">
        <f t="shared" si="21"/>
        <v>0</v>
      </c>
      <c r="Z6" s="1202">
        <f t="shared" si="22"/>
        <v>0</v>
      </c>
      <c r="AA6" s="1202">
        <f t="shared" si="23"/>
        <v>0</v>
      </c>
      <c r="AB6" s="1202">
        <f t="shared" si="24"/>
        <v>0</v>
      </c>
      <c r="AC6" s="1202">
        <f t="shared" si="25"/>
        <v>0</v>
      </c>
      <c r="AD6" s="1202">
        <f t="shared" si="26"/>
        <v>0</v>
      </c>
      <c r="AE6" s="1202">
        <f t="shared" si="27"/>
        <v>0</v>
      </c>
      <c r="AF6" s="1202">
        <f t="shared" si="28"/>
        <v>0</v>
      </c>
      <c r="AG6" s="1351">
        <f t="shared" si="29"/>
        <v>0</v>
      </c>
      <c r="AH6" s="1351">
        <f t="shared" si="30"/>
        <v>0</v>
      </c>
      <c r="AI6" s="1351">
        <f t="shared" si="31"/>
        <v>0</v>
      </c>
      <c r="AJ6" s="1351">
        <f t="shared" si="32"/>
        <v>0</v>
      </c>
      <c r="AK6" s="1351">
        <f t="shared" si="33"/>
        <v>0</v>
      </c>
      <c r="AL6" s="1351">
        <f t="shared" si="34"/>
        <v>0</v>
      </c>
      <c r="AM6" s="1351">
        <f t="shared" si="35"/>
        <v>0</v>
      </c>
    </row>
    <row r="7" spans="1:39" s="1195" customFormat="1">
      <c r="A7" s="1196">
        <f>INPUTS!$C22</f>
        <v>0</v>
      </c>
      <c r="B7" s="1202">
        <f t="shared" si="0"/>
        <v>0</v>
      </c>
      <c r="C7" s="1202">
        <f t="shared" si="1"/>
        <v>0</v>
      </c>
      <c r="D7" s="1202">
        <f t="shared" si="2"/>
        <v>0</v>
      </c>
      <c r="E7" s="1202">
        <f t="shared" si="3"/>
        <v>0</v>
      </c>
      <c r="F7" s="1202">
        <f t="shared" si="4"/>
        <v>0</v>
      </c>
      <c r="G7" s="1202">
        <f t="shared" si="5"/>
        <v>0</v>
      </c>
      <c r="H7" s="649">
        <f t="shared" si="6"/>
        <v>0</v>
      </c>
      <c r="I7" s="1202">
        <f t="shared" si="7"/>
        <v>0</v>
      </c>
      <c r="J7" s="649">
        <f t="shared" si="8"/>
        <v>0</v>
      </c>
      <c r="K7" s="649">
        <f t="shared" si="9"/>
        <v>0</v>
      </c>
      <c r="L7" s="1202">
        <f t="shared" si="10"/>
        <v>0</v>
      </c>
      <c r="M7" s="1202">
        <f t="shared" si="11"/>
        <v>0</v>
      </c>
      <c r="N7" s="39">
        <f t="shared" si="12"/>
        <v>0</v>
      </c>
      <c r="O7" s="1202">
        <f t="shared" si="13"/>
        <v>0</v>
      </c>
      <c r="P7" s="39">
        <f t="shared" si="14"/>
        <v>0</v>
      </c>
      <c r="Q7" s="39">
        <f t="shared" si="15"/>
        <v>0</v>
      </c>
      <c r="R7" s="1202">
        <f t="shared" si="16"/>
        <v>0</v>
      </c>
      <c r="S7" s="1202">
        <f t="shared" si="17"/>
        <v>0</v>
      </c>
      <c r="T7" s="1340">
        <f>IFERROR(VLOOKUP($A7,INPUTS!$C$17:$F$30,3,FALSE),0)</f>
        <v>0</v>
      </c>
      <c r="U7" s="1340">
        <f>IFERROR(VLOOKUP($A7,INPUTS!$C$17:$F$30,4,FALSE),0)</f>
        <v>0</v>
      </c>
      <c r="V7" s="1202">
        <f t="shared" si="18"/>
        <v>0</v>
      </c>
      <c r="W7" s="1202">
        <f t="shared" si="19"/>
        <v>0</v>
      </c>
      <c r="X7" s="1202">
        <f t="shared" si="20"/>
        <v>0</v>
      </c>
      <c r="Y7" s="1202">
        <f t="shared" si="21"/>
        <v>0</v>
      </c>
      <c r="Z7" s="1202">
        <f t="shared" si="22"/>
        <v>0</v>
      </c>
      <c r="AA7" s="1202">
        <f t="shared" si="23"/>
        <v>0</v>
      </c>
      <c r="AB7" s="1202">
        <f t="shared" si="24"/>
        <v>0</v>
      </c>
      <c r="AC7" s="1202">
        <f t="shared" si="25"/>
        <v>0</v>
      </c>
      <c r="AD7" s="1202">
        <f t="shared" si="26"/>
        <v>0</v>
      </c>
      <c r="AE7" s="1202">
        <f t="shared" si="27"/>
        <v>0</v>
      </c>
      <c r="AF7" s="1202">
        <f t="shared" si="28"/>
        <v>0</v>
      </c>
      <c r="AG7" s="1351">
        <f t="shared" si="29"/>
        <v>0</v>
      </c>
      <c r="AH7" s="1351">
        <f t="shared" si="30"/>
        <v>0</v>
      </c>
      <c r="AI7" s="1351">
        <f t="shared" si="31"/>
        <v>0</v>
      </c>
      <c r="AJ7" s="1351">
        <f t="shared" si="32"/>
        <v>0</v>
      </c>
      <c r="AK7" s="1351">
        <f t="shared" si="33"/>
        <v>0</v>
      </c>
      <c r="AL7" s="1351">
        <f t="shared" si="34"/>
        <v>0</v>
      </c>
      <c r="AM7" s="1351">
        <f t="shared" si="35"/>
        <v>0</v>
      </c>
    </row>
    <row r="8" spans="1:39" s="1195" customFormat="1">
      <c r="A8" s="1196">
        <f>INPUTS!$C23</f>
        <v>0</v>
      </c>
      <c r="B8" s="1202">
        <f t="shared" si="0"/>
        <v>0</v>
      </c>
      <c r="C8" s="1202">
        <f t="shared" si="1"/>
        <v>0</v>
      </c>
      <c r="D8" s="1202">
        <f t="shared" si="2"/>
        <v>0</v>
      </c>
      <c r="E8" s="1202">
        <f t="shared" si="3"/>
        <v>0</v>
      </c>
      <c r="F8" s="1202">
        <f t="shared" si="4"/>
        <v>0</v>
      </c>
      <c r="G8" s="1202">
        <f t="shared" si="5"/>
        <v>0</v>
      </c>
      <c r="H8" s="649">
        <f t="shared" si="6"/>
        <v>0</v>
      </c>
      <c r="I8" s="1202">
        <f t="shared" si="7"/>
        <v>0</v>
      </c>
      <c r="J8" s="649">
        <f t="shared" si="8"/>
        <v>0</v>
      </c>
      <c r="K8" s="649">
        <f t="shared" si="9"/>
        <v>0</v>
      </c>
      <c r="L8" s="1202">
        <f t="shared" si="10"/>
        <v>0</v>
      </c>
      <c r="M8" s="1202">
        <f t="shared" si="11"/>
        <v>0</v>
      </c>
      <c r="N8" s="39">
        <f t="shared" si="12"/>
        <v>0</v>
      </c>
      <c r="O8" s="1202">
        <f t="shared" si="13"/>
        <v>0</v>
      </c>
      <c r="P8" s="39">
        <f t="shared" si="14"/>
        <v>0</v>
      </c>
      <c r="Q8" s="39">
        <f t="shared" si="15"/>
        <v>0</v>
      </c>
      <c r="R8" s="1202">
        <f t="shared" si="16"/>
        <v>0</v>
      </c>
      <c r="S8" s="1202">
        <f t="shared" si="17"/>
        <v>0</v>
      </c>
      <c r="T8" s="1340">
        <f>IFERROR(VLOOKUP($A8,INPUTS!$C$17:$F$30,3,FALSE),0)</f>
        <v>0</v>
      </c>
      <c r="U8" s="1340">
        <f>IFERROR(VLOOKUP($A8,INPUTS!$C$17:$F$30,4,FALSE),0)</f>
        <v>0</v>
      </c>
      <c r="V8" s="1202">
        <f t="shared" si="18"/>
        <v>0</v>
      </c>
      <c r="W8" s="1202">
        <f t="shared" si="19"/>
        <v>0</v>
      </c>
      <c r="X8" s="1202">
        <f t="shared" si="20"/>
        <v>0</v>
      </c>
      <c r="Y8" s="1202">
        <f t="shared" si="21"/>
        <v>0</v>
      </c>
      <c r="Z8" s="1202">
        <f t="shared" si="22"/>
        <v>0</v>
      </c>
      <c r="AA8" s="1202">
        <f t="shared" si="23"/>
        <v>0</v>
      </c>
      <c r="AB8" s="1202">
        <f t="shared" si="24"/>
        <v>0</v>
      </c>
      <c r="AC8" s="1202">
        <f t="shared" si="25"/>
        <v>0</v>
      </c>
      <c r="AD8" s="1202">
        <f t="shared" si="26"/>
        <v>0</v>
      </c>
      <c r="AE8" s="1202">
        <f t="shared" si="27"/>
        <v>0</v>
      </c>
      <c r="AF8" s="1202">
        <f t="shared" si="28"/>
        <v>0</v>
      </c>
      <c r="AG8" s="1351">
        <f t="shared" si="29"/>
        <v>0</v>
      </c>
      <c r="AH8" s="1351">
        <f t="shared" si="30"/>
        <v>0</v>
      </c>
      <c r="AI8" s="1351">
        <f t="shared" si="31"/>
        <v>0</v>
      </c>
      <c r="AJ8" s="1351">
        <f t="shared" si="32"/>
        <v>0</v>
      </c>
      <c r="AK8" s="1351">
        <f t="shared" si="33"/>
        <v>0</v>
      </c>
      <c r="AL8" s="1351">
        <f t="shared" si="34"/>
        <v>0</v>
      </c>
      <c r="AM8" s="1351">
        <f t="shared" si="35"/>
        <v>0</v>
      </c>
    </row>
    <row r="9" spans="1:39" s="1195" customFormat="1">
      <c r="A9" s="1196">
        <f>INPUTS!$C24</f>
        <v>0</v>
      </c>
      <c r="B9" s="1202">
        <f t="shared" si="0"/>
        <v>0</v>
      </c>
      <c r="C9" s="1202">
        <f t="shared" si="1"/>
        <v>0</v>
      </c>
      <c r="D9" s="1202">
        <f t="shared" si="2"/>
        <v>0</v>
      </c>
      <c r="E9" s="1202">
        <f t="shared" si="3"/>
        <v>0</v>
      </c>
      <c r="F9" s="1202">
        <f t="shared" si="4"/>
        <v>0</v>
      </c>
      <c r="G9" s="1202">
        <f t="shared" si="5"/>
        <v>0</v>
      </c>
      <c r="H9" s="649">
        <f t="shared" si="6"/>
        <v>0</v>
      </c>
      <c r="I9" s="1202">
        <f t="shared" si="7"/>
        <v>0</v>
      </c>
      <c r="J9" s="649">
        <f t="shared" si="8"/>
        <v>0</v>
      </c>
      <c r="K9" s="649">
        <f t="shared" si="9"/>
        <v>0</v>
      </c>
      <c r="L9" s="1202">
        <f t="shared" si="10"/>
        <v>0</v>
      </c>
      <c r="M9" s="1202">
        <f t="shared" si="11"/>
        <v>0</v>
      </c>
      <c r="N9" s="39">
        <f t="shared" si="12"/>
        <v>0</v>
      </c>
      <c r="O9" s="1202">
        <f t="shared" si="13"/>
        <v>0</v>
      </c>
      <c r="P9" s="39">
        <f t="shared" si="14"/>
        <v>0</v>
      </c>
      <c r="Q9" s="39">
        <f t="shared" si="15"/>
        <v>0</v>
      </c>
      <c r="R9" s="1202">
        <f t="shared" si="16"/>
        <v>0</v>
      </c>
      <c r="S9" s="1202">
        <f t="shared" si="17"/>
        <v>0</v>
      </c>
      <c r="T9" s="1340">
        <f>IFERROR(VLOOKUP($A9,INPUTS!$C$17:$F$30,3,FALSE),0)</f>
        <v>0</v>
      </c>
      <c r="U9" s="1340">
        <f>IFERROR(VLOOKUP($A9,INPUTS!$C$17:$F$30,4,FALSE),0)</f>
        <v>0</v>
      </c>
      <c r="V9" s="1202">
        <f t="shared" si="18"/>
        <v>0</v>
      </c>
      <c r="W9" s="1202">
        <f t="shared" si="19"/>
        <v>0</v>
      </c>
      <c r="X9" s="1202">
        <f t="shared" si="20"/>
        <v>0</v>
      </c>
      <c r="Y9" s="1202">
        <f t="shared" si="21"/>
        <v>0</v>
      </c>
      <c r="Z9" s="1202">
        <f t="shared" si="22"/>
        <v>0</v>
      </c>
      <c r="AA9" s="1202">
        <f t="shared" si="23"/>
        <v>0</v>
      </c>
      <c r="AB9" s="1202">
        <f t="shared" si="24"/>
        <v>0</v>
      </c>
      <c r="AC9" s="1202">
        <f t="shared" si="25"/>
        <v>0</v>
      </c>
      <c r="AD9" s="1202">
        <f t="shared" si="26"/>
        <v>0</v>
      </c>
      <c r="AE9" s="1202">
        <f t="shared" si="27"/>
        <v>0</v>
      </c>
      <c r="AF9" s="1202">
        <f t="shared" si="28"/>
        <v>0</v>
      </c>
      <c r="AG9" s="1351">
        <f t="shared" si="29"/>
        <v>0</v>
      </c>
      <c r="AH9" s="1351">
        <f t="shared" si="30"/>
        <v>0</v>
      </c>
      <c r="AI9" s="1351">
        <f t="shared" si="31"/>
        <v>0</v>
      </c>
      <c r="AJ9" s="1351">
        <f t="shared" si="32"/>
        <v>0</v>
      </c>
      <c r="AK9" s="1351">
        <f t="shared" si="33"/>
        <v>0</v>
      </c>
      <c r="AL9" s="1351">
        <f t="shared" si="34"/>
        <v>0</v>
      </c>
      <c r="AM9" s="1351">
        <f t="shared" si="35"/>
        <v>0</v>
      </c>
    </row>
    <row r="10" spans="1:39" s="1195" customFormat="1">
      <c r="A10" s="1196">
        <f>INPUTS!$C25</f>
        <v>0</v>
      </c>
      <c r="B10" s="1202">
        <f t="shared" si="0"/>
        <v>0</v>
      </c>
      <c r="C10" s="1202">
        <f t="shared" si="1"/>
        <v>0</v>
      </c>
      <c r="D10" s="1202">
        <f t="shared" si="2"/>
        <v>0</v>
      </c>
      <c r="E10" s="1202">
        <f t="shared" si="3"/>
        <v>0</v>
      </c>
      <c r="F10" s="1202">
        <f t="shared" si="4"/>
        <v>0</v>
      </c>
      <c r="G10" s="1202">
        <f t="shared" si="5"/>
        <v>0</v>
      </c>
      <c r="H10" s="649">
        <f t="shared" si="6"/>
        <v>0</v>
      </c>
      <c r="I10" s="1202">
        <f t="shared" si="7"/>
        <v>0</v>
      </c>
      <c r="J10" s="649">
        <f t="shared" si="8"/>
        <v>0</v>
      </c>
      <c r="K10" s="649">
        <f t="shared" si="9"/>
        <v>0</v>
      </c>
      <c r="L10" s="1202">
        <f t="shared" si="10"/>
        <v>0</v>
      </c>
      <c r="M10" s="1202">
        <f t="shared" si="11"/>
        <v>0</v>
      </c>
      <c r="N10" s="39">
        <f t="shared" si="12"/>
        <v>0</v>
      </c>
      <c r="O10" s="1202">
        <f t="shared" si="13"/>
        <v>0</v>
      </c>
      <c r="P10" s="39">
        <f t="shared" si="14"/>
        <v>0</v>
      </c>
      <c r="Q10" s="39">
        <f t="shared" si="15"/>
        <v>0</v>
      </c>
      <c r="R10" s="1202">
        <f t="shared" si="16"/>
        <v>0</v>
      </c>
      <c r="S10" s="1202">
        <f t="shared" si="17"/>
        <v>0</v>
      </c>
      <c r="T10" s="1340">
        <f>IFERROR(VLOOKUP($A10,INPUTS!$C$17:$F$30,3,FALSE),0)</f>
        <v>0</v>
      </c>
      <c r="U10" s="1340">
        <f>IFERROR(VLOOKUP($A10,INPUTS!$C$17:$F$30,4,FALSE),0)</f>
        <v>0</v>
      </c>
      <c r="V10" s="1202">
        <f t="shared" si="18"/>
        <v>0</v>
      </c>
      <c r="W10" s="1202">
        <f t="shared" si="19"/>
        <v>0</v>
      </c>
      <c r="X10" s="1202">
        <f t="shared" si="20"/>
        <v>0</v>
      </c>
      <c r="Y10" s="1202">
        <f t="shared" si="21"/>
        <v>0</v>
      </c>
      <c r="Z10" s="1202">
        <f t="shared" si="22"/>
        <v>0</v>
      </c>
      <c r="AA10" s="1202">
        <f t="shared" si="23"/>
        <v>0</v>
      </c>
      <c r="AB10" s="1202">
        <f t="shared" si="24"/>
        <v>0</v>
      </c>
      <c r="AC10" s="1202">
        <f t="shared" si="25"/>
        <v>0</v>
      </c>
      <c r="AD10" s="1202">
        <f t="shared" si="26"/>
        <v>0</v>
      </c>
      <c r="AE10" s="1202">
        <f t="shared" si="27"/>
        <v>0</v>
      </c>
      <c r="AF10" s="1202">
        <f t="shared" si="28"/>
        <v>0</v>
      </c>
      <c r="AG10" s="1351">
        <f t="shared" si="29"/>
        <v>0</v>
      </c>
      <c r="AH10" s="1351">
        <f t="shared" si="30"/>
        <v>0</v>
      </c>
      <c r="AI10" s="1351">
        <f t="shared" si="31"/>
        <v>0</v>
      </c>
      <c r="AJ10" s="1351">
        <f t="shared" si="32"/>
        <v>0</v>
      </c>
      <c r="AK10" s="1351">
        <f t="shared" si="33"/>
        <v>0</v>
      </c>
      <c r="AL10" s="1351">
        <f t="shared" si="34"/>
        <v>0</v>
      </c>
      <c r="AM10" s="1351">
        <f t="shared" si="35"/>
        <v>0</v>
      </c>
    </row>
    <row r="11" spans="1:39" s="1195" customFormat="1">
      <c r="A11" s="1197">
        <f>INPUTS!$C26</f>
        <v>0</v>
      </c>
      <c r="B11" s="1202">
        <f t="shared" si="0"/>
        <v>0</v>
      </c>
      <c r="C11" s="1202">
        <f t="shared" si="1"/>
        <v>0</v>
      </c>
      <c r="D11" s="1202">
        <f t="shared" si="2"/>
        <v>0</v>
      </c>
      <c r="E11" s="1202">
        <f t="shared" si="3"/>
        <v>0</v>
      </c>
      <c r="F11" s="1202">
        <f t="shared" si="4"/>
        <v>0</v>
      </c>
      <c r="G11" s="1202">
        <f t="shared" si="5"/>
        <v>0</v>
      </c>
      <c r="H11" s="649">
        <f t="shared" si="6"/>
        <v>0</v>
      </c>
      <c r="I11" s="1202">
        <f t="shared" si="7"/>
        <v>0</v>
      </c>
      <c r="J11" s="649">
        <f t="shared" si="8"/>
        <v>0</v>
      </c>
      <c r="K11" s="649">
        <f t="shared" si="9"/>
        <v>0</v>
      </c>
      <c r="L11" s="1202">
        <f t="shared" si="10"/>
        <v>0</v>
      </c>
      <c r="M11" s="1202">
        <f t="shared" si="11"/>
        <v>0</v>
      </c>
      <c r="N11" s="39">
        <f t="shared" si="12"/>
        <v>0</v>
      </c>
      <c r="O11" s="1202">
        <f t="shared" si="13"/>
        <v>0</v>
      </c>
      <c r="P11" s="39">
        <f t="shared" si="14"/>
        <v>0</v>
      </c>
      <c r="Q11" s="39">
        <f t="shared" si="15"/>
        <v>0</v>
      </c>
      <c r="R11" s="1202">
        <f t="shared" si="16"/>
        <v>0</v>
      </c>
      <c r="S11" s="1202">
        <f t="shared" si="17"/>
        <v>0</v>
      </c>
      <c r="T11" s="1340">
        <f>IFERROR(VLOOKUP($A11,INPUTS!$C$17:$F$30,3,FALSE),0)</f>
        <v>0</v>
      </c>
      <c r="U11" s="1340">
        <f>IFERROR(VLOOKUP($A11,INPUTS!$C$17:$F$30,4,FALSE),0)</f>
        <v>0</v>
      </c>
      <c r="V11" s="1202">
        <f t="shared" si="18"/>
        <v>0</v>
      </c>
      <c r="W11" s="1202">
        <f t="shared" si="19"/>
        <v>0</v>
      </c>
      <c r="X11" s="1202">
        <f t="shared" si="20"/>
        <v>0</v>
      </c>
      <c r="Y11" s="1202">
        <f t="shared" si="21"/>
        <v>0</v>
      </c>
      <c r="Z11" s="1202">
        <f t="shared" si="22"/>
        <v>0</v>
      </c>
      <c r="AA11" s="1202">
        <f t="shared" si="23"/>
        <v>0</v>
      </c>
      <c r="AB11" s="1202">
        <f t="shared" si="24"/>
        <v>0</v>
      </c>
      <c r="AC11" s="1202">
        <f t="shared" si="25"/>
        <v>0</v>
      </c>
      <c r="AD11" s="1202">
        <f t="shared" si="26"/>
        <v>0</v>
      </c>
      <c r="AE11" s="1202">
        <f t="shared" si="27"/>
        <v>0</v>
      </c>
      <c r="AF11" s="1202">
        <f t="shared" si="28"/>
        <v>0</v>
      </c>
      <c r="AG11" s="1351">
        <f t="shared" si="29"/>
        <v>0</v>
      </c>
      <c r="AH11" s="1351">
        <f t="shared" si="30"/>
        <v>0</v>
      </c>
      <c r="AI11" s="1351">
        <f t="shared" si="31"/>
        <v>0</v>
      </c>
      <c r="AJ11" s="1351">
        <f t="shared" si="32"/>
        <v>0</v>
      </c>
      <c r="AK11" s="1351">
        <f t="shared" si="33"/>
        <v>0</v>
      </c>
      <c r="AL11" s="1351">
        <f t="shared" si="34"/>
        <v>0</v>
      </c>
      <c r="AM11" s="1351">
        <f t="shared" si="35"/>
        <v>0</v>
      </c>
    </row>
    <row r="12" spans="1:39" s="1197" customFormat="1">
      <c r="A12" s="1197">
        <f>INPUTS!$C27</f>
        <v>0</v>
      </c>
      <c r="B12" s="1202">
        <f t="shared" si="0"/>
        <v>0</v>
      </c>
      <c r="C12" s="1202">
        <f t="shared" si="1"/>
        <v>0</v>
      </c>
      <c r="D12" s="1202">
        <f t="shared" si="2"/>
        <v>0</v>
      </c>
      <c r="E12" s="1202">
        <f t="shared" si="3"/>
        <v>0</v>
      </c>
      <c r="F12" s="1202">
        <f t="shared" si="4"/>
        <v>0</v>
      </c>
      <c r="G12" s="1202">
        <f t="shared" si="5"/>
        <v>0</v>
      </c>
      <c r="H12" s="649">
        <f t="shared" si="6"/>
        <v>0</v>
      </c>
      <c r="I12" s="1202">
        <f t="shared" si="7"/>
        <v>0</v>
      </c>
      <c r="J12" s="649">
        <f t="shared" si="8"/>
        <v>0</v>
      </c>
      <c r="K12" s="649">
        <f t="shared" si="9"/>
        <v>0</v>
      </c>
      <c r="L12" s="1202">
        <f t="shared" si="10"/>
        <v>0</v>
      </c>
      <c r="M12" s="1202">
        <f t="shared" si="11"/>
        <v>0</v>
      </c>
      <c r="N12" s="39">
        <f t="shared" si="12"/>
        <v>0</v>
      </c>
      <c r="O12" s="1202">
        <f t="shared" si="13"/>
        <v>0</v>
      </c>
      <c r="P12" s="39">
        <f t="shared" si="14"/>
        <v>0</v>
      </c>
      <c r="Q12" s="39">
        <f t="shared" si="15"/>
        <v>0</v>
      </c>
      <c r="R12" s="1202">
        <f t="shared" si="16"/>
        <v>0</v>
      </c>
      <c r="S12" s="1202">
        <f t="shared" si="17"/>
        <v>0</v>
      </c>
      <c r="T12" s="1340">
        <f>IFERROR(VLOOKUP($A12,INPUTS!$C$17:$F$30,3,FALSE),0)</f>
        <v>0</v>
      </c>
      <c r="U12" s="1340">
        <f>IFERROR(VLOOKUP($A12,INPUTS!$C$17:$F$30,4,FALSE),0)</f>
        <v>0</v>
      </c>
      <c r="V12" s="1202">
        <f t="shared" si="18"/>
        <v>0</v>
      </c>
      <c r="W12" s="1202">
        <f t="shared" si="19"/>
        <v>0</v>
      </c>
      <c r="X12" s="1202">
        <f t="shared" si="20"/>
        <v>0</v>
      </c>
      <c r="Y12" s="1202">
        <f t="shared" si="21"/>
        <v>0</v>
      </c>
      <c r="Z12" s="1202">
        <f t="shared" si="22"/>
        <v>0</v>
      </c>
      <c r="AA12" s="1202">
        <f t="shared" si="23"/>
        <v>0</v>
      </c>
      <c r="AB12" s="1202">
        <f t="shared" si="24"/>
        <v>0</v>
      </c>
      <c r="AC12" s="1202">
        <f t="shared" si="25"/>
        <v>0</v>
      </c>
      <c r="AD12" s="1202">
        <f t="shared" si="26"/>
        <v>0</v>
      </c>
      <c r="AE12" s="1202">
        <f t="shared" si="27"/>
        <v>0</v>
      </c>
      <c r="AF12" s="1202">
        <f t="shared" si="28"/>
        <v>0</v>
      </c>
      <c r="AG12" s="1351">
        <f t="shared" si="29"/>
        <v>0</v>
      </c>
      <c r="AH12" s="1351">
        <f t="shared" si="30"/>
        <v>0</v>
      </c>
      <c r="AI12" s="1351">
        <f t="shared" si="31"/>
        <v>0</v>
      </c>
      <c r="AJ12" s="1351">
        <f t="shared" si="32"/>
        <v>0</v>
      </c>
      <c r="AK12" s="1351">
        <f t="shared" si="33"/>
        <v>0</v>
      </c>
      <c r="AL12" s="1351">
        <f t="shared" si="34"/>
        <v>0</v>
      </c>
      <c r="AM12" s="1351">
        <f t="shared" si="35"/>
        <v>0</v>
      </c>
    </row>
    <row r="13" spans="1:39" s="1197" customFormat="1">
      <c r="A13" s="1197">
        <f>INPUTS!$C28</f>
        <v>0</v>
      </c>
      <c r="B13" s="1202">
        <f t="shared" si="0"/>
        <v>0</v>
      </c>
      <c r="C13" s="1202">
        <f t="shared" si="1"/>
        <v>0</v>
      </c>
      <c r="D13" s="1202">
        <f t="shared" si="2"/>
        <v>0</v>
      </c>
      <c r="E13" s="1202">
        <f t="shared" si="3"/>
        <v>0</v>
      </c>
      <c r="F13" s="1202">
        <f t="shared" si="4"/>
        <v>0</v>
      </c>
      <c r="G13" s="1202">
        <f t="shared" si="5"/>
        <v>0</v>
      </c>
      <c r="H13" s="649">
        <f t="shared" si="6"/>
        <v>0</v>
      </c>
      <c r="I13" s="1202">
        <f t="shared" si="7"/>
        <v>0</v>
      </c>
      <c r="J13" s="649">
        <f t="shared" si="8"/>
        <v>0</v>
      </c>
      <c r="K13" s="649">
        <f t="shared" si="9"/>
        <v>0</v>
      </c>
      <c r="L13" s="1202">
        <f t="shared" si="10"/>
        <v>0</v>
      </c>
      <c r="M13" s="1202">
        <f t="shared" si="11"/>
        <v>0</v>
      </c>
      <c r="N13" s="39">
        <f t="shared" si="12"/>
        <v>0</v>
      </c>
      <c r="O13" s="1202">
        <f t="shared" si="13"/>
        <v>0</v>
      </c>
      <c r="P13" s="39">
        <f t="shared" si="14"/>
        <v>0</v>
      </c>
      <c r="Q13" s="39">
        <f t="shared" si="15"/>
        <v>0</v>
      </c>
      <c r="R13" s="1202">
        <f t="shared" si="16"/>
        <v>0</v>
      </c>
      <c r="S13" s="1202">
        <f t="shared" si="17"/>
        <v>0</v>
      </c>
      <c r="T13" s="1340">
        <f>IFERROR(VLOOKUP($A13,INPUTS!$C$17:$F$30,3,FALSE),0)</f>
        <v>0</v>
      </c>
      <c r="U13" s="1340">
        <f>IFERROR(VLOOKUP($A13,INPUTS!$C$17:$F$30,4,FALSE),0)</f>
        <v>0</v>
      </c>
      <c r="V13" s="1202">
        <f t="shared" si="18"/>
        <v>0</v>
      </c>
      <c r="W13" s="1202">
        <f t="shared" si="19"/>
        <v>0</v>
      </c>
      <c r="X13" s="1202">
        <f t="shared" si="20"/>
        <v>0</v>
      </c>
      <c r="Y13" s="1202">
        <f t="shared" si="21"/>
        <v>0</v>
      </c>
      <c r="Z13" s="1202">
        <f t="shared" si="22"/>
        <v>0</v>
      </c>
      <c r="AA13" s="1202">
        <f t="shared" si="23"/>
        <v>0</v>
      </c>
      <c r="AB13" s="1202">
        <f t="shared" si="24"/>
        <v>0</v>
      </c>
      <c r="AC13" s="1202">
        <f t="shared" si="25"/>
        <v>0</v>
      </c>
      <c r="AD13" s="1202">
        <f t="shared" si="26"/>
        <v>0</v>
      </c>
      <c r="AE13" s="1202">
        <f t="shared" si="27"/>
        <v>0</v>
      </c>
      <c r="AF13" s="1202">
        <f t="shared" si="28"/>
        <v>0</v>
      </c>
      <c r="AG13" s="1351">
        <f t="shared" si="29"/>
        <v>0</v>
      </c>
      <c r="AH13" s="1351">
        <f t="shared" si="30"/>
        <v>0</v>
      </c>
      <c r="AI13" s="1351">
        <f t="shared" si="31"/>
        <v>0</v>
      </c>
      <c r="AJ13" s="1351">
        <f t="shared" si="32"/>
        <v>0</v>
      </c>
      <c r="AK13" s="1351">
        <f t="shared" si="33"/>
        <v>0</v>
      </c>
      <c r="AL13" s="1351">
        <f t="shared" si="34"/>
        <v>0</v>
      </c>
      <c r="AM13" s="1351">
        <f t="shared" si="35"/>
        <v>0</v>
      </c>
    </row>
    <row r="14" spans="1:39" s="1197" customFormat="1">
      <c r="A14" s="1197">
        <f>INPUTS!$C29</f>
        <v>0</v>
      </c>
      <c r="B14" s="1202">
        <f t="shared" si="0"/>
        <v>0</v>
      </c>
      <c r="C14" s="1202">
        <f t="shared" si="1"/>
        <v>0</v>
      </c>
      <c r="D14" s="1202">
        <f t="shared" si="2"/>
        <v>0</v>
      </c>
      <c r="E14" s="1202">
        <f t="shared" si="3"/>
        <v>0</v>
      </c>
      <c r="F14" s="1202">
        <f t="shared" si="4"/>
        <v>0</v>
      </c>
      <c r="G14" s="1202">
        <f t="shared" si="5"/>
        <v>0</v>
      </c>
      <c r="H14" s="649">
        <f t="shared" si="6"/>
        <v>0</v>
      </c>
      <c r="I14" s="1202">
        <f t="shared" si="7"/>
        <v>0</v>
      </c>
      <c r="J14" s="649">
        <f t="shared" si="8"/>
        <v>0</v>
      </c>
      <c r="K14" s="649">
        <f t="shared" si="9"/>
        <v>0</v>
      </c>
      <c r="L14" s="1202">
        <f t="shared" si="10"/>
        <v>0</v>
      </c>
      <c r="M14" s="1202">
        <f t="shared" si="11"/>
        <v>0</v>
      </c>
      <c r="N14" s="39">
        <f t="shared" si="12"/>
        <v>0</v>
      </c>
      <c r="O14" s="1202">
        <f t="shared" si="13"/>
        <v>0</v>
      </c>
      <c r="P14" s="39">
        <f t="shared" si="14"/>
        <v>0</v>
      </c>
      <c r="Q14" s="39">
        <f t="shared" si="15"/>
        <v>0</v>
      </c>
      <c r="R14" s="1202">
        <f t="shared" si="16"/>
        <v>0</v>
      </c>
      <c r="S14" s="1202">
        <f t="shared" si="17"/>
        <v>0</v>
      </c>
      <c r="T14" s="1340">
        <f>IFERROR(VLOOKUP($A14,INPUTS!$C$17:$F$30,3,FALSE),0)</f>
        <v>0</v>
      </c>
      <c r="U14" s="1340">
        <f>IFERROR(VLOOKUP($A14,INPUTS!$C$17:$F$30,4,FALSE),0)</f>
        <v>0</v>
      </c>
      <c r="V14" s="1202">
        <f t="shared" si="18"/>
        <v>0</v>
      </c>
      <c r="W14" s="1202">
        <f t="shared" si="19"/>
        <v>0</v>
      </c>
      <c r="X14" s="1202">
        <f t="shared" si="20"/>
        <v>0</v>
      </c>
      <c r="Y14" s="1202">
        <f t="shared" si="21"/>
        <v>0</v>
      </c>
      <c r="Z14" s="1202">
        <f t="shared" si="22"/>
        <v>0</v>
      </c>
      <c r="AA14" s="1202">
        <f t="shared" si="23"/>
        <v>0</v>
      </c>
      <c r="AB14" s="1202">
        <f t="shared" si="24"/>
        <v>0</v>
      </c>
      <c r="AC14" s="1202">
        <f t="shared" si="25"/>
        <v>0</v>
      </c>
      <c r="AD14" s="1202">
        <f t="shared" si="26"/>
        <v>0</v>
      </c>
      <c r="AE14" s="1202">
        <f t="shared" si="27"/>
        <v>0</v>
      </c>
      <c r="AF14" s="1202">
        <f t="shared" si="28"/>
        <v>0</v>
      </c>
      <c r="AG14" s="1351">
        <f t="shared" si="29"/>
        <v>0</v>
      </c>
      <c r="AH14" s="1351">
        <f t="shared" si="30"/>
        <v>0</v>
      </c>
      <c r="AI14" s="1351">
        <f t="shared" si="31"/>
        <v>0</v>
      </c>
      <c r="AJ14" s="1351">
        <f t="shared" si="32"/>
        <v>0</v>
      </c>
      <c r="AK14" s="1351">
        <f t="shared" si="33"/>
        <v>0</v>
      </c>
      <c r="AL14" s="1351">
        <f t="shared" si="34"/>
        <v>0</v>
      </c>
      <c r="AM14" s="1351">
        <f t="shared" si="35"/>
        <v>0</v>
      </c>
    </row>
    <row r="15" spans="1:39" s="1197" customFormat="1">
      <c r="A15" s="1197">
        <f>INPUTS!$C30</f>
        <v>0</v>
      </c>
      <c r="B15" s="1202">
        <f t="shared" si="0"/>
        <v>0</v>
      </c>
      <c r="C15" s="1202">
        <f t="shared" si="1"/>
        <v>0</v>
      </c>
      <c r="D15" s="1202">
        <f t="shared" si="2"/>
        <v>0</v>
      </c>
      <c r="E15" s="1202">
        <f t="shared" si="3"/>
        <v>0</v>
      </c>
      <c r="F15" s="1202">
        <f t="shared" si="4"/>
        <v>0</v>
      </c>
      <c r="G15" s="1202">
        <f t="shared" si="5"/>
        <v>0</v>
      </c>
      <c r="H15" s="649">
        <f t="shared" si="6"/>
        <v>0</v>
      </c>
      <c r="I15" s="1202">
        <f t="shared" si="7"/>
        <v>0</v>
      </c>
      <c r="J15" s="649">
        <f t="shared" si="8"/>
        <v>0</v>
      </c>
      <c r="K15" s="649">
        <f t="shared" si="9"/>
        <v>0</v>
      </c>
      <c r="L15" s="1202">
        <f t="shared" si="10"/>
        <v>0</v>
      </c>
      <c r="M15" s="1202">
        <f t="shared" si="11"/>
        <v>0</v>
      </c>
      <c r="N15" s="39">
        <f t="shared" si="12"/>
        <v>0</v>
      </c>
      <c r="O15" s="1202">
        <f t="shared" si="13"/>
        <v>0</v>
      </c>
      <c r="P15" s="39">
        <f t="shared" si="14"/>
        <v>0</v>
      </c>
      <c r="Q15" s="39">
        <f t="shared" si="15"/>
        <v>0</v>
      </c>
      <c r="R15" s="1202">
        <f t="shared" si="16"/>
        <v>0</v>
      </c>
      <c r="S15" s="1202">
        <f t="shared" si="17"/>
        <v>0</v>
      </c>
      <c r="T15" s="1340">
        <f>IFERROR(VLOOKUP($A15,INPUTS!$C$17:$F$30,3,FALSE),0)</f>
        <v>0</v>
      </c>
      <c r="U15" s="1340">
        <f>IFERROR(VLOOKUP($A15,INPUTS!$C$17:$F$30,4,FALSE),0)</f>
        <v>0</v>
      </c>
      <c r="V15" s="1202">
        <f t="shared" si="18"/>
        <v>0</v>
      </c>
      <c r="W15" s="1202">
        <f t="shared" si="19"/>
        <v>0</v>
      </c>
      <c r="X15" s="1202">
        <f t="shared" si="20"/>
        <v>0</v>
      </c>
      <c r="Y15" s="1202">
        <f t="shared" si="21"/>
        <v>0</v>
      </c>
      <c r="Z15" s="1202">
        <f t="shared" si="22"/>
        <v>0</v>
      </c>
      <c r="AA15" s="1202">
        <f t="shared" si="23"/>
        <v>0</v>
      </c>
      <c r="AB15" s="1202">
        <f t="shared" si="24"/>
        <v>0</v>
      </c>
      <c r="AC15" s="1202">
        <f t="shared" si="25"/>
        <v>0</v>
      </c>
      <c r="AD15" s="1202">
        <f t="shared" si="26"/>
        <v>0</v>
      </c>
      <c r="AE15" s="1202">
        <f t="shared" si="27"/>
        <v>0</v>
      </c>
      <c r="AF15" s="1202">
        <f t="shared" si="28"/>
        <v>0</v>
      </c>
      <c r="AG15" s="1351">
        <f t="shared" si="29"/>
        <v>0</v>
      </c>
      <c r="AH15" s="1351">
        <f t="shared" si="30"/>
        <v>0</v>
      </c>
      <c r="AI15" s="1351">
        <f t="shared" si="31"/>
        <v>0</v>
      </c>
      <c r="AJ15" s="1351">
        <f t="shared" si="32"/>
        <v>0</v>
      </c>
      <c r="AK15" s="1351">
        <f t="shared" si="33"/>
        <v>0</v>
      </c>
      <c r="AL15" s="1351">
        <f t="shared" si="34"/>
        <v>0</v>
      </c>
      <c r="AM15" s="1351">
        <f t="shared" si="35"/>
        <v>0</v>
      </c>
    </row>
    <row r="16" spans="1:39" s="1195" customFormat="1">
      <c r="G16" s="825"/>
      <c r="H16" s="825"/>
      <c r="I16" s="825"/>
      <c r="J16" s="825"/>
      <c r="K16" s="825"/>
      <c r="L16" s="825"/>
      <c r="M16" s="825"/>
      <c r="N16" s="825"/>
      <c r="O16" s="825"/>
      <c r="P16" s="825"/>
      <c r="AG16" s="1351"/>
      <c r="AL16" s="1351"/>
      <c r="AM16" s="1351"/>
    </row>
    <row r="17" spans="1:55">
      <c r="A17" s="726"/>
      <c r="B17" s="726"/>
      <c r="C17" s="726"/>
      <c r="D17" s="726"/>
      <c r="E17" s="726"/>
      <c r="F17" s="726"/>
      <c r="G17" s="726"/>
      <c r="H17" s="726"/>
      <c r="I17" s="822"/>
      <c r="J17" s="822"/>
      <c r="K17" s="822"/>
      <c r="L17" s="822"/>
      <c r="M17" s="822"/>
      <c r="N17" s="822"/>
      <c r="O17" s="822"/>
      <c r="P17" s="822"/>
      <c r="Q17" s="822"/>
      <c r="R17" s="822"/>
      <c r="S17" s="726"/>
      <c r="T17" s="726"/>
      <c r="U17" s="726"/>
      <c r="V17" s="726"/>
      <c r="W17" s="726"/>
      <c r="X17" s="726"/>
      <c r="Y17" s="726"/>
      <c r="Z17" s="726"/>
      <c r="AA17" s="726"/>
      <c r="AB17" s="726"/>
      <c r="AC17" s="726"/>
      <c r="AD17" s="726"/>
      <c r="AE17" s="726"/>
    </row>
    <row r="18" spans="1:55" s="145" customFormat="1" ht="16.5" thickBot="1">
      <c r="A18" s="11"/>
      <c r="B18" s="11"/>
      <c r="C18" s="11"/>
      <c r="D18" s="11"/>
      <c r="E18" s="11"/>
      <c r="F18" s="11"/>
      <c r="G18" s="11"/>
      <c r="H18" s="11"/>
      <c r="I18" s="823"/>
      <c r="J18" s="823"/>
      <c r="L18" s="823"/>
      <c r="M18" s="823"/>
      <c r="N18" s="823"/>
      <c r="O18" s="823"/>
      <c r="P18" s="823"/>
      <c r="Q18" s="823"/>
      <c r="R18" s="823"/>
      <c r="S18" s="823"/>
      <c r="T18" s="823"/>
      <c r="U18" s="11"/>
      <c r="V18" s="11"/>
      <c r="W18" s="11"/>
      <c r="X18" s="143"/>
      <c r="Y18" s="11"/>
      <c r="Z18" s="143"/>
      <c r="AA18" s="143"/>
      <c r="AB18" s="143"/>
      <c r="AC18" s="143"/>
      <c r="AD18" s="143"/>
      <c r="AE18" s="727"/>
      <c r="AF18" s="727"/>
      <c r="AG18" s="727"/>
      <c r="AH18" s="727"/>
      <c r="AK18" s="228"/>
      <c r="AL18" s="228"/>
      <c r="AM18" s="22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</row>
    <row r="19" spans="1:55" s="154" customFormat="1" ht="105.95" customHeight="1" thickBot="1">
      <c r="A19" s="728" t="s">
        <v>80</v>
      </c>
      <c r="B19" s="729" t="s">
        <v>626</v>
      </c>
      <c r="C19" s="729" t="s">
        <v>1707</v>
      </c>
      <c r="D19" s="729" t="s">
        <v>1751</v>
      </c>
      <c r="E19" s="729" t="s">
        <v>1708</v>
      </c>
      <c r="F19" s="729" t="s">
        <v>1709</v>
      </c>
      <c r="G19" s="729" t="s">
        <v>1575</v>
      </c>
      <c r="H19" s="729" t="s">
        <v>1649</v>
      </c>
      <c r="I19" s="729" t="s">
        <v>1432</v>
      </c>
      <c r="J19" s="729" t="s">
        <v>1576</v>
      </c>
      <c r="K19" s="1169" t="s">
        <v>1760</v>
      </c>
      <c r="L19" s="729" t="s">
        <v>1759</v>
      </c>
      <c r="M19" s="729" t="s">
        <v>1434</v>
      </c>
      <c r="N19" s="729" t="s">
        <v>1651</v>
      </c>
      <c r="O19" s="729" t="s">
        <v>1435</v>
      </c>
      <c r="P19" s="729" t="s">
        <v>1652</v>
      </c>
      <c r="Q19" s="729" t="s">
        <v>1761</v>
      </c>
      <c r="R19" s="729" t="s">
        <v>1762</v>
      </c>
      <c r="S19" s="729" t="s">
        <v>1653</v>
      </c>
      <c r="T19" s="729" t="s">
        <v>1338</v>
      </c>
      <c r="U19" s="730" t="s">
        <v>1337</v>
      </c>
      <c r="V19" s="1142" t="s">
        <v>1845</v>
      </c>
      <c r="W19" s="730" t="s">
        <v>1114</v>
      </c>
      <c r="X19" s="730" t="s">
        <v>1115</v>
      </c>
      <c r="Y19" s="730" t="s">
        <v>1116</v>
      </c>
      <c r="Z19" s="729" t="s">
        <v>1117</v>
      </c>
      <c r="AA19" s="730" t="s">
        <v>1326</v>
      </c>
      <c r="AB19" s="729" t="s">
        <v>1325</v>
      </c>
      <c r="AC19" s="729" t="s">
        <v>1118</v>
      </c>
      <c r="AD19" s="731" t="s">
        <v>1119</v>
      </c>
      <c r="AE19" s="1011"/>
      <c r="AF19" s="982" t="s">
        <v>1563</v>
      </c>
      <c r="AG19" s="1128" t="s">
        <v>1873</v>
      </c>
      <c r="AH19" s="1128" t="s">
        <v>1689</v>
      </c>
      <c r="AI19" s="1011" t="s">
        <v>1846</v>
      </c>
      <c r="AJ19" s="1011" t="s">
        <v>1690</v>
      </c>
      <c r="AK19" s="1011" t="s">
        <v>1688</v>
      </c>
      <c r="AL19" s="1349" t="s">
        <v>1869</v>
      </c>
      <c r="AM19" s="1349" t="s">
        <v>1870</v>
      </c>
      <c r="AO19" s="1290" t="s">
        <v>1804</v>
      </c>
      <c r="AP19" s="1290" t="s">
        <v>1803</v>
      </c>
      <c r="AQ19" s="1290" t="s">
        <v>1802</v>
      </c>
      <c r="AR19" s="1289" t="s">
        <v>1806</v>
      </c>
      <c r="AS19" s="1198"/>
      <c r="AT19" s="1198"/>
      <c r="AU19" s="1198"/>
      <c r="AV19" s="2"/>
      <c r="AW19" s="2"/>
      <c r="AX19" s="2"/>
      <c r="AY19" s="2"/>
      <c r="AZ19" s="2"/>
      <c r="BA19" s="2"/>
      <c r="BB19" s="2"/>
      <c r="BC19" s="2"/>
    </row>
    <row r="20" spans="1:55" s="145" customFormat="1">
      <c r="A20" s="750" t="s">
        <v>1786</v>
      </c>
      <c r="B20" s="1059">
        <v>350</v>
      </c>
      <c r="C20" s="1059"/>
      <c r="D20" s="1059"/>
      <c r="E20" s="1059"/>
      <c r="F20" s="1062"/>
      <c r="G20" s="1291">
        <f>2*INPUTS!L17</f>
        <v>0</v>
      </c>
      <c r="H20" s="1291">
        <f>0.5*B20^0.75</f>
        <v>40.459549017674419</v>
      </c>
      <c r="I20" s="1060">
        <v>2</v>
      </c>
      <c r="J20" s="1060">
        <v>1260</v>
      </c>
      <c r="K20" s="664"/>
      <c r="L20" s="1060">
        <v>5.5</v>
      </c>
      <c r="M20" s="1060"/>
      <c r="N20" s="1297">
        <f>0.001*B20</f>
        <v>0.35000000000000003</v>
      </c>
      <c r="O20" s="1061"/>
      <c r="P20" s="1062">
        <v>9.64</v>
      </c>
      <c r="Q20" s="1062"/>
      <c r="R20" s="1062">
        <v>0.09</v>
      </c>
      <c r="S20" s="1060"/>
      <c r="T20" s="1063"/>
      <c r="U20" s="1063"/>
      <c r="V20" s="1064">
        <f>15/12</f>
        <v>1.25</v>
      </c>
      <c r="W20" s="1065">
        <v>3.2</v>
      </c>
      <c r="X20" s="1065">
        <v>5.8</v>
      </c>
      <c r="Y20" s="1066">
        <v>970</v>
      </c>
      <c r="Z20" s="1066">
        <v>2200</v>
      </c>
      <c r="AA20" s="1066">
        <v>26</v>
      </c>
      <c r="AB20" s="1066"/>
      <c r="AC20" s="1067"/>
      <c r="AD20" s="945">
        <v>2.9000000000000001E-2</v>
      </c>
      <c r="AE20" s="1068"/>
      <c r="AF20" s="1133" t="s">
        <v>1564</v>
      </c>
      <c r="AG20" s="1364" t="s">
        <v>1875</v>
      </c>
      <c r="AH20" s="1134">
        <v>600</v>
      </c>
      <c r="AI20" s="1134">
        <v>40</v>
      </c>
      <c r="AJ20" s="1134"/>
      <c r="AK20" s="1134">
        <v>4</v>
      </c>
      <c r="AL20" s="1356">
        <f>Economics_Parameters!$C$7</f>
        <v>3</v>
      </c>
      <c r="AM20" s="1357">
        <f>Economics_Parameters!$C$11</f>
        <v>0.35</v>
      </c>
      <c r="AO20" s="1303" t="s">
        <v>90</v>
      </c>
      <c r="AP20" s="1303" t="s">
        <v>75</v>
      </c>
      <c r="AQ20" s="1303" t="s">
        <v>60</v>
      </c>
      <c r="AR20" s="1304" t="s">
        <v>75</v>
      </c>
    </row>
    <row r="21" spans="1:55" s="145" customFormat="1">
      <c r="A21" s="750" t="s">
        <v>1787</v>
      </c>
      <c r="B21" s="1059">
        <v>381</v>
      </c>
      <c r="C21" s="1059"/>
      <c r="D21" s="1059"/>
      <c r="E21" s="1059"/>
      <c r="F21" s="1062"/>
      <c r="G21" s="1291">
        <f>2*INPUTS!L18</f>
        <v>0</v>
      </c>
      <c r="H21" s="1291">
        <f>0.5*B21^0.75</f>
        <v>43.118509116603107</v>
      </c>
      <c r="I21" s="1060">
        <v>0</v>
      </c>
      <c r="J21" s="1060">
        <v>1500</v>
      </c>
      <c r="K21" s="664"/>
      <c r="L21" s="1060">
        <v>5.5</v>
      </c>
      <c r="M21" s="1060"/>
      <c r="N21" s="1297">
        <f>0.001*B21</f>
        <v>0.38100000000000001</v>
      </c>
      <c r="O21" s="1061"/>
      <c r="P21" s="1062">
        <v>12.21</v>
      </c>
      <c r="Q21" s="1062"/>
      <c r="R21" s="1062">
        <v>0.09</v>
      </c>
      <c r="S21" s="1060"/>
      <c r="T21" s="1063"/>
      <c r="U21" s="1063"/>
      <c r="V21" s="1205">
        <v>1.2</v>
      </c>
      <c r="W21" s="1065">
        <v>3.7</v>
      </c>
      <c r="X21" s="1065">
        <v>4.3</v>
      </c>
      <c r="Y21" s="1066">
        <v>970</v>
      </c>
      <c r="Z21" s="1066">
        <v>2200</v>
      </c>
      <c r="AA21" s="1066">
        <v>26</v>
      </c>
      <c r="AB21" s="1066"/>
      <c r="AC21" s="1067"/>
      <c r="AD21" s="945">
        <v>2.9000000000000001E-2</v>
      </c>
      <c r="AE21" s="1068"/>
      <c r="AF21" s="1129" t="s">
        <v>1564</v>
      </c>
      <c r="AG21" s="983" t="s">
        <v>1875</v>
      </c>
      <c r="AH21" s="1130">
        <v>900</v>
      </c>
      <c r="AI21" s="1130">
        <v>45</v>
      </c>
      <c r="AJ21" s="1130"/>
      <c r="AK21" s="1130">
        <v>8</v>
      </c>
      <c r="AL21" s="1358">
        <f>Economics_Parameters!$C$7</f>
        <v>3</v>
      </c>
      <c r="AM21" s="1359">
        <f>Economics_Parameters!$C$11</f>
        <v>0.35</v>
      </c>
      <c r="AO21" s="1303" t="s">
        <v>75</v>
      </c>
      <c r="AP21" s="1303" t="s">
        <v>75</v>
      </c>
      <c r="AQ21" s="1303" t="s">
        <v>60</v>
      </c>
      <c r="AR21" s="1304" t="s">
        <v>75</v>
      </c>
    </row>
    <row r="22" spans="1:55" s="145" customFormat="1">
      <c r="A22" s="750" t="s">
        <v>1807</v>
      </c>
      <c r="B22" s="1059">
        <v>600</v>
      </c>
      <c r="C22" s="1059"/>
      <c r="D22" s="1059"/>
      <c r="E22" s="1059"/>
      <c r="F22" s="1062"/>
      <c r="G22" s="1291">
        <v>2</v>
      </c>
      <c r="H22" s="1291">
        <f>0.5*B22^0.75</f>
        <v>60.615465140298674</v>
      </c>
      <c r="I22" s="1060">
        <v>2</v>
      </c>
      <c r="J22" s="1060">
        <v>2000</v>
      </c>
      <c r="K22" s="664"/>
      <c r="L22" s="1060">
        <v>5.5</v>
      </c>
      <c r="M22" s="1060"/>
      <c r="N22" s="1297">
        <f>0.001*B22</f>
        <v>0.6</v>
      </c>
      <c r="O22" s="1061"/>
      <c r="P22" s="1062">
        <v>15</v>
      </c>
      <c r="Q22" s="1062"/>
      <c r="R22" s="1062">
        <v>0.09</v>
      </c>
      <c r="S22" s="1060"/>
      <c r="T22" s="1063"/>
      <c r="U22" s="1063"/>
      <c r="V22" s="1067"/>
      <c r="W22" s="1065">
        <v>3.7</v>
      </c>
      <c r="X22" s="1065">
        <v>4</v>
      </c>
      <c r="Y22" s="1066">
        <v>970</v>
      </c>
      <c r="Z22" s="1066">
        <v>2200</v>
      </c>
      <c r="AA22" s="1066">
        <v>26</v>
      </c>
      <c r="AB22" s="1066"/>
      <c r="AC22" s="1067"/>
      <c r="AD22" s="945">
        <v>2.9000000000000001E-2</v>
      </c>
      <c r="AE22" s="1068"/>
      <c r="AF22" s="1129" t="s">
        <v>1564</v>
      </c>
      <c r="AG22" s="983" t="s">
        <v>1875</v>
      </c>
      <c r="AH22" s="1130">
        <v>1500</v>
      </c>
      <c r="AI22" s="1130">
        <v>60</v>
      </c>
      <c r="AJ22" s="1130"/>
      <c r="AK22" s="1130">
        <v>8</v>
      </c>
      <c r="AL22" s="1358">
        <f>Economics_Parameters!$C$7</f>
        <v>3</v>
      </c>
      <c r="AM22" s="1359">
        <f>Economics_Parameters!$C$11</f>
        <v>0.35</v>
      </c>
      <c r="AO22" s="1303" t="s">
        <v>75</v>
      </c>
      <c r="AP22" s="1303" t="s">
        <v>75</v>
      </c>
      <c r="AQ22" s="1303" t="s">
        <v>60</v>
      </c>
      <c r="AR22" s="1304" t="s">
        <v>75</v>
      </c>
    </row>
    <row r="23" spans="1:55" s="145" customFormat="1">
      <c r="A23" s="750" t="s">
        <v>1061</v>
      </c>
      <c r="B23" s="1069">
        <v>400</v>
      </c>
      <c r="C23" s="1069"/>
      <c r="D23" s="1069"/>
      <c r="E23" s="1069"/>
      <c r="F23" s="1143"/>
      <c r="G23" s="1291">
        <f>2*INPUTS!L19</f>
        <v>0</v>
      </c>
      <c r="H23" s="1291">
        <f t="shared" ref="H23:H30" si="36">0.5*B23^0.75</f>
        <v>44.721359549995796</v>
      </c>
      <c r="I23" s="1060">
        <v>2</v>
      </c>
      <c r="J23" s="1060"/>
      <c r="K23" s="1069"/>
      <c r="L23" s="1069"/>
      <c r="M23" s="1069"/>
      <c r="N23" s="1297">
        <f t="shared" ref="N23:N30" si="37">0.001*B23</f>
        <v>0.4</v>
      </c>
      <c r="O23" s="1070"/>
      <c r="P23" s="1069"/>
      <c r="Q23" s="1069"/>
      <c r="R23" s="1069"/>
      <c r="S23" s="1069"/>
      <c r="T23" s="1063"/>
      <c r="U23" s="1063"/>
      <c r="V23" s="1067"/>
      <c r="W23" s="1067"/>
      <c r="X23" s="1067"/>
      <c r="Y23" s="1067"/>
      <c r="Z23" s="1066">
        <v>2200</v>
      </c>
      <c r="AA23" s="1066">
        <v>26</v>
      </c>
      <c r="AB23" s="1066"/>
      <c r="AC23" s="1067"/>
      <c r="AD23" s="945">
        <v>2.9000000000000001E-2</v>
      </c>
      <c r="AE23" s="1068"/>
      <c r="AF23" s="1129" t="s">
        <v>1564</v>
      </c>
      <c r="AG23" s="983" t="s">
        <v>1875</v>
      </c>
      <c r="AH23" s="1130">
        <v>1500</v>
      </c>
      <c r="AI23" s="1130">
        <v>40</v>
      </c>
      <c r="AJ23" s="1130"/>
      <c r="AK23" s="1130">
        <v>2</v>
      </c>
      <c r="AL23" s="1358">
        <f>Economics_Parameters!$C$7</f>
        <v>3</v>
      </c>
      <c r="AM23" s="1359">
        <f>Economics_Parameters!$C$11</f>
        <v>0.35</v>
      </c>
      <c r="AO23" s="1303" t="s">
        <v>92</v>
      </c>
      <c r="AP23" s="1303" t="s">
        <v>1798</v>
      </c>
      <c r="AQ23" s="1303" t="s">
        <v>59</v>
      </c>
      <c r="AR23" s="1304" t="s">
        <v>103</v>
      </c>
    </row>
    <row r="24" spans="1:55" s="145" customFormat="1">
      <c r="A24" s="750" t="s">
        <v>1012</v>
      </c>
      <c r="B24" s="1069">
        <v>290</v>
      </c>
      <c r="C24" s="1069"/>
      <c r="D24" s="1069"/>
      <c r="E24" s="1069"/>
      <c r="F24" s="1143"/>
      <c r="G24" s="1292">
        <f>2*INPUTS!L20</f>
        <v>0</v>
      </c>
      <c r="H24" s="1291">
        <f t="shared" si="36"/>
        <v>35.137309395138168</v>
      </c>
      <c r="I24" s="1071">
        <v>1.5</v>
      </c>
      <c r="J24" s="1071"/>
      <c r="K24" s="1069"/>
      <c r="L24" s="1069"/>
      <c r="M24" s="1069">
        <v>50</v>
      </c>
      <c r="N24" s="1297">
        <f t="shared" si="37"/>
        <v>0.28999999999999998</v>
      </c>
      <c r="O24" s="1070"/>
      <c r="P24" s="1069"/>
      <c r="Q24" s="1069"/>
      <c r="R24" s="1069"/>
      <c r="S24" s="1071">
        <v>0.4</v>
      </c>
      <c r="T24" s="1063"/>
      <c r="U24" s="1063"/>
      <c r="V24" s="1067"/>
      <c r="W24" s="1067"/>
      <c r="X24" s="1067"/>
      <c r="Y24" s="1067"/>
      <c r="Z24" s="1066">
        <v>2200</v>
      </c>
      <c r="AA24" s="1066">
        <v>26</v>
      </c>
      <c r="AB24" s="1066">
        <v>0.5</v>
      </c>
      <c r="AC24" s="1067"/>
      <c r="AD24" s="945">
        <v>2.9000000000000001E-2</v>
      </c>
      <c r="AE24" s="1068"/>
      <c r="AF24" s="1129" t="s">
        <v>1564</v>
      </c>
      <c r="AG24" s="983" t="s">
        <v>1875</v>
      </c>
      <c r="AH24" s="1130">
        <v>200</v>
      </c>
      <c r="AI24" s="1130">
        <v>40</v>
      </c>
      <c r="AJ24" s="1130"/>
      <c r="AK24" s="1130">
        <v>2</v>
      </c>
      <c r="AL24" s="1358">
        <f>Economics_Parameters!$C$7</f>
        <v>3</v>
      </c>
      <c r="AM24" s="1359">
        <f>Economics_Parameters!$C$11</f>
        <v>0.35</v>
      </c>
      <c r="AO24" s="1303" t="s">
        <v>93</v>
      </c>
      <c r="AP24" s="1303" t="s">
        <v>1798</v>
      </c>
      <c r="AQ24" s="1303" t="s">
        <v>59</v>
      </c>
      <c r="AR24" s="1304" t="s">
        <v>103</v>
      </c>
    </row>
    <row r="25" spans="1:55" s="145" customFormat="1">
      <c r="A25" s="750" t="s">
        <v>1843</v>
      </c>
      <c r="B25" s="1069">
        <v>290</v>
      </c>
      <c r="C25" s="1069"/>
      <c r="D25" s="1069"/>
      <c r="E25" s="1069"/>
      <c r="F25" s="1143"/>
      <c r="G25" s="1292">
        <v>0</v>
      </c>
      <c r="H25" s="1291">
        <f t="shared" si="36"/>
        <v>35.137309395138168</v>
      </c>
      <c r="I25" s="1071">
        <v>0</v>
      </c>
      <c r="J25" s="1071"/>
      <c r="K25" s="1069"/>
      <c r="L25" s="1069"/>
      <c r="M25" s="1069">
        <v>50</v>
      </c>
      <c r="N25" s="1297">
        <f t="shared" si="37"/>
        <v>0.28999999999999998</v>
      </c>
      <c r="O25" s="1070"/>
      <c r="P25" s="1069"/>
      <c r="Q25" s="1069"/>
      <c r="R25" s="1069"/>
      <c r="S25" s="1071">
        <v>0.4</v>
      </c>
      <c r="T25" s="1063"/>
      <c r="U25" s="1063"/>
      <c r="V25" s="1067"/>
      <c r="W25" s="1067"/>
      <c r="X25" s="1067"/>
      <c r="Y25" s="1067"/>
      <c r="Z25" s="1066">
        <v>2200</v>
      </c>
      <c r="AA25" s="1066">
        <v>26</v>
      </c>
      <c r="AB25" s="1066">
        <v>0.57999999999999996</v>
      </c>
      <c r="AC25" s="1067"/>
      <c r="AD25" s="945">
        <v>2.9000000000000001E-2</v>
      </c>
      <c r="AE25" s="1068"/>
      <c r="AF25" s="1129" t="s">
        <v>1564</v>
      </c>
      <c r="AG25" s="983" t="s">
        <v>1875</v>
      </c>
      <c r="AH25" s="1130">
        <v>250</v>
      </c>
      <c r="AI25" s="1130">
        <v>50</v>
      </c>
      <c r="AJ25" s="1130"/>
      <c r="AK25" s="1130">
        <v>2</v>
      </c>
      <c r="AL25" s="1358">
        <f>Economics_Parameters!$C$7</f>
        <v>3</v>
      </c>
      <c r="AM25" s="1359">
        <f>Economics_Parameters!$C$11</f>
        <v>0.35</v>
      </c>
      <c r="AO25" s="1303" t="s">
        <v>93</v>
      </c>
      <c r="AP25" s="1303" t="s">
        <v>1798</v>
      </c>
      <c r="AQ25" s="1303" t="s">
        <v>59</v>
      </c>
      <c r="AR25" s="1304" t="s">
        <v>103</v>
      </c>
    </row>
    <row r="26" spans="1:55" s="145" customFormat="1">
      <c r="A26" s="750" t="s">
        <v>627</v>
      </c>
      <c r="B26" s="1069">
        <v>70</v>
      </c>
      <c r="C26" s="1069"/>
      <c r="D26" s="1069"/>
      <c r="E26" s="1069"/>
      <c r="F26" s="1143"/>
      <c r="G26" s="1291">
        <f>2*INPUTS!L21</f>
        <v>0</v>
      </c>
      <c r="H26" s="1291">
        <f t="shared" si="36"/>
        <v>12.100227462467942</v>
      </c>
      <c r="I26" s="1071">
        <v>1</v>
      </c>
      <c r="J26" s="1071"/>
      <c r="K26" s="1069"/>
      <c r="L26" s="1069"/>
      <c r="M26" s="1069">
        <v>50</v>
      </c>
      <c r="N26" s="1297">
        <f t="shared" si="37"/>
        <v>7.0000000000000007E-2</v>
      </c>
      <c r="O26" s="1070"/>
      <c r="P26" s="1069"/>
      <c r="Q26" s="1069"/>
      <c r="R26" s="1069"/>
      <c r="S26" s="1071">
        <v>0.4</v>
      </c>
      <c r="T26" s="1063"/>
      <c r="U26" s="1063"/>
      <c r="V26" s="1067"/>
      <c r="W26" s="1067"/>
      <c r="X26" s="1067"/>
      <c r="Y26" s="1067"/>
      <c r="Z26" s="1066">
        <v>2200</v>
      </c>
      <c r="AA26" s="1066">
        <v>26</v>
      </c>
      <c r="AB26" s="1066">
        <v>0.5</v>
      </c>
      <c r="AC26" s="1067"/>
      <c r="AD26" s="945">
        <v>2.9000000000000001E-2</v>
      </c>
      <c r="AE26" s="1068"/>
      <c r="AF26" s="1129" t="s">
        <v>1564</v>
      </c>
      <c r="AG26" s="983" t="s">
        <v>1875</v>
      </c>
      <c r="AH26" s="1130">
        <v>100</v>
      </c>
      <c r="AI26" s="1130">
        <v>30</v>
      </c>
      <c r="AJ26" s="1130"/>
      <c r="AK26" s="1130">
        <v>2</v>
      </c>
      <c r="AL26" s="1358">
        <f>Economics_Parameters!$C$7</f>
        <v>3</v>
      </c>
      <c r="AM26" s="1359">
        <f>Economics_Parameters!$C$11</f>
        <v>0.35</v>
      </c>
      <c r="AO26" s="1303" t="s">
        <v>94</v>
      </c>
      <c r="AP26" s="1303" t="s">
        <v>1798</v>
      </c>
      <c r="AQ26" s="1303" t="s">
        <v>59</v>
      </c>
      <c r="AR26" s="1304" t="s">
        <v>103</v>
      </c>
    </row>
    <row r="27" spans="1:55" s="145" customFormat="1">
      <c r="A27" s="750" t="s">
        <v>1844</v>
      </c>
      <c r="B27" s="1069">
        <v>110</v>
      </c>
      <c r="C27" s="1069"/>
      <c r="D27" s="1069"/>
      <c r="E27" s="1069"/>
      <c r="F27" s="1143"/>
      <c r="G27" s="1291">
        <v>2</v>
      </c>
      <c r="H27" s="1291">
        <f t="shared" si="36"/>
        <v>16.983004246798973</v>
      </c>
      <c r="I27" s="1071">
        <v>1</v>
      </c>
      <c r="J27" s="1071"/>
      <c r="K27" s="1069"/>
      <c r="L27" s="1069"/>
      <c r="M27" s="1069">
        <v>50</v>
      </c>
      <c r="N27" s="1297">
        <f t="shared" si="37"/>
        <v>0.11</v>
      </c>
      <c r="O27" s="1070"/>
      <c r="P27" s="1069"/>
      <c r="Q27" s="1069"/>
      <c r="R27" s="1069"/>
      <c r="S27" s="1071">
        <v>0.4</v>
      </c>
      <c r="T27" s="1063"/>
      <c r="U27" s="1063"/>
      <c r="V27" s="1067"/>
      <c r="W27" s="1067"/>
      <c r="X27" s="1067"/>
      <c r="Y27" s="1067"/>
      <c r="Z27" s="1066">
        <v>2200</v>
      </c>
      <c r="AA27" s="1066">
        <v>26</v>
      </c>
      <c r="AB27" s="1066">
        <v>0.57999999999999996</v>
      </c>
      <c r="AC27" s="1067"/>
      <c r="AD27" s="945">
        <v>2.9000000000000001E-2</v>
      </c>
      <c r="AE27" s="1068"/>
      <c r="AF27" s="1129" t="s">
        <v>1564</v>
      </c>
      <c r="AG27" s="983" t="s">
        <v>1875</v>
      </c>
      <c r="AH27" s="1130">
        <v>125</v>
      </c>
      <c r="AI27" s="1130">
        <v>40</v>
      </c>
      <c r="AJ27" s="1130"/>
      <c r="AK27" s="1130">
        <v>2</v>
      </c>
      <c r="AL27" s="1358">
        <f>Economics_Parameters!$C$7</f>
        <v>3</v>
      </c>
      <c r="AM27" s="1359">
        <f>Economics_Parameters!$C$11</f>
        <v>0.35</v>
      </c>
      <c r="AO27" s="1303" t="s">
        <v>94</v>
      </c>
      <c r="AP27" s="1303" t="s">
        <v>1798</v>
      </c>
      <c r="AQ27" s="1303" t="s">
        <v>59</v>
      </c>
      <c r="AR27" s="1304" t="s">
        <v>103</v>
      </c>
    </row>
    <row r="28" spans="1:55" s="145" customFormat="1">
      <c r="A28" s="750" t="s">
        <v>1788</v>
      </c>
      <c r="B28" s="1069">
        <v>450</v>
      </c>
      <c r="C28" s="1069"/>
      <c r="D28" s="1069"/>
      <c r="E28" s="1069"/>
      <c r="F28" s="1143"/>
      <c r="G28" s="1292">
        <f>2*INPUTS!L22</f>
        <v>0</v>
      </c>
      <c r="H28" s="1291">
        <f t="shared" ref="H28" si="38">0.5*B28^0.75</f>
        <v>48.851667182447308</v>
      </c>
      <c r="I28" s="1060">
        <v>2</v>
      </c>
      <c r="J28" s="1060">
        <v>1260</v>
      </c>
      <c r="K28" s="664"/>
      <c r="L28" s="1060">
        <v>5.5</v>
      </c>
      <c r="M28" s="1060"/>
      <c r="N28" s="1297">
        <f t="shared" ref="N28" si="39">0.001*B28</f>
        <v>0.45</v>
      </c>
      <c r="O28" s="1061"/>
      <c r="P28" s="1062">
        <v>9.64</v>
      </c>
      <c r="Q28" s="1062"/>
      <c r="R28" s="1062">
        <v>0.09</v>
      </c>
      <c r="S28" s="1060"/>
      <c r="T28" s="1063"/>
      <c r="U28" s="1063"/>
      <c r="V28" s="1064">
        <v>1.2</v>
      </c>
      <c r="W28" s="1065">
        <v>3.7</v>
      </c>
      <c r="X28" s="1065">
        <v>4.3</v>
      </c>
      <c r="Y28" s="1067">
        <v>970</v>
      </c>
      <c r="Z28" s="1066">
        <v>2200</v>
      </c>
      <c r="AA28" s="1066">
        <v>26</v>
      </c>
      <c r="AB28" s="1066"/>
      <c r="AC28" s="1067"/>
      <c r="AD28" s="945">
        <v>2.9000000000000001E-2</v>
      </c>
      <c r="AE28" s="1068"/>
      <c r="AF28" s="1129" t="s">
        <v>1876</v>
      </c>
      <c r="AG28" s="983" t="s">
        <v>1877</v>
      </c>
      <c r="AH28" s="1130">
        <v>1500</v>
      </c>
      <c r="AI28" s="1130">
        <v>20</v>
      </c>
      <c r="AJ28" s="1130"/>
      <c r="AK28" s="1130">
        <v>8</v>
      </c>
      <c r="AL28" s="1358">
        <f>Economics_Parameters!$C$8</f>
        <v>0</v>
      </c>
      <c r="AM28" s="1359">
        <f>Economics_Parameters!$C$12</f>
        <v>0</v>
      </c>
      <c r="AO28" s="1303" t="s">
        <v>92</v>
      </c>
      <c r="AP28" s="1303" t="s">
        <v>1800</v>
      </c>
      <c r="AQ28" s="1303" t="s">
        <v>1790</v>
      </c>
      <c r="AR28" s="1304" t="s">
        <v>103</v>
      </c>
    </row>
    <row r="29" spans="1:55" s="145" customFormat="1">
      <c r="A29" s="750" t="s">
        <v>1740</v>
      </c>
      <c r="B29" s="1069">
        <v>270</v>
      </c>
      <c r="C29" s="1069"/>
      <c r="D29" s="1069"/>
      <c r="E29" s="1069"/>
      <c r="F29" s="1143"/>
      <c r="G29" s="1292">
        <f>2*INPUTS!L22</f>
        <v>0</v>
      </c>
      <c r="H29" s="1291">
        <f t="shared" si="36"/>
        <v>33.303726202152838</v>
      </c>
      <c r="I29" s="1071">
        <v>1.5</v>
      </c>
      <c r="J29" s="1071"/>
      <c r="K29" s="1069"/>
      <c r="L29" s="1069"/>
      <c r="M29" s="1069">
        <v>50</v>
      </c>
      <c r="N29" s="1297">
        <f t="shared" si="37"/>
        <v>0.27</v>
      </c>
      <c r="O29" s="1070"/>
      <c r="P29" s="1069"/>
      <c r="Q29" s="1069"/>
      <c r="R29" s="1069"/>
      <c r="S29" s="1071">
        <v>0.4</v>
      </c>
      <c r="T29" s="1063"/>
      <c r="U29" s="1063"/>
      <c r="V29" s="1067"/>
      <c r="W29" s="1067"/>
      <c r="X29" s="1067"/>
      <c r="Y29" s="1067"/>
      <c r="Z29" s="1066">
        <v>2200</v>
      </c>
      <c r="AA29" s="1066">
        <v>26</v>
      </c>
      <c r="AB29" s="1066">
        <v>0.57999999999999996</v>
      </c>
      <c r="AC29" s="1067"/>
      <c r="AD29" s="945">
        <v>2.9000000000000001E-2</v>
      </c>
      <c r="AE29" s="1068"/>
      <c r="AF29" s="1129" t="s">
        <v>1876</v>
      </c>
      <c r="AG29" s="983" t="s">
        <v>1877</v>
      </c>
      <c r="AH29" s="1130">
        <v>1000</v>
      </c>
      <c r="AI29" s="1130">
        <v>10</v>
      </c>
      <c r="AJ29" s="1130"/>
      <c r="AK29" s="1130">
        <v>2</v>
      </c>
      <c r="AL29" s="1358">
        <f>Economics_Parameters!$C$8</f>
        <v>0</v>
      </c>
      <c r="AM29" s="1359">
        <f>Economics_Parameters!$C$12</f>
        <v>0</v>
      </c>
      <c r="AO29" s="1303" t="s">
        <v>94</v>
      </c>
      <c r="AP29" s="1303" t="s">
        <v>1800</v>
      </c>
      <c r="AQ29" s="1303" t="s">
        <v>1790</v>
      </c>
      <c r="AR29" s="1304" t="s">
        <v>103</v>
      </c>
    </row>
    <row r="30" spans="1:55" s="145" customFormat="1">
      <c r="A30" s="750" t="s">
        <v>1741</v>
      </c>
      <c r="B30" s="1069">
        <v>110</v>
      </c>
      <c r="C30" s="1069"/>
      <c r="D30" s="1069"/>
      <c r="E30" s="1069"/>
      <c r="F30" s="1143"/>
      <c r="G30" s="1291">
        <f>2*INPUTS!L23</f>
        <v>0</v>
      </c>
      <c r="H30" s="1291">
        <f t="shared" si="36"/>
        <v>16.983004246798973</v>
      </c>
      <c r="I30" s="1071"/>
      <c r="J30" s="1071"/>
      <c r="K30" s="1069"/>
      <c r="L30" s="1069"/>
      <c r="M30" s="1069">
        <v>50</v>
      </c>
      <c r="N30" s="1297">
        <f t="shared" si="37"/>
        <v>0.11</v>
      </c>
      <c r="O30" s="1070"/>
      <c r="P30" s="1069"/>
      <c r="Q30" s="1069"/>
      <c r="R30" s="1069"/>
      <c r="S30" s="1071">
        <v>0.4</v>
      </c>
      <c r="T30" s="1063"/>
      <c r="U30" s="1063"/>
      <c r="V30" s="1067"/>
      <c r="W30" s="1067"/>
      <c r="X30" s="1067"/>
      <c r="Y30" s="1067"/>
      <c r="Z30" s="1066">
        <v>2200</v>
      </c>
      <c r="AA30" s="1066">
        <v>26</v>
      </c>
      <c r="AB30" s="1066">
        <v>0.57999999999999996</v>
      </c>
      <c r="AC30" s="1067"/>
      <c r="AD30" s="945">
        <v>2.9000000000000001E-2</v>
      </c>
      <c r="AE30" s="1068"/>
      <c r="AF30" s="1129" t="s">
        <v>1876</v>
      </c>
      <c r="AG30" s="983" t="s">
        <v>1877</v>
      </c>
      <c r="AH30" s="1130">
        <v>400</v>
      </c>
      <c r="AI30" s="1130">
        <v>10</v>
      </c>
      <c r="AJ30" s="1130"/>
      <c r="AK30" s="1130">
        <v>2</v>
      </c>
      <c r="AL30" s="1358">
        <f>Economics_Parameters!$C$8</f>
        <v>0</v>
      </c>
      <c r="AM30" s="1359">
        <f>Economics_Parameters!$C$12</f>
        <v>0</v>
      </c>
      <c r="AO30" s="1303" t="s">
        <v>94</v>
      </c>
      <c r="AP30" s="1303" t="s">
        <v>1800</v>
      </c>
      <c r="AQ30" s="1303" t="s">
        <v>1790</v>
      </c>
      <c r="AR30" s="1304" t="s">
        <v>103</v>
      </c>
    </row>
    <row r="31" spans="1:55" s="145" customFormat="1">
      <c r="A31" s="750" t="s">
        <v>1743</v>
      </c>
      <c r="B31" s="1072">
        <v>30</v>
      </c>
      <c r="C31" s="1072"/>
      <c r="D31" s="1072">
        <v>60</v>
      </c>
      <c r="E31" s="1072"/>
      <c r="F31" s="1144"/>
      <c r="G31" s="1293">
        <f>2*INPUTS!L24</f>
        <v>0</v>
      </c>
      <c r="H31" s="1291">
        <f>0.44*B31^0.75</f>
        <v>5.6401884844302899</v>
      </c>
      <c r="I31" s="1073"/>
      <c r="J31" s="1295">
        <f>H31*0.25*50+H31*0.35*65+H31*0.55*45</f>
        <v>338.41130906581742</v>
      </c>
      <c r="K31" s="1295">
        <f>H31*2.5*D31</f>
        <v>846.02827266454346</v>
      </c>
      <c r="L31" s="1073">
        <v>5.5</v>
      </c>
      <c r="M31" s="1074"/>
      <c r="N31" s="1298">
        <f>0.002*B31</f>
        <v>0.06</v>
      </c>
      <c r="O31" s="1075"/>
      <c r="P31" s="1301">
        <f>N31*0.3*50+N31*0.5*65+N31*0.7*45</f>
        <v>4.7399999999999993</v>
      </c>
      <c r="Q31" s="1295">
        <f>N31*2*D31</f>
        <v>7.1999999999999993</v>
      </c>
      <c r="R31" s="1144">
        <v>0.09</v>
      </c>
      <c r="S31" s="1074"/>
      <c r="T31" s="1063"/>
      <c r="U31" s="1063"/>
      <c r="V31" s="1067">
        <v>0.7</v>
      </c>
      <c r="W31" s="1065">
        <v>3.2</v>
      </c>
      <c r="X31" s="1065">
        <v>5.8</v>
      </c>
      <c r="Y31" s="1066">
        <v>970</v>
      </c>
      <c r="Z31" s="1066">
        <v>2200</v>
      </c>
      <c r="AA31" s="1066">
        <v>25</v>
      </c>
      <c r="AB31" s="1066"/>
      <c r="AC31" s="1067"/>
      <c r="AD31" s="945">
        <v>2.7E-2</v>
      </c>
      <c r="AE31" s="1068"/>
      <c r="AF31" s="1129" t="s">
        <v>1874</v>
      </c>
      <c r="AG31" s="983" t="s">
        <v>1878</v>
      </c>
      <c r="AH31" s="1130"/>
      <c r="AI31" s="1130"/>
      <c r="AJ31" s="1130"/>
      <c r="AK31" s="1130"/>
      <c r="AL31" s="1358">
        <f>Economics_Parameters!$C$9</f>
        <v>0</v>
      </c>
      <c r="AM31" s="1359">
        <f>Economics_Parameters!$C$13</f>
        <v>0</v>
      </c>
      <c r="AO31" s="1303" t="s">
        <v>48</v>
      </c>
      <c r="AP31" s="1303" t="s">
        <v>629</v>
      </c>
      <c r="AQ31" s="1303" t="s">
        <v>49</v>
      </c>
      <c r="AR31" s="1304" t="s">
        <v>629</v>
      </c>
    </row>
    <row r="32" spans="1:55" s="145" customFormat="1" ht="13.5" customHeight="1">
      <c r="A32" s="750" t="s">
        <v>1745</v>
      </c>
      <c r="B32" s="1072">
        <v>30</v>
      </c>
      <c r="C32" s="1072"/>
      <c r="D32" s="1072"/>
      <c r="E32" s="1072"/>
      <c r="F32" s="1144"/>
      <c r="G32" s="1293"/>
      <c r="H32" s="1291">
        <f t="shared" ref="H32:H34" si="40">0.44*B32^0.75</f>
        <v>5.6401884844302899</v>
      </c>
      <c r="I32" s="1073"/>
      <c r="J32" s="1073"/>
      <c r="K32" s="1074"/>
      <c r="L32" s="1074"/>
      <c r="M32" s="1072">
        <v>46</v>
      </c>
      <c r="N32" s="1298">
        <f t="shared" ref="N32:N34" si="41">0.002*B32</f>
        <v>0.06</v>
      </c>
      <c r="O32" s="1075"/>
      <c r="P32" s="1074"/>
      <c r="Q32" s="1074"/>
      <c r="R32" s="1074"/>
      <c r="S32" s="1144">
        <v>0.45</v>
      </c>
      <c r="T32" s="1063"/>
      <c r="U32" s="1063"/>
      <c r="V32" s="1067"/>
      <c r="W32" s="1065"/>
      <c r="X32" s="1065"/>
      <c r="Y32" s="1066"/>
      <c r="Z32" s="1066"/>
      <c r="AA32" s="1066"/>
      <c r="AB32" s="1066"/>
      <c r="AC32" s="1067"/>
      <c r="AD32" s="945"/>
      <c r="AE32" s="1068"/>
      <c r="AF32" s="1129" t="s">
        <v>1874</v>
      </c>
      <c r="AG32" s="983" t="s">
        <v>1878</v>
      </c>
      <c r="AH32" s="1130"/>
      <c r="AI32" s="1130"/>
      <c r="AJ32" s="1130"/>
      <c r="AK32" s="1130"/>
      <c r="AL32" s="1358">
        <f>Economics_Parameters!$C$9</f>
        <v>0</v>
      </c>
      <c r="AM32" s="1359">
        <f>Economics_Parameters!$C$13</f>
        <v>0</v>
      </c>
      <c r="AO32" s="1303" t="s">
        <v>48</v>
      </c>
      <c r="AP32" s="1303" t="s">
        <v>629</v>
      </c>
      <c r="AQ32" s="1303" t="s">
        <v>49</v>
      </c>
      <c r="AR32" s="1304" t="s">
        <v>629</v>
      </c>
    </row>
    <row r="33" spans="1:44" s="145" customFormat="1" ht="17.100000000000001" customHeight="1">
      <c r="A33" s="750" t="s">
        <v>1744</v>
      </c>
      <c r="B33" s="1072">
        <v>20</v>
      </c>
      <c r="C33" s="1072"/>
      <c r="D33" s="1072"/>
      <c r="E33" s="1072"/>
      <c r="F33" s="1144"/>
      <c r="G33" s="1293"/>
      <c r="H33" s="1291">
        <f t="shared" si="40"/>
        <v>4.161263079613974</v>
      </c>
      <c r="I33" s="1073"/>
      <c r="J33" s="1073"/>
      <c r="K33" s="1074"/>
      <c r="L33" s="1074"/>
      <c r="M33" s="1072">
        <v>46</v>
      </c>
      <c r="N33" s="1298">
        <f t="shared" si="41"/>
        <v>0.04</v>
      </c>
      <c r="O33" s="1075"/>
      <c r="P33" s="1074"/>
      <c r="Q33" s="1074"/>
      <c r="R33" s="1074"/>
      <c r="S33" s="1144">
        <v>0.45</v>
      </c>
      <c r="T33" s="1063"/>
      <c r="U33" s="1063"/>
      <c r="V33" s="1067"/>
      <c r="W33" s="1065"/>
      <c r="X33" s="1065"/>
      <c r="Y33" s="1066"/>
      <c r="Z33" s="1066"/>
      <c r="AA33" s="1066"/>
      <c r="AB33" s="1066"/>
      <c r="AC33" s="1067"/>
      <c r="AD33" s="945"/>
      <c r="AE33" s="1068"/>
      <c r="AF33" s="1129" t="s">
        <v>1874</v>
      </c>
      <c r="AG33" s="983" t="s">
        <v>1878</v>
      </c>
      <c r="AH33" s="1130"/>
      <c r="AI33" s="1130"/>
      <c r="AJ33" s="1130"/>
      <c r="AK33" s="1130"/>
      <c r="AL33" s="1358">
        <f>Economics_Parameters!$C$9</f>
        <v>0</v>
      </c>
      <c r="AM33" s="1359">
        <f>Economics_Parameters!$C$13</f>
        <v>0</v>
      </c>
      <c r="AO33" s="1303" t="s">
        <v>48</v>
      </c>
      <c r="AP33" s="1303" t="s">
        <v>629</v>
      </c>
      <c r="AQ33" s="1303" t="s">
        <v>49</v>
      </c>
      <c r="AR33" s="1304" t="s">
        <v>629</v>
      </c>
    </row>
    <row r="34" spans="1:44" s="145" customFormat="1">
      <c r="A34" s="750" t="s">
        <v>1746</v>
      </c>
      <c r="B34" s="1072">
        <v>10</v>
      </c>
      <c r="C34" s="1072"/>
      <c r="D34" s="1072"/>
      <c r="E34" s="1072"/>
      <c r="F34" s="1144"/>
      <c r="G34" s="1293">
        <f>2*INPUTS!L25</f>
        <v>0</v>
      </c>
      <c r="H34" s="1291">
        <f t="shared" si="40"/>
        <v>2.4743018308375366</v>
      </c>
      <c r="I34" s="1073"/>
      <c r="J34" s="1073"/>
      <c r="K34" s="1074"/>
      <c r="L34" s="1074"/>
      <c r="M34" s="1072">
        <v>46</v>
      </c>
      <c r="N34" s="1298">
        <f t="shared" si="41"/>
        <v>0.02</v>
      </c>
      <c r="O34" s="1075"/>
      <c r="P34" s="1074"/>
      <c r="Q34" s="1074"/>
      <c r="R34" s="1074"/>
      <c r="S34" s="1144">
        <v>0.45</v>
      </c>
      <c r="T34" s="1063"/>
      <c r="U34" s="1063"/>
      <c r="V34" s="1067"/>
      <c r="W34" s="1065">
        <v>3.2</v>
      </c>
      <c r="X34" s="1065">
        <v>5.8</v>
      </c>
      <c r="Y34" s="1067">
        <v>970</v>
      </c>
      <c r="Z34" s="1066">
        <v>2200</v>
      </c>
      <c r="AA34" s="1066">
        <v>25</v>
      </c>
      <c r="AB34" s="1066"/>
      <c r="AC34" s="1067"/>
      <c r="AD34" s="945">
        <v>2.9000000000000001E-2</v>
      </c>
      <c r="AE34" s="1068"/>
      <c r="AF34" s="1129" t="s">
        <v>1874</v>
      </c>
      <c r="AG34" s="983" t="s">
        <v>1878</v>
      </c>
      <c r="AH34" s="1130"/>
      <c r="AI34" s="1130"/>
      <c r="AJ34" s="1130"/>
      <c r="AK34" s="1130"/>
      <c r="AL34" s="1358">
        <f>Economics_Parameters!$C$9</f>
        <v>0</v>
      </c>
      <c r="AM34" s="1359">
        <f>Economics_Parameters!$C$13</f>
        <v>0</v>
      </c>
      <c r="AO34" s="1303" t="s">
        <v>48</v>
      </c>
      <c r="AP34" s="1303" t="s">
        <v>628</v>
      </c>
      <c r="AQ34" s="1303" t="s">
        <v>49</v>
      </c>
      <c r="AR34" s="1304" t="s">
        <v>629</v>
      </c>
    </row>
    <row r="35" spans="1:44" s="145" customFormat="1" ht="15" customHeight="1">
      <c r="A35" s="1103" t="s">
        <v>1648</v>
      </c>
      <c r="B35" s="1072">
        <v>200</v>
      </c>
      <c r="C35" s="1072">
        <v>10</v>
      </c>
      <c r="D35" s="1072">
        <v>21</v>
      </c>
      <c r="E35" s="1072">
        <v>60</v>
      </c>
      <c r="F35" s="1144">
        <v>0.2</v>
      </c>
      <c r="G35" s="1293">
        <v>0</v>
      </c>
      <c r="H35" s="1291">
        <f>0.44*B35^0.75</f>
        <v>23.400501946557938</v>
      </c>
      <c r="I35" s="1073"/>
      <c r="J35" s="1073">
        <v>170</v>
      </c>
      <c r="K35" s="1296">
        <f>(E35/100*D35*(6.83*C35*F35-0.125*C35))*4.2</f>
        <v>656.73719999999992</v>
      </c>
      <c r="L35" s="1109"/>
      <c r="M35" s="1074"/>
      <c r="N35" s="1299">
        <f>2*0.00028*B35^0.75</f>
        <v>2.9782457022891916E-2</v>
      </c>
      <c r="O35" s="1075"/>
      <c r="P35" s="1302">
        <f>1.1*0.12*2.3*0.11*C35</f>
        <v>0.33395999999999992</v>
      </c>
      <c r="Q35" s="1302">
        <f>(1.1*0.022*0.2*C35-0.0064)*49*0.6</f>
        <v>1.2348000000000001</v>
      </c>
      <c r="R35" s="1107"/>
      <c r="S35" s="1074"/>
      <c r="T35" s="1063"/>
      <c r="U35" s="1063"/>
      <c r="V35" s="1067">
        <v>0.5</v>
      </c>
      <c r="W35" s="1065"/>
      <c r="X35" s="1065"/>
      <c r="Y35" s="1067"/>
      <c r="Z35" s="1066">
        <v>2580</v>
      </c>
      <c r="AA35" s="1066">
        <v>21</v>
      </c>
      <c r="AB35" s="1066"/>
      <c r="AC35" s="1067"/>
      <c r="AD35" s="945">
        <v>0.04</v>
      </c>
      <c r="AE35" s="1068"/>
      <c r="AF35" s="1129" t="s">
        <v>1655</v>
      </c>
      <c r="AG35" s="983"/>
      <c r="AH35" s="1130"/>
      <c r="AI35" s="1130"/>
      <c r="AJ35" s="1130"/>
      <c r="AK35" s="1130"/>
      <c r="AL35" s="1358">
        <f>Economics_Parameters!$C$10</f>
        <v>0</v>
      </c>
      <c r="AM35" s="1359">
        <f>Economics_Parameters!$C$13</f>
        <v>0</v>
      </c>
      <c r="AO35" s="1303" t="s">
        <v>1636</v>
      </c>
      <c r="AP35" s="1303" t="s">
        <v>1137</v>
      </c>
      <c r="AQ35" s="1303" t="s">
        <v>1637</v>
      </c>
      <c r="AR35" s="1304" t="s">
        <v>1644</v>
      </c>
    </row>
    <row r="36" spans="1:44" s="145" customFormat="1" ht="16.5" thickBot="1">
      <c r="A36" s="1103" t="s">
        <v>1647</v>
      </c>
      <c r="B36" s="1072">
        <v>200</v>
      </c>
      <c r="C36" s="1072"/>
      <c r="D36" s="1072"/>
      <c r="E36" s="1072"/>
      <c r="F36" s="1144"/>
      <c r="G36" s="1293">
        <v>0</v>
      </c>
      <c r="H36" s="1293">
        <f t="shared" ref="H36:H37" si="42">0.44*B36^0.75</f>
        <v>23.400501946557938</v>
      </c>
      <c r="I36" s="1073"/>
      <c r="J36" s="1073"/>
      <c r="K36" s="1074"/>
      <c r="L36" s="1074"/>
      <c r="M36" s="1074"/>
      <c r="N36" s="1299">
        <f>2*0.00028*B36^0.75</f>
        <v>2.9782457022891916E-2</v>
      </c>
      <c r="O36" s="1075"/>
      <c r="P36" s="1074"/>
      <c r="Q36" s="1074"/>
      <c r="R36" s="1074"/>
      <c r="S36" s="1074"/>
      <c r="T36" s="1063"/>
      <c r="U36" s="1063"/>
      <c r="V36" s="1067"/>
      <c r="W36" s="1065"/>
      <c r="X36" s="1065"/>
      <c r="Y36" s="1067"/>
      <c r="Z36" s="1066">
        <v>2580</v>
      </c>
      <c r="AA36" s="1066">
        <v>21</v>
      </c>
      <c r="AB36" s="1066"/>
      <c r="AC36" s="1067"/>
      <c r="AD36" s="945">
        <v>0.04</v>
      </c>
      <c r="AE36" s="1068"/>
      <c r="AF36" s="1129" t="s">
        <v>1655</v>
      </c>
      <c r="AG36" s="984"/>
      <c r="AH36" s="1130"/>
      <c r="AI36" s="1130"/>
      <c r="AJ36" s="1130"/>
      <c r="AK36" s="1130"/>
      <c r="AL36" s="1358">
        <f>Economics_Parameters!$C$10</f>
        <v>0</v>
      </c>
      <c r="AM36" s="1359">
        <f>Economics_Parameters!$C$13</f>
        <v>0</v>
      </c>
      <c r="AO36" s="1303" t="s">
        <v>1636</v>
      </c>
      <c r="AP36" s="1303" t="s">
        <v>1137</v>
      </c>
      <c r="AQ36" s="1303" t="s">
        <v>1637</v>
      </c>
      <c r="AR36" s="1304" t="s">
        <v>1644</v>
      </c>
    </row>
    <row r="37" spans="1:44" s="145" customFormat="1" ht="16.5" thickBot="1">
      <c r="A37" s="1085" t="s">
        <v>1646</v>
      </c>
      <c r="B37" s="732">
        <v>80</v>
      </c>
      <c r="C37" s="732"/>
      <c r="D37" s="732"/>
      <c r="E37" s="732"/>
      <c r="F37" s="1089"/>
      <c r="G37" s="1294">
        <v>0</v>
      </c>
      <c r="H37" s="1294">
        <f t="shared" si="42"/>
        <v>11.769829367585023</v>
      </c>
      <c r="I37" s="1024"/>
      <c r="J37" s="1024"/>
      <c r="K37" s="732"/>
      <c r="L37" s="732"/>
      <c r="M37" s="732">
        <v>45</v>
      </c>
      <c r="N37" s="1300">
        <f>2*0.00028*B37^0.75</f>
        <v>1.4979782831471848E-2</v>
      </c>
      <c r="O37" s="879"/>
      <c r="P37" s="1089"/>
      <c r="Q37" s="1089"/>
      <c r="R37" s="1089"/>
      <c r="S37" s="1108">
        <v>0.05</v>
      </c>
      <c r="T37" s="947"/>
      <c r="U37" s="947"/>
      <c r="V37" s="946"/>
      <c r="W37" s="1012"/>
      <c r="X37" s="1012"/>
      <c r="Y37" s="946"/>
      <c r="Z37" s="1013">
        <v>2580</v>
      </c>
      <c r="AA37" s="1013">
        <v>21</v>
      </c>
      <c r="AB37" s="1013">
        <v>0.6</v>
      </c>
      <c r="AC37" s="946"/>
      <c r="AD37" s="1012">
        <v>0.04</v>
      </c>
      <c r="AE37" s="1086"/>
      <c r="AF37" s="984" t="s">
        <v>1655</v>
      </c>
      <c r="AG37" s="1131"/>
      <c r="AH37" s="1131"/>
      <c r="AI37" s="1132"/>
      <c r="AJ37" s="1132"/>
      <c r="AK37" s="1132"/>
      <c r="AL37" s="1360">
        <f>Economics_Parameters!$C$10</f>
        <v>0</v>
      </c>
      <c r="AM37" s="1361">
        <f>Economics_Parameters!$C$13</f>
        <v>0</v>
      </c>
      <c r="AO37" s="1305" t="s">
        <v>1636</v>
      </c>
      <c r="AP37" s="1305" t="s">
        <v>1137</v>
      </c>
      <c r="AQ37" s="1305" t="s">
        <v>1637</v>
      </c>
      <c r="AR37" s="1306" t="s">
        <v>1644</v>
      </c>
    </row>
    <row r="38" spans="1:44" s="145" customFormat="1">
      <c r="A38" s="143"/>
      <c r="B38" s="143"/>
      <c r="C38" s="143"/>
      <c r="D38" s="143"/>
      <c r="E38" s="143"/>
      <c r="F38" s="143"/>
      <c r="G38" s="824"/>
      <c r="H38" s="824"/>
      <c r="I38" s="824"/>
      <c r="J38" s="824"/>
      <c r="K38" s="824"/>
      <c r="L38" s="824"/>
      <c r="M38" s="824"/>
      <c r="N38" s="824"/>
      <c r="O38" s="824"/>
      <c r="P38" s="824"/>
      <c r="Q38" s="824"/>
      <c r="R38" s="824"/>
      <c r="S38" s="143"/>
      <c r="T38" s="143"/>
      <c r="U38" s="143"/>
      <c r="V38" s="143"/>
      <c r="W38" s="143"/>
      <c r="X38" s="143"/>
      <c r="Y38" s="143"/>
      <c r="Z38" s="143"/>
      <c r="AA38" s="143"/>
      <c r="AB38" s="143"/>
      <c r="AC38" s="143"/>
      <c r="AD38" s="143"/>
      <c r="AE38" s="143"/>
      <c r="AK38" s="228"/>
      <c r="AL38" s="228"/>
      <c r="AM38" s="228"/>
      <c r="AR38" s="226"/>
    </row>
    <row r="39" spans="1:44" s="145" customFormat="1">
      <c r="A39" s="143"/>
      <c r="B39" s="143" t="s">
        <v>1767</v>
      </c>
      <c r="C39" s="726" t="s">
        <v>1769</v>
      </c>
      <c r="D39" s="143"/>
      <c r="E39" s="143"/>
      <c r="F39" s="143"/>
      <c r="G39" s="824"/>
      <c r="H39" s="824"/>
      <c r="I39" s="824"/>
      <c r="J39" s="824"/>
      <c r="K39" s="824"/>
      <c r="L39" s="824"/>
      <c r="M39" s="824"/>
      <c r="N39" s="824"/>
      <c r="O39" s="824"/>
      <c r="P39" s="824"/>
      <c r="Q39" s="824"/>
      <c r="R39" s="824"/>
      <c r="S39" s="143"/>
      <c r="T39" s="143"/>
      <c r="U39" s="143"/>
      <c r="V39" s="143"/>
      <c r="W39" s="143"/>
      <c r="X39" s="143"/>
      <c r="Y39" s="143"/>
      <c r="Z39" s="143"/>
      <c r="AA39" s="143"/>
      <c r="AB39" s="143"/>
      <c r="AC39" s="143"/>
      <c r="AD39" s="143"/>
      <c r="AE39" s="143"/>
      <c r="AK39" s="228"/>
      <c r="AL39" s="228"/>
      <c r="AM39" s="228"/>
      <c r="AR39" s="226"/>
    </row>
    <row r="40" spans="1:44" s="145" customFormat="1">
      <c r="A40" s="143"/>
      <c r="B40" s="143"/>
      <c r="C40" s="726" t="s">
        <v>1770</v>
      </c>
      <c r="D40" s="143"/>
      <c r="E40" s="143"/>
      <c r="F40" s="143"/>
      <c r="G40" s="824"/>
      <c r="H40" s="824"/>
      <c r="I40" s="824"/>
      <c r="J40" s="824"/>
      <c r="K40" s="824"/>
      <c r="L40" s="824"/>
      <c r="M40" s="824"/>
      <c r="N40" s="824"/>
      <c r="O40" s="824"/>
      <c r="P40" s="824"/>
      <c r="Q40" s="824"/>
      <c r="R40" s="824"/>
      <c r="S40" s="143"/>
      <c r="T40" s="143"/>
      <c r="U40" s="143"/>
      <c r="V40" s="143"/>
      <c r="W40" s="143"/>
      <c r="X40" s="143"/>
      <c r="Y40" s="143"/>
      <c r="Z40" s="143"/>
      <c r="AA40" s="143"/>
      <c r="AB40" s="143"/>
      <c r="AC40" s="143"/>
      <c r="AD40" s="143"/>
      <c r="AE40" s="143"/>
      <c r="AK40" s="228"/>
      <c r="AL40" s="228"/>
      <c r="AM40" s="228"/>
      <c r="AR40" s="226"/>
    </row>
    <row r="41" spans="1:44" s="145" customFormat="1">
      <c r="A41" s="143"/>
      <c r="B41" s="143"/>
      <c r="C41" s="726" t="s">
        <v>1771</v>
      </c>
      <c r="D41" s="143"/>
      <c r="E41" s="143"/>
      <c r="F41" s="143"/>
      <c r="G41" s="824"/>
      <c r="H41" s="824"/>
      <c r="I41" s="824"/>
      <c r="J41" s="824"/>
      <c r="K41" s="824"/>
      <c r="L41" s="824"/>
      <c r="M41" s="824"/>
      <c r="N41" s="824"/>
      <c r="O41" s="824"/>
      <c r="P41" s="824"/>
      <c r="Q41" s="824"/>
      <c r="R41" s="824"/>
      <c r="S41" s="143"/>
      <c r="T41" s="143"/>
      <c r="U41" s="143"/>
      <c r="V41" s="143"/>
      <c r="W41" s="143"/>
      <c r="X41" s="143"/>
      <c r="Y41" s="143"/>
      <c r="Z41" s="143"/>
      <c r="AA41" s="143"/>
      <c r="AB41" s="143"/>
      <c r="AC41" s="143"/>
      <c r="AD41" s="143"/>
      <c r="AE41" s="143"/>
      <c r="AK41" s="228"/>
      <c r="AL41" s="228"/>
      <c r="AM41" s="228"/>
      <c r="AR41" s="226"/>
    </row>
    <row r="42" spans="1:44" s="145" customFormat="1">
      <c r="A42" s="143"/>
      <c r="B42" s="143"/>
      <c r="C42" s="726" t="s">
        <v>1773</v>
      </c>
      <c r="D42" s="143"/>
      <c r="E42" s="143"/>
      <c r="F42" s="143"/>
      <c r="G42" s="824"/>
      <c r="H42" s="824"/>
      <c r="I42" s="824"/>
      <c r="J42" s="824"/>
      <c r="K42" s="824"/>
      <c r="L42" s="824"/>
      <c r="M42" s="824"/>
      <c r="N42" s="824"/>
      <c r="O42" s="824"/>
      <c r="P42" s="824"/>
      <c r="Q42" s="824"/>
      <c r="R42" s="824"/>
      <c r="S42" s="143"/>
      <c r="T42" s="143"/>
      <c r="U42" s="143"/>
      <c r="V42" s="143"/>
      <c r="W42" s="143"/>
      <c r="X42" s="143"/>
      <c r="Y42" s="143"/>
      <c r="Z42" s="143"/>
      <c r="AA42" s="143"/>
      <c r="AB42" s="143"/>
      <c r="AC42" s="143"/>
      <c r="AD42" s="143"/>
      <c r="AE42" s="143"/>
      <c r="AK42" s="228"/>
      <c r="AL42" s="228"/>
      <c r="AM42" s="228"/>
      <c r="AR42" s="226"/>
    </row>
    <row r="43" spans="1:44" s="145" customFormat="1">
      <c r="A43" s="143"/>
      <c r="B43" s="143"/>
      <c r="C43" s="726" t="s">
        <v>1774</v>
      </c>
      <c r="D43" s="143"/>
      <c r="E43" s="143"/>
      <c r="F43" s="143"/>
      <c r="G43" s="824"/>
      <c r="H43" s="824"/>
      <c r="I43" s="824"/>
      <c r="J43" s="824"/>
      <c r="K43" s="824"/>
      <c r="L43" s="824"/>
      <c r="M43" s="824"/>
      <c r="N43" s="824"/>
      <c r="O43" s="824"/>
      <c r="P43" s="824"/>
      <c r="Q43" s="824"/>
      <c r="R43" s="824"/>
      <c r="S43" s="143"/>
      <c r="T43" s="143"/>
      <c r="U43" s="143"/>
      <c r="V43" s="143"/>
      <c r="W43" s="143"/>
      <c r="X43" s="143"/>
      <c r="Y43" s="143"/>
      <c r="Z43" s="143"/>
      <c r="AA43" s="143"/>
      <c r="AB43" s="143"/>
      <c r="AC43" s="143"/>
      <c r="AD43" s="143"/>
      <c r="AE43" s="143"/>
      <c r="AK43" s="228"/>
      <c r="AL43" s="228"/>
      <c r="AM43" s="228"/>
      <c r="AR43" s="226"/>
    </row>
    <row r="44" spans="1:44" s="145" customFormat="1">
      <c r="A44" s="143"/>
      <c r="B44" s="143"/>
      <c r="C44" s="726"/>
      <c r="D44" s="143"/>
      <c r="E44" s="143"/>
      <c r="F44" s="143"/>
      <c r="G44" s="824"/>
      <c r="H44" s="824"/>
      <c r="I44" s="824"/>
      <c r="J44" s="824"/>
      <c r="K44" s="824"/>
      <c r="L44" s="824"/>
      <c r="M44" s="824"/>
      <c r="N44" s="824"/>
      <c r="O44" s="824"/>
      <c r="P44" s="824"/>
      <c r="Q44" s="824"/>
      <c r="R44" s="824"/>
      <c r="S44" s="143"/>
      <c r="T44" s="143"/>
      <c r="U44" s="143"/>
      <c r="V44" s="143"/>
      <c r="W44" s="143"/>
      <c r="X44" s="143"/>
      <c r="Y44" s="143"/>
      <c r="Z44" s="143"/>
      <c r="AA44" s="143"/>
      <c r="AB44" s="143"/>
      <c r="AC44" s="143"/>
      <c r="AD44" s="143"/>
      <c r="AE44" s="143"/>
      <c r="AK44" s="228"/>
      <c r="AL44" s="228"/>
      <c r="AM44" s="228"/>
      <c r="AR44" s="226"/>
    </row>
    <row r="45" spans="1:44" s="145" customFormat="1">
      <c r="A45" s="143"/>
      <c r="B45" s="143" t="s">
        <v>1775</v>
      </c>
      <c r="C45" s="726" t="s">
        <v>1776</v>
      </c>
      <c r="D45" s="143"/>
      <c r="E45" s="143"/>
      <c r="F45" s="143"/>
      <c r="G45" s="824"/>
      <c r="H45" s="824"/>
      <c r="I45" s="824"/>
      <c r="J45" s="824"/>
      <c r="K45" s="824"/>
      <c r="L45" s="824"/>
      <c r="M45" s="824"/>
      <c r="N45" s="824"/>
      <c r="O45" s="824"/>
      <c r="P45" s="824"/>
      <c r="Q45" s="824"/>
      <c r="R45" s="824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  <c r="AC45" s="143"/>
      <c r="AD45" s="143"/>
      <c r="AE45" s="143"/>
      <c r="AK45" s="228"/>
      <c r="AL45" s="228"/>
      <c r="AM45" s="228"/>
      <c r="AR45" s="226"/>
    </row>
    <row r="46" spans="1:44" s="145" customFormat="1">
      <c r="A46" s="143"/>
      <c r="B46" s="143"/>
      <c r="C46" s="726" t="s">
        <v>1777</v>
      </c>
      <c r="D46" s="143"/>
      <c r="E46" s="143"/>
      <c r="F46" s="143"/>
      <c r="G46" s="824"/>
      <c r="H46" s="824"/>
      <c r="I46" s="824"/>
      <c r="J46" s="824"/>
      <c r="K46" s="824"/>
      <c r="L46" s="824"/>
      <c r="M46" s="824"/>
      <c r="N46" s="824"/>
      <c r="O46" s="824"/>
      <c r="P46" s="824"/>
      <c r="Q46" s="824"/>
      <c r="R46" s="824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  <c r="AC46" s="143"/>
      <c r="AD46" s="143"/>
      <c r="AE46" s="143"/>
      <c r="AK46" s="228"/>
      <c r="AL46" s="228"/>
      <c r="AM46" s="228"/>
      <c r="AR46" s="226"/>
    </row>
    <row r="47" spans="1:44" s="145" customFormat="1">
      <c r="A47" s="143"/>
      <c r="B47" s="143"/>
      <c r="C47" s="726" t="s">
        <v>1778</v>
      </c>
      <c r="D47" s="143"/>
      <c r="E47" s="143"/>
      <c r="F47" s="143"/>
      <c r="G47" s="824"/>
      <c r="H47" s="824"/>
      <c r="I47" s="824"/>
      <c r="J47" s="824"/>
      <c r="K47" s="824"/>
      <c r="L47" s="824"/>
      <c r="M47" s="824"/>
      <c r="N47" s="824"/>
      <c r="O47" s="824"/>
      <c r="P47" s="824"/>
      <c r="Q47" s="824"/>
      <c r="R47" s="824"/>
      <c r="S47" s="143"/>
      <c r="T47" s="143"/>
      <c r="U47" s="143"/>
      <c r="V47" s="143"/>
      <c r="W47" s="143"/>
      <c r="X47" s="143"/>
      <c r="Y47" s="143"/>
      <c r="Z47" s="143"/>
      <c r="AA47" s="143"/>
      <c r="AB47" s="143"/>
      <c r="AC47" s="143"/>
      <c r="AD47" s="143"/>
      <c r="AE47" s="143"/>
      <c r="AK47" s="228"/>
      <c r="AL47" s="228"/>
      <c r="AM47" s="228"/>
      <c r="AR47" s="226"/>
    </row>
    <row r="48" spans="1:44" s="145" customFormat="1">
      <c r="A48" s="143"/>
      <c r="B48" s="143"/>
      <c r="C48" s="726" t="s">
        <v>1779</v>
      </c>
      <c r="D48" s="143"/>
      <c r="E48" s="143"/>
      <c r="F48" s="143"/>
      <c r="G48" s="824"/>
      <c r="H48" s="824"/>
      <c r="I48" s="824"/>
      <c r="J48" s="824"/>
      <c r="K48" s="824"/>
      <c r="L48" s="824"/>
      <c r="M48" s="824"/>
      <c r="N48" s="824"/>
      <c r="O48" s="824"/>
      <c r="P48" s="824"/>
      <c r="Q48" s="824"/>
      <c r="R48" s="824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  <c r="AC48" s="143"/>
      <c r="AD48" s="143"/>
      <c r="AE48" s="143"/>
      <c r="AK48" s="228"/>
      <c r="AL48" s="228"/>
      <c r="AM48" s="228"/>
      <c r="AR48" s="226"/>
    </row>
    <row r="49" spans="1:44" s="145" customFormat="1">
      <c r="A49" s="143"/>
      <c r="B49" s="143"/>
      <c r="C49" s="726"/>
      <c r="D49" s="143"/>
      <c r="E49" s="143"/>
      <c r="F49" s="143"/>
      <c r="G49" s="824"/>
      <c r="H49" s="824"/>
      <c r="I49" s="824"/>
      <c r="J49" s="824"/>
      <c r="K49" s="824"/>
      <c r="L49" s="824"/>
      <c r="M49" s="824"/>
      <c r="N49" s="824"/>
      <c r="O49" s="824"/>
      <c r="P49" s="824"/>
      <c r="Q49" s="824"/>
      <c r="R49" s="824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  <c r="AC49" s="143"/>
      <c r="AD49" s="143"/>
      <c r="AE49" s="143"/>
      <c r="AK49" s="228"/>
      <c r="AL49" s="228"/>
      <c r="AM49" s="228"/>
      <c r="AR49" s="226"/>
    </row>
    <row r="50" spans="1:44" s="145" customFormat="1">
      <c r="A50" s="143"/>
      <c r="B50" s="143" t="s">
        <v>1768</v>
      </c>
      <c r="C50" s="726" t="s">
        <v>1769</v>
      </c>
      <c r="D50" s="143"/>
      <c r="E50" s="143"/>
      <c r="F50" s="143"/>
      <c r="G50" s="824"/>
      <c r="H50" s="824"/>
      <c r="I50" s="824"/>
      <c r="J50" s="824"/>
      <c r="K50" s="824"/>
      <c r="L50" s="824"/>
      <c r="M50" s="824"/>
      <c r="N50" s="824"/>
      <c r="O50" s="824"/>
      <c r="P50" s="824"/>
      <c r="Q50" s="824"/>
      <c r="R50" s="824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  <c r="AC50" s="143"/>
      <c r="AD50" s="143"/>
      <c r="AE50" s="143"/>
      <c r="AK50" s="228"/>
      <c r="AL50" s="228"/>
      <c r="AM50" s="228"/>
      <c r="AR50" s="226"/>
    </row>
    <row r="51" spans="1:44" s="145" customFormat="1">
      <c r="A51" s="726"/>
      <c r="B51" s="726"/>
      <c r="C51" s="726" t="s">
        <v>1770</v>
      </c>
      <c r="D51" s="143"/>
      <c r="E51" s="143"/>
      <c r="F51" s="143"/>
      <c r="G51" s="824"/>
      <c r="H51" s="824"/>
      <c r="I51" s="824"/>
      <c r="J51" s="824"/>
      <c r="K51" s="824"/>
      <c r="L51" s="824"/>
      <c r="M51" s="822"/>
      <c r="N51" s="822"/>
      <c r="O51" s="822"/>
      <c r="P51" s="822"/>
      <c r="Q51" s="726"/>
      <c r="R51" s="726"/>
      <c r="S51" s="726"/>
      <c r="T51" s="726"/>
      <c r="U51" s="726"/>
      <c r="V51" s="11" t="s">
        <v>897</v>
      </c>
      <c r="W51" s="143"/>
      <c r="X51" s="143"/>
      <c r="Y51" s="143"/>
      <c r="Z51" s="143"/>
      <c r="AA51" s="143"/>
      <c r="AB51" s="143"/>
      <c r="AC51" s="143"/>
      <c r="AI51" s="228"/>
      <c r="AP51" s="226"/>
    </row>
    <row r="52" spans="1:44" s="145" customFormat="1">
      <c r="A52" s="726"/>
      <c r="B52" s="726"/>
      <c r="C52" s="726" t="s">
        <v>1771</v>
      </c>
      <c r="D52" s="143"/>
      <c r="E52" s="143"/>
      <c r="F52" s="143"/>
      <c r="G52" s="824"/>
      <c r="H52" s="824"/>
      <c r="I52" s="824"/>
      <c r="J52" s="824"/>
      <c r="K52" s="824"/>
      <c r="L52" s="824"/>
      <c r="M52" s="822"/>
      <c r="N52" s="822"/>
      <c r="O52" s="822"/>
      <c r="P52" s="822"/>
      <c r="Q52" s="726"/>
      <c r="R52" s="726"/>
      <c r="S52" s="726"/>
      <c r="T52" s="726"/>
      <c r="U52" s="726"/>
      <c r="V52" s="11" t="s">
        <v>896</v>
      </c>
      <c r="W52" s="143"/>
      <c r="X52" s="143"/>
      <c r="Y52" s="143"/>
      <c r="Z52" s="143"/>
      <c r="AA52" s="143"/>
      <c r="AB52" s="143"/>
      <c r="AC52" s="143"/>
      <c r="AI52" s="228"/>
      <c r="AP52" s="226"/>
    </row>
    <row r="53" spans="1:44" s="145" customFormat="1">
      <c r="A53" s="726"/>
      <c r="B53" s="726"/>
      <c r="C53" s="726" t="s">
        <v>1773</v>
      </c>
      <c r="D53" s="143"/>
      <c r="E53" s="143"/>
      <c r="F53" s="143"/>
      <c r="G53" s="824"/>
      <c r="H53" s="824"/>
      <c r="I53" s="824"/>
      <c r="J53" s="824"/>
      <c r="K53" s="824"/>
      <c r="L53" s="824"/>
      <c r="M53" s="822"/>
      <c r="N53" s="822"/>
      <c r="O53" s="822"/>
      <c r="P53" s="822"/>
      <c r="Q53" s="726"/>
      <c r="R53" s="726"/>
      <c r="S53" s="726"/>
      <c r="T53" s="726"/>
      <c r="U53" s="726"/>
      <c r="V53" s="11"/>
      <c r="W53" s="143"/>
      <c r="X53" s="143"/>
      <c r="Y53" s="143"/>
      <c r="Z53" s="143"/>
      <c r="AA53" s="143"/>
      <c r="AB53" s="143"/>
      <c r="AC53" s="143"/>
      <c r="AI53" s="228"/>
      <c r="AP53" s="226"/>
    </row>
    <row r="54" spans="1:44" s="145" customFormat="1">
      <c r="A54" s="726"/>
      <c r="B54" s="726"/>
      <c r="C54" s="726" t="s">
        <v>1774</v>
      </c>
      <c r="D54" s="143"/>
      <c r="E54" s="143"/>
      <c r="F54" s="143"/>
      <c r="G54" s="824"/>
      <c r="H54" s="824"/>
      <c r="I54" s="824"/>
      <c r="J54" s="824"/>
      <c r="K54" s="824"/>
      <c r="L54" s="824"/>
      <c r="M54" s="822"/>
      <c r="N54" s="822"/>
      <c r="O54" s="822"/>
      <c r="P54" s="822"/>
      <c r="Q54" s="726"/>
      <c r="R54" s="726"/>
      <c r="S54" s="726"/>
      <c r="T54" s="726"/>
      <c r="U54" s="726"/>
      <c r="V54" s="11"/>
      <c r="W54" s="143"/>
      <c r="X54" s="143"/>
      <c r="Y54" s="143"/>
      <c r="Z54" s="143"/>
      <c r="AA54" s="143"/>
      <c r="AB54" s="143"/>
      <c r="AC54" s="143"/>
      <c r="AI54" s="228"/>
      <c r="AP54" s="226"/>
    </row>
    <row r="55" spans="1:44" s="145" customFormat="1">
      <c r="A55" s="726"/>
      <c r="B55" s="726"/>
      <c r="C55" s="726"/>
      <c r="D55" s="143"/>
      <c r="E55" s="143"/>
      <c r="F55" s="143"/>
      <c r="G55" s="824"/>
      <c r="H55" s="824"/>
      <c r="I55" s="824"/>
      <c r="J55" s="824"/>
      <c r="K55" s="824"/>
      <c r="L55" s="824"/>
      <c r="M55" s="822"/>
      <c r="N55" s="822"/>
      <c r="O55" s="822"/>
      <c r="P55" s="822"/>
      <c r="Q55" s="726"/>
      <c r="R55" s="726"/>
      <c r="S55" s="726"/>
      <c r="T55" s="726"/>
      <c r="U55" s="726"/>
      <c r="V55" s="11"/>
      <c r="W55" s="143"/>
      <c r="X55" s="143"/>
      <c r="Y55" s="143"/>
      <c r="Z55" s="143"/>
      <c r="AA55" s="143"/>
      <c r="AB55" s="143"/>
      <c r="AC55" s="143"/>
      <c r="AI55" s="228"/>
      <c r="AP55" s="226"/>
    </row>
    <row r="56" spans="1:44" s="145" customFormat="1">
      <c r="A56" s="726"/>
      <c r="B56" s="143" t="s">
        <v>1780</v>
      </c>
      <c r="C56" s="726" t="s">
        <v>1776</v>
      </c>
      <c r="D56" s="143"/>
      <c r="E56" s="143"/>
      <c r="F56" s="143"/>
      <c r="G56" s="824"/>
      <c r="H56" s="824"/>
      <c r="I56" s="824"/>
      <c r="J56" s="824"/>
      <c r="K56" s="824"/>
      <c r="L56" s="824"/>
      <c r="M56" s="822"/>
      <c r="N56" s="822"/>
      <c r="O56" s="822"/>
      <c r="P56" s="822"/>
      <c r="Q56" s="726"/>
      <c r="R56" s="726"/>
      <c r="S56" s="726"/>
      <c r="T56" s="726"/>
      <c r="U56" s="726"/>
      <c r="V56" s="11"/>
      <c r="W56" s="143"/>
      <c r="X56" s="143"/>
      <c r="Y56" s="143"/>
      <c r="Z56" s="143"/>
      <c r="AA56" s="143"/>
      <c r="AB56" s="143"/>
      <c r="AC56" s="143"/>
      <c r="AI56" s="228"/>
      <c r="AP56" s="226"/>
    </row>
    <row r="57" spans="1:44" s="145" customFormat="1">
      <c r="A57" s="726"/>
      <c r="B57" s="143"/>
      <c r="C57" s="726" t="s">
        <v>1777</v>
      </c>
      <c r="D57" s="143"/>
      <c r="E57" s="143"/>
      <c r="F57" s="143"/>
      <c r="G57" s="824"/>
      <c r="H57" s="824"/>
      <c r="I57" s="824"/>
      <c r="J57" s="824"/>
      <c r="K57" s="824"/>
      <c r="L57" s="824"/>
      <c r="M57" s="822"/>
      <c r="N57" s="822"/>
      <c r="O57" s="822"/>
      <c r="P57" s="822"/>
      <c r="Q57" s="726"/>
      <c r="R57" s="726"/>
      <c r="S57" s="726"/>
      <c r="T57" s="726"/>
      <c r="U57" s="726"/>
      <c r="V57" s="11"/>
      <c r="W57" s="143"/>
      <c r="X57" s="143"/>
      <c r="Y57" s="143"/>
      <c r="Z57" s="143"/>
      <c r="AA57" s="143"/>
      <c r="AB57" s="143"/>
      <c r="AC57" s="143"/>
      <c r="AI57" s="228"/>
      <c r="AP57" s="226"/>
    </row>
    <row r="58" spans="1:44" s="145" customFormat="1">
      <c r="A58" s="726"/>
      <c r="B58" s="143"/>
      <c r="C58" s="726" t="s">
        <v>1778</v>
      </c>
      <c r="D58" s="143"/>
      <c r="E58" s="143"/>
      <c r="F58" s="143"/>
      <c r="G58" s="824"/>
      <c r="H58" s="824"/>
      <c r="I58" s="824"/>
      <c r="J58" s="824"/>
      <c r="K58" s="824"/>
      <c r="L58" s="824"/>
      <c r="M58" s="822"/>
      <c r="N58" s="822"/>
      <c r="O58" s="822"/>
      <c r="P58" s="822"/>
      <c r="Q58" s="726"/>
      <c r="R58" s="726"/>
      <c r="S58" s="726"/>
      <c r="T58" s="726"/>
      <c r="U58" s="726"/>
      <c r="V58" s="11"/>
      <c r="W58" s="143"/>
      <c r="X58" s="143"/>
      <c r="Y58" s="143"/>
      <c r="Z58" s="143"/>
      <c r="AA58" s="143"/>
      <c r="AB58" s="143"/>
      <c r="AC58" s="143"/>
      <c r="AI58" s="228"/>
      <c r="AP58" s="226"/>
    </row>
    <row r="59" spans="1:44" s="145" customFormat="1">
      <c r="A59" s="726"/>
      <c r="B59" s="143"/>
      <c r="C59" s="726" t="s">
        <v>1779</v>
      </c>
      <c r="D59" s="143"/>
      <c r="E59" s="143"/>
      <c r="F59" s="143"/>
      <c r="G59" s="824"/>
      <c r="H59" s="824"/>
      <c r="I59" s="824"/>
      <c r="J59" s="824"/>
      <c r="K59" s="824"/>
      <c r="L59" s="824"/>
      <c r="M59" s="822"/>
      <c r="N59" s="822"/>
      <c r="O59" s="822"/>
      <c r="P59" s="822"/>
      <c r="Q59" s="726"/>
      <c r="R59" s="726"/>
      <c r="S59" s="726"/>
      <c r="T59" s="726"/>
      <c r="U59" s="726"/>
      <c r="V59" s="11"/>
      <c r="W59" s="143"/>
      <c r="X59" s="143"/>
      <c r="Y59" s="143"/>
      <c r="Z59" s="143"/>
      <c r="AA59" s="143"/>
      <c r="AB59" s="143"/>
      <c r="AC59" s="143"/>
      <c r="AI59" s="228"/>
      <c r="AP59" s="226"/>
    </row>
    <row r="60" spans="1:44" s="145" customFormat="1">
      <c r="A60" s="726"/>
      <c r="B60" s="726"/>
      <c r="C60" s="726"/>
      <c r="D60" s="143"/>
      <c r="E60" s="143"/>
      <c r="F60" s="143"/>
      <c r="G60" s="824"/>
      <c r="H60" s="824"/>
      <c r="I60" s="824"/>
      <c r="J60" s="824"/>
      <c r="K60" s="824"/>
      <c r="L60" s="824"/>
      <c r="M60" s="822"/>
      <c r="N60" s="822"/>
      <c r="O60" s="822"/>
      <c r="P60" s="822"/>
      <c r="Q60" s="726"/>
      <c r="R60" s="726"/>
      <c r="S60" s="726"/>
      <c r="T60" s="726"/>
      <c r="U60" s="726"/>
      <c r="V60" s="11"/>
      <c r="W60" s="143"/>
      <c r="X60" s="143"/>
      <c r="Y60" s="143"/>
      <c r="Z60" s="143"/>
      <c r="AA60" s="143"/>
      <c r="AB60" s="143"/>
      <c r="AC60" s="143"/>
      <c r="AI60" s="228"/>
      <c r="AP60" s="226"/>
    </row>
    <row r="61" spans="1:44" s="145" customFormat="1">
      <c r="A61" s="726"/>
      <c r="B61" s="726"/>
      <c r="C61" s="726"/>
      <c r="D61" s="143"/>
      <c r="E61" s="143"/>
      <c r="F61" s="143"/>
      <c r="G61" s="824"/>
      <c r="H61" s="824"/>
      <c r="I61" s="824"/>
      <c r="J61" s="824"/>
      <c r="K61" s="824"/>
      <c r="L61" s="824"/>
      <c r="M61" s="822"/>
      <c r="N61" s="822"/>
      <c r="O61" s="822"/>
      <c r="P61" s="822"/>
      <c r="Q61" s="726"/>
      <c r="R61" s="726"/>
      <c r="S61" s="726"/>
      <c r="T61" s="726"/>
      <c r="U61" s="726"/>
      <c r="V61" s="11"/>
      <c r="W61" s="143"/>
      <c r="X61" s="143"/>
      <c r="Y61" s="143"/>
      <c r="Z61" s="143"/>
      <c r="AA61" s="143"/>
      <c r="AB61" s="143"/>
      <c r="AC61" s="143"/>
      <c r="AI61" s="228"/>
      <c r="AP61" s="226"/>
    </row>
    <row r="62" spans="1:44" s="145" customFormat="1">
      <c r="A62" s="726"/>
      <c r="B62" s="726" t="s">
        <v>1639</v>
      </c>
      <c r="C62" s="726" t="s">
        <v>1704</v>
      </c>
      <c r="D62" s="726"/>
      <c r="E62" s="726"/>
      <c r="F62" s="726"/>
      <c r="G62" s="822"/>
      <c r="H62" s="822"/>
      <c r="I62" s="822"/>
      <c r="J62" s="822"/>
      <c r="K62" s="822"/>
      <c r="L62" s="822"/>
      <c r="M62" s="822"/>
      <c r="N62" s="822"/>
      <c r="O62" s="822"/>
      <c r="P62" s="822"/>
      <c r="Q62" s="726"/>
      <c r="R62" s="726"/>
      <c r="S62" s="726"/>
      <c r="T62" s="726"/>
      <c r="U62" s="726"/>
      <c r="V62" s="11" t="s">
        <v>900</v>
      </c>
      <c r="W62" s="143"/>
      <c r="X62" s="143"/>
      <c r="Y62" s="143"/>
      <c r="Z62" s="143"/>
      <c r="AA62" s="143"/>
      <c r="AB62" s="143"/>
      <c r="AC62" s="143"/>
      <c r="AI62" s="228"/>
      <c r="AP62" s="226"/>
    </row>
    <row r="63" spans="1:44" s="145" customFormat="1">
      <c r="A63"/>
      <c r="B63"/>
      <c r="C63" t="s">
        <v>1706</v>
      </c>
      <c r="D63" s="1098"/>
      <c r="E63" s="726"/>
      <c r="F63" s="726"/>
      <c r="G63" s="726" t="s">
        <v>1772</v>
      </c>
      <c r="H63" s="825"/>
      <c r="I63" s="825"/>
      <c r="J63" s="825"/>
      <c r="K63" s="825"/>
      <c r="L63" s="825"/>
      <c r="M63" s="825"/>
      <c r="N63" s="825"/>
      <c r="O63" s="825"/>
      <c r="P63" s="825"/>
      <c r="Q63"/>
      <c r="R63"/>
      <c r="S63"/>
      <c r="T63"/>
      <c r="U63"/>
      <c r="V63" s="11"/>
      <c r="AI63" s="228"/>
      <c r="AP63" s="226"/>
    </row>
    <row r="64" spans="1:44" s="145" customFormat="1">
      <c r="A64"/>
      <c r="B64"/>
      <c r="C64" t="s">
        <v>1710</v>
      </c>
      <c r="D64" s="1098"/>
      <c r="E64" s="726"/>
      <c r="F64" s="726"/>
      <c r="G64" s="825"/>
      <c r="I64" s="1088"/>
      <c r="K64" s="1088"/>
      <c r="L64" s="825"/>
      <c r="M64" s="825"/>
      <c r="N64" s="825"/>
      <c r="O64" s="825"/>
      <c r="P64" s="825"/>
      <c r="Q64"/>
      <c r="R64"/>
      <c r="S64"/>
      <c r="T64"/>
      <c r="U64"/>
      <c r="V64" s="11" t="s">
        <v>1020</v>
      </c>
      <c r="AI64" s="228"/>
      <c r="AP64" s="226"/>
    </row>
    <row r="65" spans="1:42" s="145" customFormat="1">
      <c r="A65" s="1087"/>
      <c r="B65" s="1087"/>
      <c r="C65" s="726" t="s">
        <v>1705</v>
      </c>
      <c r="D65" s="726"/>
      <c r="E65" s="726"/>
      <c r="F65" s="726"/>
      <c r="G65" s="825"/>
      <c r="H65" s="1088"/>
      <c r="J65" s="1088"/>
      <c r="K65" s="825"/>
      <c r="L65" s="825"/>
      <c r="M65" s="825"/>
      <c r="N65" s="825"/>
      <c r="O65" s="825"/>
      <c r="P65" s="825"/>
      <c r="Q65" s="1087"/>
      <c r="R65" s="1087"/>
      <c r="S65" s="1087"/>
      <c r="T65" s="1087"/>
      <c r="U65" s="1087"/>
      <c r="V65" s="11"/>
      <c r="AI65" s="228"/>
      <c r="AP65" s="226"/>
    </row>
    <row r="66" spans="1:42" s="145" customFormat="1">
      <c r="A66"/>
      <c r="B66"/>
      <c r="C66" s="1087" t="s">
        <v>1638</v>
      </c>
      <c r="D66" s="1098"/>
      <c r="E66" s="726"/>
      <c r="F66" s="726"/>
      <c r="G66" s="825"/>
      <c r="H66" s="825"/>
      <c r="I66" s="825"/>
      <c r="J66" s="825"/>
      <c r="K66" s="825"/>
      <c r="L66" s="825"/>
      <c r="M66" s="825"/>
      <c r="N66" s="825"/>
      <c r="O66" s="825"/>
      <c r="P66" s="825"/>
      <c r="Q66"/>
      <c r="R66"/>
      <c r="S66"/>
      <c r="T66"/>
      <c r="U66"/>
      <c r="V66" s="473" t="s">
        <v>899</v>
      </c>
      <c r="Z66" s="258"/>
      <c r="AI66" s="228"/>
      <c r="AP66" s="226"/>
    </row>
    <row r="67" spans="1:42" s="145" customFormat="1">
      <c r="A67"/>
      <c r="B67"/>
      <c r="C67"/>
      <c r="D67" s="1098"/>
      <c r="E67" s="726"/>
      <c r="F67" s="726"/>
      <c r="G67" s="825"/>
      <c r="H67" s="825"/>
      <c r="I67" s="825"/>
      <c r="J67" s="825"/>
      <c r="K67" s="825"/>
      <c r="L67" s="825"/>
      <c r="M67" s="825"/>
      <c r="N67" s="825"/>
      <c r="O67" s="825"/>
      <c r="P67" s="825"/>
      <c r="Q67"/>
      <c r="R67"/>
      <c r="S67"/>
      <c r="T67"/>
      <c r="U67"/>
      <c r="V67" s="11"/>
      <c r="Z67" s="258"/>
      <c r="AI67" s="228"/>
      <c r="AP67" s="226"/>
    </row>
    <row r="68" spans="1:42" s="145" customFormat="1">
      <c r="A68"/>
      <c r="B68"/>
      <c r="C68"/>
      <c r="D68" s="1098"/>
      <c r="E68"/>
      <c r="F68"/>
      <c r="G68" s="825"/>
      <c r="H68" s="825"/>
      <c r="I68" s="825"/>
      <c r="J68" s="825"/>
      <c r="K68" s="825"/>
      <c r="L68" s="825"/>
      <c r="M68" s="825"/>
      <c r="N68" s="825"/>
      <c r="O68" s="825"/>
      <c r="P68" s="825"/>
      <c r="Q68"/>
      <c r="R68"/>
      <c r="S68"/>
      <c r="T68"/>
      <c r="U68"/>
      <c r="V68" s="11"/>
      <c r="AI68" s="228"/>
      <c r="AP68" s="226"/>
    </row>
    <row r="69" spans="1:42" s="145" customFormat="1">
      <c r="A69"/>
      <c r="B69" t="s">
        <v>1702</v>
      </c>
      <c r="C69" t="s">
        <v>1650</v>
      </c>
      <c r="D69" s="1098"/>
      <c r="E69"/>
      <c r="F69"/>
      <c r="G69" s="825"/>
      <c r="H69" s="825"/>
      <c r="I69" s="825"/>
      <c r="J69" s="1088" t="s">
        <v>1703</v>
      </c>
      <c r="K69" s="1088"/>
      <c r="L69" s="825"/>
      <c r="M69" s="825"/>
      <c r="N69" s="825"/>
      <c r="O69" s="825"/>
      <c r="P69" s="825"/>
      <c r="Q69"/>
      <c r="R69"/>
      <c r="S69"/>
      <c r="T69"/>
      <c r="U69"/>
      <c r="V69" s="11"/>
      <c r="AI69" s="228"/>
      <c r="AP69" s="226"/>
    </row>
    <row r="70" spans="1:42" s="145" customFormat="1">
      <c r="A70"/>
      <c r="B70" s="72"/>
      <c r="C70" t="s">
        <v>1640</v>
      </c>
      <c r="D70" s="1098"/>
      <c r="E70"/>
      <c r="F70"/>
      <c r="G70" s="825"/>
      <c r="H70" s="825"/>
      <c r="J70" s="825"/>
      <c r="L70" s="1088" t="s">
        <v>1763</v>
      </c>
      <c r="M70" s="825"/>
      <c r="N70" s="825"/>
      <c r="O70" s="825"/>
      <c r="P70" s="825"/>
      <c r="Q70"/>
      <c r="R70"/>
      <c r="S70"/>
      <c r="T70"/>
      <c r="U70"/>
      <c r="V70" s="11"/>
      <c r="AI70" s="228"/>
      <c r="AP70" s="226"/>
    </row>
    <row r="71" spans="1:42" s="145" customFormat="1">
      <c r="A71"/>
      <c r="B71"/>
      <c r="C71" t="s">
        <v>1642</v>
      </c>
      <c r="D71" s="1098"/>
      <c r="E71"/>
      <c r="F71"/>
      <c r="G71" s="825"/>
      <c r="H71" s="825"/>
      <c r="J71" s="825"/>
      <c r="L71" s="1088" t="s">
        <v>1764</v>
      </c>
      <c r="M71" s="825"/>
      <c r="N71" s="825"/>
      <c r="O71" s="825"/>
      <c r="P71" s="825"/>
      <c r="Q71"/>
      <c r="R71"/>
      <c r="S71"/>
      <c r="T71"/>
      <c r="U71"/>
      <c r="V71" s="11"/>
      <c r="AI71" s="228"/>
      <c r="AP71" s="226"/>
    </row>
    <row r="72" spans="1:42" s="145" customFormat="1">
      <c r="A72"/>
      <c r="B72"/>
      <c r="C72" t="s">
        <v>1641</v>
      </c>
      <c r="D72" s="1098"/>
      <c r="E72"/>
      <c r="F72"/>
      <c r="G72" s="825"/>
      <c r="H72" s="825"/>
      <c r="J72" s="825"/>
      <c r="L72" s="1088" t="s">
        <v>1765</v>
      </c>
      <c r="M72" s="825"/>
      <c r="N72" s="825"/>
      <c r="O72" s="825"/>
      <c r="P72" s="825"/>
      <c r="Q72"/>
      <c r="R72"/>
      <c r="S72"/>
      <c r="T72"/>
      <c r="U72"/>
      <c r="V72" s="11"/>
      <c r="AI72" s="228"/>
      <c r="AP72" s="226"/>
    </row>
    <row r="73" spans="1:42" s="145" customFormat="1">
      <c r="A73"/>
      <c r="B73"/>
      <c r="AI73" s="228"/>
      <c r="AP73" s="226"/>
    </row>
    <row r="74" spans="1:42" s="145" customFormat="1">
      <c r="A74"/>
      <c r="B74" t="s">
        <v>1747</v>
      </c>
      <c r="C74" s="726" t="s">
        <v>1749</v>
      </c>
      <c r="D74" s="1098"/>
      <c r="E74"/>
      <c r="F74"/>
      <c r="G74" s="825"/>
      <c r="H74" s="825"/>
      <c r="I74" s="825"/>
      <c r="J74" s="825"/>
      <c r="K74" s="825"/>
      <c r="L74" s="825"/>
      <c r="M74" s="825"/>
      <c r="N74" s="825"/>
      <c r="O74" s="825"/>
      <c r="P74" s="825"/>
      <c r="Q74"/>
      <c r="R74"/>
      <c r="S74"/>
      <c r="T74"/>
      <c r="U74"/>
      <c r="V74" s="11"/>
    </row>
    <row r="75" spans="1:42" s="145" customFormat="1">
      <c r="A75"/>
      <c r="B75"/>
      <c r="C75" t="s">
        <v>1753</v>
      </c>
      <c r="D75" s="1098"/>
      <c r="E75"/>
      <c r="F75"/>
      <c r="G75" s="825"/>
      <c r="H75" s="825"/>
      <c r="I75" s="825"/>
      <c r="J75" s="825"/>
      <c r="K75" s="825"/>
      <c r="L75" s="825"/>
      <c r="M75" s="825"/>
      <c r="N75" s="825"/>
      <c r="O75" s="825"/>
      <c r="P75" s="825"/>
      <c r="Q75"/>
      <c r="R75"/>
      <c r="S75"/>
      <c r="T75"/>
      <c r="U75"/>
    </row>
    <row r="76" spans="1:42">
      <c r="C76" t="s">
        <v>1752</v>
      </c>
    </row>
    <row r="77" spans="1:42">
      <c r="C77" t="s">
        <v>1748</v>
      </c>
    </row>
    <row r="78" spans="1:42">
      <c r="C78" t="s">
        <v>1750</v>
      </c>
    </row>
    <row r="80" spans="1:42">
      <c r="B80" t="s">
        <v>1754</v>
      </c>
      <c r="C80" t="s">
        <v>1756</v>
      </c>
    </row>
    <row r="81" spans="3:6">
      <c r="C81" s="1167" t="s">
        <v>1755</v>
      </c>
    </row>
    <row r="82" spans="3:6">
      <c r="C82" s="1167" t="s">
        <v>1757</v>
      </c>
      <c r="D82" s="1167"/>
      <c r="E82" s="1167"/>
      <c r="F82" s="1167"/>
    </row>
    <row r="83" spans="3:6">
      <c r="C83" t="s">
        <v>1758</v>
      </c>
    </row>
    <row r="140" spans="5:5">
      <c r="E140">
        <f>'Livestock parameters'!B23*'Livestock parameters'!N23*INPUTS!D19</f>
        <v>0</v>
      </c>
    </row>
  </sheetData>
  <sheetProtection selectLockedCells="1"/>
  <hyperlinks>
    <hyperlink ref="V66" r:id="rId1"/>
  </hyperlinks>
  <pageMargins left="0.7" right="0.7" top="0.75" bottom="0.75" header="0.3" footer="0.3"/>
  <pageSetup paperSize="9" orientation="portrait" r:id="rId2"/>
  <ignoredErrors>
    <ignoredError sqref="G34 G29:G31 G20 G26 G23:G24" unlocked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0" tint="-0.499984740745262"/>
  </sheetPr>
  <dimension ref="A1:H23"/>
  <sheetViews>
    <sheetView workbookViewId="0">
      <selection activeCell="G9" sqref="G9"/>
    </sheetView>
  </sheetViews>
  <sheetFormatPr defaultRowHeight="15.75"/>
  <cols>
    <col min="1" max="1" width="12.75" customWidth="1"/>
    <col min="2" max="2" width="15.875" bestFit="1" customWidth="1"/>
    <col min="3" max="3" width="13" customWidth="1"/>
    <col min="4" max="4" width="16.5" customWidth="1"/>
    <col min="7" max="7" width="25.5" customWidth="1"/>
  </cols>
  <sheetData>
    <row r="1" spans="1:8" ht="16.5" thickBot="1">
      <c r="B1" s="416"/>
      <c r="C1" s="117"/>
      <c r="D1" s="416"/>
      <c r="E1" s="416"/>
      <c r="F1" s="307"/>
      <c r="G1" s="1053"/>
      <c r="H1" s="1054"/>
    </row>
    <row r="2" spans="1:8" ht="31.5">
      <c r="A2" s="1365" t="s">
        <v>759</v>
      </c>
      <c r="B2" s="424" t="s">
        <v>794</v>
      </c>
      <c r="C2" s="1369" t="s">
        <v>791</v>
      </c>
      <c r="D2" s="352">
        <v>1400</v>
      </c>
      <c r="G2" s="1053"/>
      <c r="H2" s="1054"/>
    </row>
    <row r="3" spans="1:8">
      <c r="A3" s="1366"/>
      <c r="B3" s="1374" t="s">
        <v>990</v>
      </c>
      <c r="C3" s="1370" t="s">
        <v>1057</v>
      </c>
      <c r="D3" s="653">
        <v>7</v>
      </c>
      <c r="G3" s="1053"/>
      <c r="H3" s="1054"/>
    </row>
    <row r="4" spans="1:8">
      <c r="A4" s="1366"/>
      <c r="B4" s="900" t="s">
        <v>796</v>
      </c>
      <c r="C4" s="1368" t="s">
        <v>792</v>
      </c>
      <c r="D4" s="653" t="s">
        <v>849</v>
      </c>
      <c r="G4" s="1053"/>
      <c r="H4" s="1054"/>
    </row>
    <row r="5" spans="1:8">
      <c r="A5" s="1366"/>
      <c r="B5" s="900" t="s">
        <v>795</v>
      </c>
      <c r="C5" s="1368" t="s">
        <v>793</v>
      </c>
      <c r="D5" s="653">
        <v>0.3</v>
      </c>
      <c r="G5" s="1053"/>
      <c r="H5" s="1054"/>
    </row>
    <row r="6" spans="1:8">
      <c r="A6" s="1366"/>
      <c r="B6" s="900" t="s">
        <v>797</v>
      </c>
      <c r="C6" s="1368" t="s">
        <v>793</v>
      </c>
      <c r="D6" s="653">
        <v>1.3</v>
      </c>
      <c r="G6" s="1053" t="s">
        <v>922</v>
      </c>
      <c r="H6" s="1054"/>
    </row>
    <row r="7" spans="1:8">
      <c r="A7" s="1366"/>
      <c r="B7" s="900" t="s">
        <v>879</v>
      </c>
      <c r="C7" s="1368" t="s">
        <v>83</v>
      </c>
      <c r="D7" s="354">
        <v>34</v>
      </c>
      <c r="G7" s="1053"/>
      <c r="H7" s="1054"/>
    </row>
    <row r="8" spans="1:8">
      <c r="A8" s="1366"/>
      <c r="B8" s="1375" t="s">
        <v>1056</v>
      </c>
      <c r="C8" s="165" t="s">
        <v>884</v>
      </c>
      <c r="D8" s="354">
        <v>1.5</v>
      </c>
      <c r="G8" s="1053"/>
      <c r="H8" s="1054"/>
    </row>
    <row r="9" spans="1:8" ht="16.5" thickBot="1">
      <c r="A9" s="1367"/>
      <c r="B9" s="620" t="s">
        <v>1058</v>
      </c>
      <c r="C9" s="238" t="s">
        <v>887</v>
      </c>
      <c r="D9" s="684">
        <v>2</v>
      </c>
      <c r="G9" s="1053"/>
      <c r="H9" s="1054"/>
    </row>
    <row r="10" spans="1:8" ht="19.5" thickBot="1">
      <c r="B10" s="1372" t="s">
        <v>1266</v>
      </c>
      <c r="C10" s="1373" t="s">
        <v>1267</v>
      </c>
      <c r="D10" s="1376">
        <v>1460</v>
      </c>
      <c r="G10" s="1054"/>
      <c r="H10" s="1054"/>
    </row>
    <row r="12" spans="1:8" ht="16.5" thickBot="1"/>
    <row r="13" spans="1:8" ht="30">
      <c r="A13" s="1054"/>
      <c r="B13" s="1055"/>
      <c r="C13" s="1460"/>
      <c r="D13" s="1056" t="s">
        <v>1356</v>
      </c>
      <c r="E13" s="1057" t="s">
        <v>1357</v>
      </c>
      <c r="F13" s="1057" t="s">
        <v>664</v>
      </c>
      <c r="G13" s="1058" t="s">
        <v>702</v>
      </c>
    </row>
    <row r="14" spans="1:8" ht="30">
      <c r="A14" s="1054"/>
      <c r="B14" s="1055"/>
      <c r="C14" s="1461"/>
      <c r="D14" s="767"/>
      <c r="E14" s="767" t="s">
        <v>1358</v>
      </c>
      <c r="F14" s="767" t="s">
        <v>664</v>
      </c>
      <c r="G14" s="768" t="s">
        <v>711</v>
      </c>
    </row>
    <row r="15" spans="1:8" ht="45">
      <c r="A15" s="1054"/>
      <c r="B15" s="1055"/>
      <c r="C15" s="1461"/>
      <c r="D15" s="767"/>
      <c r="E15" s="767" t="s">
        <v>1359</v>
      </c>
      <c r="F15" s="767" t="s">
        <v>664</v>
      </c>
      <c r="G15" s="768" t="s">
        <v>721</v>
      </c>
    </row>
    <row r="16" spans="1:8" ht="30">
      <c r="A16" s="1054"/>
      <c r="B16" s="1055"/>
      <c r="C16" s="1461"/>
      <c r="D16" s="767" t="s">
        <v>1360</v>
      </c>
      <c r="E16" s="767" t="s">
        <v>1361</v>
      </c>
      <c r="F16" s="767" t="s">
        <v>594</v>
      </c>
      <c r="G16" s="768" t="s">
        <v>734</v>
      </c>
    </row>
    <row r="17" spans="1:7" ht="90">
      <c r="A17" s="1054"/>
      <c r="B17" s="1055"/>
      <c r="C17" s="1461"/>
      <c r="D17" s="767"/>
      <c r="E17" s="767" t="s">
        <v>1362</v>
      </c>
      <c r="F17" s="767" t="s">
        <v>664</v>
      </c>
      <c r="G17" s="768" t="s">
        <v>740</v>
      </c>
    </row>
    <row r="18" spans="1:7" ht="45">
      <c r="A18" s="1054"/>
      <c r="B18" s="1055"/>
      <c r="C18" s="1461"/>
      <c r="D18" s="769" t="s">
        <v>1363</v>
      </c>
      <c r="E18" s="769" t="s">
        <v>1364</v>
      </c>
      <c r="F18" s="769" t="s">
        <v>125</v>
      </c>
      <c r="G18" s="768">
        <v>0</v>
      </c>
    </row>
    <row r="19" spans="1:7" ht="45.75" thickBot="1">
      <c r="A19" s="1054"/>
      <c r="B19" s="1055"/>
      <c r="C19" s="1462"/>
      <c r="D19" s="770" t="s">
        <v>1365</v>
      </c>
      <c r="E19" s="770" t="s">
        <v>1366</v>
      </c>
      <c r="F19" s="770" t="s">
        <v>1216</v>
      </c>
      <c r="G19" s="788">
        <v>0</v>
      </c>
    </row>
    <row r="20" spans="1:7">
      <c r="A20" s="1054"/>
      <c r="B20" s="1054"/>
    </row>
    <row r="21" spans="1:7">
      <c r="A21" s="1054"/>
      <c r="B21" s="1054"/>
    </row>
    <row r="22" spans="1:7">
      <c r="A22" s="1054"/>
      <c r="B22" s="1054"/>
    </row>
    <row r="23" spans="1:7">
      <c r="A23" s="1054"/>
      <c r="B23" s="1054"/>
    </row>
  </sheetData>
  <sheetProtection selectLockedCells="1"/>
  <mergeCells count="1">
    <mergeCell ref="C13:C19"/>
  </mergeCells>
  <dataValidations count="1">
    <dataValidation type="list" allowBlank="1" showInputMessage="1" showErrorMessage="1" sqref="D4">
      <formula1>Soil_class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'SOC parameters'!$E$6:$E$15</xm:f>
          </x14:formula1>
          <xm:sqref>G13</xm:sqref>
        </x14:dataValidation>
        <x14:dataValidation type="list" allowBlank="1" showInputMessage="1" showErrorMessage="1">
          <x14:formula1>
            <xm:f>'SOC parameters'!$E$16:$E$26</xm:f>
          </x14:formula1>
          <xm:sqref>G14</xm:sqref>
        </x14:dataValidation>
        <x14:dataValidation type="list" allowBlank="1" showInputMessage="1" showErrorMessage="1">
          <x14:formula1>
            <xm:f>'SOC parameters'!$E$27:$E$38</xm:f>
          </x14:formula1>
          <xm:sqref>G15</xm:sqref>
        </x14:dataValidation>
        <x14:dataValidation type="list" allowBlank="1" showInputMessage="1" showErrorMessage="1">
          <x14:formula1>
            <xm:f>'SOC parameters'!$D$45:$D$52</xm:f>
          </x14:formula1>
          <xm:sqref>G16</xm:sqref>
        </x14:dataValidation>
        <x14:dataValidation type="list" allowBlank="1" showInputMessage="1" showErrorMessage="1">
          <x14:formula1>
            <xm:f>'SOC parameters'!$D$53:$D$55</xm:f>
          </x14:formula1>
          <xm:sqref>G17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>
    <tabColor theme="0" tint="-0.499984740745262"/>
  </sheetPr>
  <dimension ref="A1:Z55"/>
  <sheetViews>
    <sheetView zoomScale="70" zoomScaleNormal="70" workbookViewId="0">
      <selection activeCell="E48" sqref="E48"/>
    </sheetView>
  </sheetViews>
  <sheetFormatPr defaultColWidth="8.875" defaultRowHeight="15.75"/>
  <cols>
    <col min="1" max="1" width="32.875" customWidth="1"/>
    <col min="2" max="3" width="8.875" style="63"/>
    <col min="4" max="4" width="13.25" style="63" bestFit="1" customWidth="1"/>
    <col min="5" max="7" width="8.875" style="63"/>
    <col min="8" max="8" width="13.25" style="63" bestFit="1" customWidth="1"/>
    <col min="9" max="20" width="8.875" style="63"/>
    <col min="21" max="21" width="11.875" style="63" bestFit="1" customWidth="1"/>
    <col min="22" max="22" width="11.625" style="12" customWidth="1"/>
    <col min="23" max="26" width="8.875" customWidth="1"/>
  </cols>
  <sheetData>
    <row r="1" spans="1:26">
      <c r="B1" s="1463" t="s">
        <v>1125</v>
      </c>
      <c r="C1" s="1463"/>
      <c r="D1" s="1463"/>
    </row>
    <row r="2" spans="1:26" ht="94.5">
      <c r="A2" s="454" t="s">
        <v>624</v>
      </c>
      <c r="B2" s="704" t="s">
        <v>1674</v>
      </c>
      <c r="C2" s="704" t="s">
        <v>995</v>
      </c>
      <c r="D2" s="704" t="s">
        <v>996</v>
      </c>
      <c r="E2" s="704" t="s">
        <v>643</v>
      </c>
      <c r="F2" s="704" t="s">
        <v>997</v>
      </c>
      <c r="G2" s="704" t="s">
        <v>1003</v>
      </c>
      <c r="H2" s="704" t="s">
        <v>998</v>
      </c>
      <c r="I2" s="704" t="s">
        <v>1001</v>
      </c>
      <c r="J2" s="704" t="s">
        <v>999</v>
      </c>
      <c r="K2" s="704" t="s">
        <v>1002</v>
      </c>
      <c r="L2" s="704" t="s">
        <v>771</v>
      </c>
      <c r="M2" s="704" t="s">
        <v>1000</v>
      </c>
      <c r="N2" s="704" t="s">
        <v>953</v>
      </c>
      <c r="O2" s="704" t="s">
        <v>1004</v>
      </c>
      <c r="P2" s="704" t="s">
        <v>954</v>
      </c>
      <c r="Q2" s="704" t="s">
        <v>952</v>
      </c>
      <c r="R2" s="45" t="s">
        <v>1866</v>
      </c>
      <c r="S2" s="45" t="s">
        <v>1256</v>
      </c>
      <c r="T2" s="68" t="s">
        <v>1257</v>
      </c>
      <c r="U2" s="219" t="s">
        <v>1258</v>
      </c>
      <c r="V2" s="30" t="s">
        <v>1378</v>
      </c>
      <c r="W2" s="103" t="s">
        <v>1379</v>
      </c>
      <c r="X2" s="103" t="s">
        <v>1380</v>
      </c>
      <c r="Y2" s="103" t="s">
        <v>1381</v>
      </c>
      <c r="Z2" s="103" t="s">
        <v>1382</v>
      </c>
    </row>
    <row r="3" spans="1:26" hidden="1">
      <c r="A3" s="1377" t="s">
        <v>1581</v>
      </c>
      <c r="B3" s="1378"/>
      <c r="C3" s="1378">
        <v>0.26</v>
      </c>
      <c r="D3" s="1400">
        <f>B3*C3</f>
        <v>0</v>
      </c>
      <c r="E3" s="1379"/>
      <c r="F3" s="703">
        <f>IFERROR(B3*((1-E3)/E3), )</f>
        <v>0</v>
      </c>
      <c r="G3" s="703">
        <f>1-(O3/100)</f>
        <v>1</v>
      </c>
      <c r="H3" s="703">
        <f>F3*G3</f>
        <v>0</v>
      </c>
      <c r="I3" s="704">
        <f>K3*(D3*1000)</f>
        <v>0</v>
      </c>
      <c r="J3" s="1380">
        <v>1.7600000000000001E-2</v>
      </c>
      <c r="K3" s="1380">
        <v>1.7600000000000001E-2</v>
      </c>
      <c r="L3" s="1380"/>
      <c r="M3" s="706">
        <f>IF(ISNUMBER(SEARCH("legume",V3)),0.5*(K3*H3+J3*D3)*1000,0)</f>
        <v>0</v>
      </c>
      <c r="N3" s="1380"/>
      <c r="O3" s="1380"/>
      <c r="P3" s="704">
        <f>(N3*100)/(100-O3)</f>
        <v>0</v>
      </c>
      <c r="Q3" s="1379"/>
      <c r="R3" s="1380">
        <v>0.6</v>
      </c>
      <c r="S3" s="1380">
        <v>1.1000000000000001</v>
      </c>
      <c r="T3" s="1380">
        <v>1.05</v>
      </c>
      <c r="U3" s="1401">
        <f t="shared" ref="U3:U43" si="0">AVERAGE(R3:T3)</f>
        <v>0.91666666666666663</v>
      </c>
      <c r="V3" s="1379" t="s">
        <v>1369</v>
      </c>
      <c r="W3" s="1380"/>
      <c r="X3" s="1380"/>
      <c r="Y3" s="1380"/>
      <c r="Z3" s="1379"/>
    </row>
    <row r="4" spans="1:26" hidden="1">
      <c r="A4" s="1381" t="s">
        <v>1135</v>
      </c>
      <c r="B4" s="1380"/>
      <c r="C4" s="1380">
        <v>0.26</v>
      </c>
      <c r="D4" s="1400">
        <f t="shared" ref="D4:D43" si="1">B4*C4</f>
        <v>0</v>
      </c>
      <c r="E4" s="1379"/>
      <c r="F4" s="703">
        <f t="shared" ref="F4:F43" si="2">IFERROR(B4*((1-E4)/E4), )</f>
        <v>0</v>
      </c>
      <c r="G4" s="703">
        <f t="shared" ref="G4:G43" si="3">1-(O4/100)</f>
        <v>1</v>
      </c>
      <c r="H4" s="703">
        <f t="shared" ref="H4:H43" si="4">F4*G4</f>
        <v>0</v>
      </c>
      <c r="I4" s="704">
        <f t="shared" ref="I4:I43" si="5">K4*(D4*1000)</f>
        <v>0</v>
      </c>
      <c r="J4" s="1382">
        <v>2.2400000000000003E-2</v>
      </c>
      <c r="K4" s="1382">
        <v>2.2400000000000003E-2</v>
      </c>
      <c r="L4" s="1383"/>
      <c r="M4" s="706">
        <f t="shared" ref="M4:M43" si="6">IF(ISNUMBER(SEARCH("legume",V4)),0.5*(K4*H4+J4*D4)*1000,0)</f>
        <v>0</v>
      </c>
      <c r="N4" s="1382"/>
      <c r="O4" s="1383"/>
      <c r="P4" s="704">
        <f t="shared" ref="P4:P43" si="7">(N4*100)/(100-O4)</f>
        <v>0</v>
      </c>
      <c r="Q4" s="1379"/>
      <c r="R4" s="1382">
        <v>0.6</v>
      </c>
      <c r="S4" s="1382">
        <v>1.1000000000000001</v>
      </c>
      <c r="T4" s="1383">
        <v>1.05</v>
      </c>
      <c r="U4" s="1401">
        <f t="shared" si="0"/>
        <v>0.91666666666666663</v>
      </c>
      <c r="V4" s="1379" t="s">
        <v>1369</v>
      </c>
      <c r="W4" s="1382"/>
      <c r="X4" s="1382"/>
      <c r="Y4" s="1383"/>
      <c r="Z4" s="1379"/>
    </row>
    <row r="5" spans="1:26" hidden="1">
      <c r="A5" s="1384" t="s">
        <v>1127</v>
      </c>
      <c r="B5" s="1380">
        <v>1.33</v>
      </c>
      <c r="C5" s="1380">
        <v>0.8</v>
      </c>
      <c r="D5" s="1400">
        <f t="shared" si="1"/>
        <v>1.0640000000000001</v>
      </c>
      <c r="E5" s="1379">
        <v>0.47</v>
      </c>
      <c r="F5" s="703">
        <f t="shared" si="2"/>
        <v>1.4997872340425535</v>
      </c>
      <c r="G5" s="703">
        <f t="shared" si="3"/>
        <v>0.89629999999999999</v>
      </c>
      <c r="H5" s="703">
        <f t="shared" si="4"/>
        <v>1.3442592978723407</v>
      </c>
      <c r="I5" s="704">
        <f t="shared" si="5"/>
        <v>7.4480000000000004</v>
      </c>
      <c r="J5" s="1385">
        <v>1.7000000000000001E-2</v>
      </c>
      <c r="K5" s="1386">
        <v>7.0000000000000001E-3</v>
      </c>
      <c r="L5" s="1380">
        <v>0.05</v>
      </c>
      <c r="M5" s="706">
        <f t="shared" si="6"/>
        <v>0</v>
      </c>
      <c r="N5" s="1386">
        <v>365</v>
      </c>
      <c r="O5" s="1380">
        <v>10.37</v>
      </c>
      <c r="P5" s="704">
        <f t="shared" si="7"/>
        <v>407.22972219123062</v>
      </c>
      <c r="Q5" s="1379">
        <v>20314</v>
      </c>
      <c r="R5" s="1385">
        <v>0.15</v>
      </c>
      <c r="S5" s="1386">
        <v>1.1499999999999999</v>
      </c>
      <c r="T5" s="1380">
        <v>0.3</v>
      </c>
      <c r="U5" s="1401">
        <f t="shared" si="0"/>
        <v>0.53333333333333333</v>
      </c>
      <c r="V5" s="1379" t="s">
        <v>1831</v>
      </c>
      <c r="W5" s="1385"/>
      <c r="X5" s="1386"/>
      <c r="Y5" s="1380"/>
      <c r="Z5" s="1379"/>
    </row>
    <row r="6" spans="1:26" hidden="1">
      <c r="A6" s="1387" t="s">
        <v>1585</v>
      </c>
      <c r="B6" s="1380"/>
      <c r="C6" s="1380"/>
      <c r="D6" s="1400">
        <f t="shared" si="1"/>
        <v>0</v>
      </c>
      <c r="E6" s="1379"/>
      <c r="F6" s="703">
        <f t="shared" si="2"/>
        <v>0</v>
      </c>
      <c r="G6" s="703">
        <f t="shared" si="3"/>
        <v>1</v>
      </c>
      <c r="H6" s="703">
        <f t="shared" si="4"/>
        <v>0</v>
      </c>
      <c r="I6" s="704">
        <f t="shared" si="5"/>
        <v>0</v>
      </c>
      <c r="J6" s="1382">
        <v>3.56E-2</v>
      </c>
      <c r="K6" s="1382">
        <v>3.56E-2</v>
      </c>
      <c r="L6" s="1380"/>
      <c r="M6" s="706">
        <f t="shared" si="6"/>
        <v>0</v>
      </c>
      <c r="N6" s="1382"/>
      <c r="O6" s="1380"/>
      <c r="P6" s="704">
        <f t="shared" si="7"/>
        <v>0</v>
      </c>
      <c r="Q6" s="1379"/>
      <c r="R6" s="1382">
        <v>1.05</v>
      </c>
      <c r="S6" s="1382">
        <v>1.1000000000000001</v>
      </c>
      <c r="T6" s="1380">
        <v>1.1000000000000001</v>
      </c>
      <c r="U6" s="1401">
        <f t="shared" si="0"/>
        <v>1.0833333333333335</v>
      </c>
      <c r="V6" s="1379" t="s">
        <v>1832</v>
      </c>
      <c r="W6" s="1382">
        <v>3000</v>
      </c>
      <c r="X6" s="1382">
        <v>18</v>
      </c>
      <c r="Y6" s="1380">
        <v>2</v>
      </c>
      <c r="Z6" s="1379"/>
    </row>
    <row r="7" spans="1:26" s="145" customFormat="1" hidden="1">
      <c r="A7" s="1388" t="s">
        <v>642</v>
      </c>
      <c r="B7" s="1378">
        <v>1.22</v>
      </c>
      <c r="C7" s="1378">
        <v>0.95</v>
      </c>
      <c r="D7" s="1400">
        <f t="shared" si="1"/>
        <v>1.159</v>
      </c>
      <c r="E7" s="1379">
        <v>0.28999999999999998</v>
      </c>
      <c r="F7" s="703">
        <f t="shared" si="2"/>
        <v>2.9868965517241381</v>
      </c>
      <c r="G7" s="703">
        <f t="shared" si="3"/>
        <v>0.93500000000000005</v>
      </c>
      <c r="H7" s="703">
        <f t="shared" si="4"/>
        <v>2.7927482758620692</v>
      </c>
      <c r="I7" s="704">
        <f t="shared" si="5"/>
        <v>13.907999999999999</v>
      </c>
      <c r="J7" s="1380">
        <v>3.6999999999999998E-2</v>
      </c>
      <c r="K7" s="1380">
        <v>1.2E-2</v>
      </c>
      <c r="L7" s="1380">
        <v>0.11700000000000001</v>
      </c>
      <c r="M7" s="706">
        <f t="shared" si="6"/>
        <v>38.197989655172421</v>
      </c>
      <c r="N7" s="1380">
        <v>567</v>
      </c>
      <c r="O7" s="1380">
        <v>6.5</v>
      </c>
      <c r="P7" s="704">
        <f t="shared" si="7"/>
        <v>606.4171122994652</v>
      </c>
      <c r="Q7" s="1379">
        <v>16067</v>
      </c>
      <c r="R7" s="1380">
        <v>0.15</v>
      </c>
      <c r="S7" s="1380">
        <v>1.1499999999999999</v>
      </c>
      <c r="T7" s="1380">
        <v>0.6</v>
      </c>
      <c r="U7" s="1401">
        <f t="shared" si="0"/>
        <v>0.6333333333333333</v>
      </c>
      <c r="V7" s="1379" t="s">
        <v>1734</v>
      </c>
      <c r="W7" s="1380"/>
      <c r="X7" s="1380"/>
      <c r="Y7" s="1380"/>
      <c r="Z7" s="1379"/>
    </row>
    <row r="8" spans="1:26" s="145" customFormat="1" hidden="1">
      <c r="A8" s="1381" t="s">
        <v>1586</v>
      </c>
      <c r="B8" s="1378"/>
      <c r="C8" s="1380"/>
      <c r="D8" s="1400">
        <f t="shared" si="1"/>
        <v>0</v>
      </c>
      <c r="E8" s="1379"/>
      <c r="F8" s="703">
        <f t="shared" si="2"/>
        <v>0</v>
      </c>
      <c r="G8" s="703">
        <f t="shared" si="3"/>
        <v>0.19200000000000006</v>
      </c>
      <c r="H8" s="703">
        <f t="shared" si="4"/>
        <v>0</v>
      </c>
      <c r="I8" s="704">
        <f t="shared" si="5"/>
        <v>0</v>
      </c>
      <c r="J8" s="1389">
        <v>2E-3</v>
      </c>
      <c r="K8" s="1380">
        <v>2.8000000000000001E-2</v>
      </c>
      <c r="L8" s="1380">
        <v>0.14599999999999999</v>
      </c>
      <c r="M8" s="706">
        <f t="shared" si="6"/>
        <v>0</v>
      </c>
      <c r="N8" s="1380">
        <v>68</v>
      </c>
      <c r="O8" s="1380">
        <v>80.8</v>
      </c>
      <c r="P8" s="704">
        <f t="shared" si="7"/>
        <v>354.16666666666663</v>
      </c>
      <c r="Q8" s="1379">
        <v>9139</v>
      </c>
      <c r="R8" s="1390">
        <v>1.05</v>
      </c>
      <c r="S8" s="1380">
        <v>1.1000000000000001</v>
      </c>
      <c r="T8" s="1380">
        <v>1.1000000000000001</v>
      </c>
      <c r="U8" s="1401">
        <f t="shared" si="0"/>
        <v>1.0833333333333335</v>
      </c>
      <c r="V8" s="1379" t="s">
        <v>1373</v>
      </c>
      <c r="W8" s="1390">
        <v>25</v>
      </c>
      <c r="X8" s="1380">
        <v>20</v>
      </c>
      <c r="Y8" s="1380"/>
      <c r="Z8" s="1379"/>
    </row>
    <row r="9" spans="1:26" hidden="1">
      <c r="A9" s="1388" t="s">
        <v>1658</v>
      </c>
      <c r="B9" s="1378"/>
      <c r="C9" s="1378"/>
      <c r="D9" s="1400">
        <f t="shared" si="1"/>
        <v>0</v>
      </c>
      <c r="E9" s="1379"/>
      <c r="F9" s="703">
        <f t="shared" si="2"/>
        <v>0</v>
      </c>
      <c r="G9" s="703">
        <f t="shared" si="3"/>
        <v>1</v>
      </c>
      <c r="H9" s="703">
        <f t="shared" si="4"/>
        <v>0</v>
      </c>
      <c r="I9" s="704">
        <f t="shared" si="5"/>
        <v>0</v>
      </c>
      <c r="J9" s="1391">
        <v>2.4E-2</v>
      </c>
      <c r="K9" s="1380"/>
      <c r="L9" s="1380"/>
      <c r="M9" s="706">
        <f t="shared" si="6"/>
        <v>0</v>
      </c>
      <c r="N9" s="1380"/>
      <c r="O9" s="1380"/>
      <c r="P9" s="704">
        <f t="shared" si="7"/>
        <v>0</v>
      </c>
      <c r="Q9" s="1379"/>
      <c r="R9" s="1380">
        <v>1.05</v>
      </c>
      <c r="S9" s="1380">
        <v>1.1000000000000001</v>
      </c>
      <c r="T9" s="1380">
        <v>1.1000000000000001</v>
      </c>
      <c r="U9" s="1401">
        <f t="shared" si="0"/>
        <v>1.0833333333333335</v>
      </c>
      <c r="V9" s="1379" t="s">
        <v>1832</v>
      </c>
      <c r="W9" s="1380">
        <v>10000</v>
      </c>
      <c r="X9" s="1380"/>
      <c r="Y9" s="1380"/>
      <c r="Z9" s="1379"/>
    </row>
    <row r="10" spans="1:26" s="1125" customFormat="1" hidden="1">
      <c r="A10" s="1388" t="s">
        <v>1587</v>
      </c>
      <c r="B10" s="1378"/>
      <c r="C10" s="1378"/>
      <c r="D10" s="1400">
        <f t="shared" si="1"/>
        <v>0</v>
      </c>
      <c r="E10" s="1379"/>
      <c r="F10" s="703">
        <f t="shared" si="2"/>
        <v>0</v>
      </c>
      <c r="G10" s="703">
        <f t="shared" si="3"/>
        <v>1</v>
      </c>
      <c r="H10" s="703">
        <f t="shared" si="4"/>
        <v>0</v>
      </c>
      <c r="I10" s="704">
        <f t="shared" si="5"/>
        <v>0</v>
      </c>
      <c r="J10" s="1390">
        <v>0.01</v>
      </c>
      <c r="K10" s="1382">
        <v>0.01</v>
      </c>
      <c r="L10" s="1380"/>
      <c r="M10" s="706">
        <f t="shared" si="6"/>
        <v>0</v>
      </c>
      <c r="N10" s="1380"/>
      <c r="O10" s="1380"/>
      <c r="P10" s="704">
        <f t="shared" si="7"/>
        <v>0</v>
      </c>
      <c r="Q10" s="1379"/>
      <c r="R10" s="1390">
        <v>0.3</v>
      </c>
      <c r="S10" s="1380">
        <v>0.75</v>
      </c>
      <c r="T10" s="1380">
        <v>0.75</v>
      </c>
      <c r="U10" s="1401">
        <f t="shared" si="0"/>
        <v>0.6</v>
      </c>
      <c r="V10" s="1379" t="s">
        <v>1369</v>
      </c>
      <c r="W10" s="1390"/>
      <c r="X10" s="1380"/>
      <c r="Y10" s="1380"/>
      <c r="Z10" s="1379"/>
    </row>
    <row r="11" spans="1:26" s="1114" customFormat="1" hidden="1">
      <c r="A11" s="1392" t="s">
        <v>1669</v>
      </c>
      <c r="B11" s="1380"/>
      <c r="C11" s="1380"/>
      <c r="D11" s="1400">
        <f t="shared" si="1"/>
        <v>0</v>
      </c>
      <c r="E11" s="1379"/>
      <c r="F11" s="703">
        <f t="shared" si="2"/>
        <v>0</v>
      </c>
      <c r="G11" s="703">
        <f t="shared" si="3"/>
        <v>1</v>
      </c>
      <c r="H11" s="703">
        <f t="shared" si="4"/>
        <v>0</v>
      </c>
      <c r="I11" s="704">
        <f t="shared" si="5"/>
        <v>0</v>
      </c>
      <c r="J11" s="1390">
        <v>0.01</v>
      </c>
      <c r="K11" s="1382">
        <v>0.01</v>
      </c>
      <c r="L11" s="1380"/>
      <c r="M11" s="706">
        <f t="shared" si="6"/>
        <v>0</v>
      </c>
      <c r="N11" s="1382"/>
      <c r="O11" s="1380"/>
      <c r="P11" s="704">
        <f t="shared" si="7"/>
        <v>0</v>
      </c>
      <c r="Q11" s="1379"/>
      <c r="R11" s="1390">
        <v>0.3</v>
      </c>
      <c r="S11" s="1382">
        <v>0.75</v>
      </c>
      <c r="T11" s="1380">
        <v>0.75</v>
      </c>
      <c r="U11" s="1401">
        <f t="shared" si="0"/>
        <v>0.6</v>
      </c>
      <c r="V11" s="1379" t="s">
        <v>1369</v>
      </c>
      <c r="W11" s="1390"/>
      <c r="X11" s="1382"/>
      <c r="Y11" s="1380"/>
      <c r="Z11" s="1379"/>
    </row>
    <row r="12" spans="1:26" hidden="1">
      <c r="A12" s="1387" t="s">
        <v>1603</v>
      </c>
      <c r="B12" s="1380">
        <v>1.843</v>
      </c>
      <c r="C12" s="1380">
        <v>0.88</v>
      </c>
      <c r="D12" s="1400">
        <f t="shared" si="1"/>
        <v>1.6218399999999999</v>
      </c>
      <c r="E12" s="1379">
        <v>0.5</v>
      </c>
      <c r="F12" s="703">
        <f t="shared" si="2"/>
        <v>1.843</v>
      </c>
      <c r="G12" s="703">
        <f t="shared" si="3"/>
        <v>0.89410000000000001</v>
      </c>
      <c r="H12" s="703">
        <f t="shared" si="4"/>
        <v>1.6478263</v>
      </c>
      <c r="I12" s="704">
        <f t="shared" si="5"/>
        <v>64.873599999999996</v>
      </c>
      <c r="J12" s="1390">
        <v>4.0000000000000001E-3</v>
      </c>
      <c r="K12" s="1382">
        <v>0.04</v>
      </c>
      <c r="L12" s="1380"/>
      <c r="M12" s="706">
        <f t="shared" si="6"/>
        <v>36.200206000000001</v>
      </c>
      <c r="N12" s="1382">
        <v>343</v>
      </c>
      <c r="O12" s="1380">
        <v>10.59</v>
      </c>
      <c r="P12" s="704">
        <f t="shared" si="7"/>
        <v>383.62599261827535</v>
      </c>
      <c r="Q12" s="1379">
        <v>16101</v>
      </c>
      <c r="R12" s="1390">
        <v>0.15</v>
      </c>
      <c r="S12" s="1382">
        <v>1.1000000000000001</v>
      </c>
      <c r="T12" s="1380">
        <v>0.25</v>
      </c>
      <c r="U12" s="1401">
        <f t="shared" si="0"/>
        <v>0.5</v>
      </c>
      <c r="V12" s="1379" t="s">
        <v>1734</v>
      </c>
      <c r="W12" s="1390"/>
      <c r="X12" s="1382"/>
      <c r="Y12" s="1380"/>
      <c r="Z12" s="1379"/>
    </row>
    <row r="13" spans="1:26" hidden="1">
      <c r="A13" s="1384" t="s">
        <v>910</v>
      </c>
      <c r="B13" s="1378"/>
      <c r="C13" s="1378"/>
      <c r="D13" s="1400">
        <f t="shared" si="1"/>
        <v>0</v>
      </c>
      <c r="E13" s="1379"/>
      <c r="F13" s="703">
        <f t="shared" si="2"/>
        <v>0</v>
      </c>
      <c r="G13" s="703">
        <f t="shared" si="3"/>
        <v>1</v>
      </c>
      <c r="H13" s="703">
        <f t="shared" si="4"/>
        <v>0</v>
      </c>
      <c r="I13" s="704">
        <f t="shared" si="5"/>
        <v>0</v>
      </c>
      <c r="J13" s="1390">
        <v>3.4000000000000002E-2</v>
      </c>
      <c r="K13" s="1380">
        <v>3.4000000000000002E-2</v>
      </c>
      <c r="L13" s="1380"/>
      <c r="M13" s="706">
        <f t="shared" si="6"/>
        <v>0</v>
      </c>
      <c r="N13" s="1380"/>
      <c r="O13" s="1380"/>
      <c r="P13" s="704">
        <f t="shared" si="7"/>
        <v>0</v>
      </c>
      <c r="Q13" s="1379"/>
      <c r="R13" s="1390">
        <v>1.05</v>
      </c>
      <c r="S13" s="1380">
        <v>1.1000000000000001</v>
      </c>
      <c r="T13" s="1380">
        <v>1.1000000000000001</v>
      </c>
      <c r="U13" s="1401">
        <f t="shared" si="0"/>
        <v>1.0833333333333335</v>
      </c>
      <c r="V13" s="1379" t="s">
        <v>1832</v>
      </c>
      <c r="W13" s="1390">
        <v>400</v>
      </c>
      <c r="X13" s="1380">
        <v>18</v>
      </c>
      <c r="Y13" s="1380">
        <v>3</v>
      </c>
      <c r="Z13" s="1379"/>
    </row>
    <row r="14" spans="1:26">
      <c r="A14" s="1388" t="s">
        <v>375</v>
      </c>
      <c r="B14" s="1378">
        <v>4.33</v>
      </c>
      <c r="C14" s="1378">
        <v>0.3</v>
      </c>
      <c r="D14" s="1400">
        <f t="shared" si="1"/>
        <v>1.2989999999999999</v>
      </c>
      <c r="E14" s="1379">
        <v>0.52</v>
      </c>
      <c r="F14" s="703">
        <f t="shared" si="2"/>
        <v>3.9969230769230766</v>
      </c>
      <c r="G14" s="703">
        <f t="shared" si="3"/>
        <v>0.89629999999999999</v>
      </c>
      <c r="H14" s="703">
        <f t="shared" si="4"/>
        <v>3.5824421538461535</v>
      </c>
      <c r="I14" s="704">
        <f t="shared" si="5"/>
        <v>7.6900800000000009</v>
      </c>
      <c r="J14" s="1393">
        <v>1.2800000000000001E-2</v>
      </c>
      <c r="K14" s="1394">
        <v>5.9200000000000008E-3</v>
      </c>
      <c r="L14" s="1394">
        <v>0.1</v>
      </c>
      <c r="M14" s="706">
        <f t="shared" si="6"/>
        <v>0</v>
      </c>
      <c r="N14" s="1395">
        <v>365</v>
      </c>
      <c r="O14" s="1380">
        <v>10.37</v>
      </c>
      <c r="P14" s="704">
        <f t="shared" si="7"/>
        <v>407.22972219123062</v>
      </c>
      <c r="Q14" s="1396">
        <v>20314</v>
      </c>
      <c r="R14" s="1397">
        <v>0.15</v>
      </c>
      <c r="S14" s="1398">
        <v>1.2</v>
      </c>
      <c r="T14" s="1398">
        <v>0.6</v>
      </c>
      <c r="U14" s="1401">
        <f t="shared" si="0"/>
        <v>0.64999999999999991</v>
      </c>
      <c r="V14" s="1396" t="s">
        <v>1831</v>
      </c>
      <c r="W14" s="1397"/>
      <c r="X14" s="1398"/>
      <c r="Y14" s="1398"/>
      <c r="Z14" s="1396"/>
    </row>
    <row r="15" spans="1:26" s="1114" customFormat="1" hidden="1">
      <c r="A15" s="1388" t="s">
        <v>1672</v>
      </c>
      <c r="B15" s="1378">
        <v>40</v>
      </c>
      <c r="C15" s="1378">
        <v>0.25</v>
      </c>
      <c r="D15" s="1400">
        <f t="shared" si="1"/>
        <v>10</v>
      </c>
      <c r="E15" s="1379">
        <v>1</v>
      </c>
      <c r="F15" s="703">
        <f t="shared" si="2"/>
        <v>0</v>
      </c>
      <c r="G15" s="703">
        <f t="shared" si="3"/>
        <v>1</v>
      </c>
      <c r="H15" s="703">
        <f t="shared" si="4"/>
        <v>0</v>
      </c>
      <c r="I15" s="704">
        <f t="shared" si="5"/>
        <v>120</v>
      </c>
      <c r="J15" s="1390">
        <v>1.2E-2</v>
      </c>
      <c r="K15" s="1380">
        <v>1.2E-2</v>
      </c>
      <c r="L15" s="1380">
        <v>0.05</v>
      </c>
      <c r="M15" s="706">
        <f t="shared" si="6"/>
        <v>0</v>
      </c>
      <c r="N15" s="1380"/>
      <c r="O15" s="1380"/>
      <c r="P15" s="704">
        <f t="shared" si="7"/>
        <v>0</v>
      </c>
      <c r="Q15" s="1379"/>
      <c r="R15" s="1390">
        <v>0.15</v>
      </c>
      <c r="S15" s="1380">
        <v>1.1499999999999999</v>
      </c>
      <c r="T15" s="1380">
        <v>0.3</v>
      </c>
      <c r="U15" s="1401">
        <f t="shared" si="0"/>
        <v>0.53333333333333333</v>
      </c>
      <c r="V15" s="1379" t="s">
        <v>1831</v>
      </c>
      <c r="W15" s="1390"/>
      <c r="X15" s="1380"/>
      <c r="Y15" s="1380"/>
      <c r="Z15" s="1379"/>
    </row>
    <row r="16" spans="1:26" hidden="1">
      <c r="A16" s="1388" t="s">
        <v>1657</v>
      </c>
      <c r="B16" s="1378"/>
      <c r="C16" s="1378"/>
      <c r="D16" s="1400">
        <f t="shared" si="1"/>
        <v>0</v>
      </c>
      <c r="E16" s="1379"/>
      <c r="F16" s="703">
        <f t="shared" si="2"/>
        <v>0</v>
      </c>
      <c r="G16" s="703">
        <f t="shared" si="3"/>
        <v>1</v>
      </c>
      <c r="H16" s="703">
        <f t="shared" si="4"/>
        <v>0</v>
      </c>
      <c r="I16" s="704">
        <f t="shared" si="5"/>
        <v>0</v>
      </c>
      <c r="J16" s="1390">
        <v>3.7999999999999999E-2</v>
      </c>
      <c r="K16" s="1380">
        <v>3.7999999999999999E-2</v>
      </c>
      <c r="L16" s="1380"/>
      <c r="M16" s="706">
        <f t="shared" si="6"/>
        <v>0</v>
      </c>
      <c r="N16" s="1380"/>
      <c r="O16" s="1380"/>
      <c r="P16" s="704">
        <f t="shared" si="7"/>
        <v>0</v>
      </c>
      <c r="Q16" s="1379"/>
      <c r="R16" s="1390">
        <v>1.05</v>
      </c>
      <c r="S16" s="1380">
        <v>1.1000000000000001</v>
      </c>
      <c r="T16" s="1380">
        <v>1.1000000000000001</v>
      </c>
      <c r="U16" s="1401">
        <f t="shared" si="0"/>
        <v>1.0833333333333335</v>
      </c>
      <c r="V16" s="1379" t="s">
        <v>1832</v>
      </c>
      <c r="W16" s="1390">
        <v>80000</v>
      </c>
      <c r="X16" s="1380"/>
      <c r="Y16" s="1380"/>
      <c r="Z16" s="1379"/>
    </row>
    <row r="17" spans="1:26" hidden="1">
      <c r="A17" s="1388" t="s">
        <v>1742</v>
      </c>
      <c r="B17" s="1378">
        <v>10</v>
      </c>
      <c r="C17" s="1378"/>
      <c r="D17" s="1400">
        <f t="shared" si="1"/>
        <v>0</v>
      </c>
      <c r="E17" s="1379"/>
      <c r="F17" s="703">
        <f t="shared" si="2"/>
        <v>0</v>
      </c>
      <c r="G17" s="703">
        <f t="shared" si="3"/>
        <v>1</v>
      </c>
      <c r="H17" s="703">
        <f t="shared" si="4"/>
        <v>0</v>
      </c>
      <c r="I17" s="704">
        <f t="shared" si="5"/>
        <v>0</v>
      </c>
      <c r="J17" s="1390">
        <v>2.5000000000000001E-2</v>
      </c>
      <c r="K17" s="1380">
        <v>2.5000000000000001E-2</v>
      </c>
      <c r="L17" s="1380"/>
      <c r="M17" s="706">
        <f t="shared" si="6"/>
        <v>0</v>
      </c>
      <c r="N17" s="1380"/>
      <c r="O17" s="1380"/>
      <c r="P17" s="704">
        <f t="shared" si="7"/>
        <v>0</v>
      </c>
      <c r="Q17" s="1379"/>
      <c r="R17" s="1390">
        <v>0.15</v>
      </c>
      <c r="S17" s="1380">
        <v>1.2</v>
      </c>
      <c r="T17" s="1380">
        <v>0.7</v>
      </c>
      <c r="U17" s="1401">
        <f t="shared" si="0"/>
        <v>0.68333333333333324</v>
      </c>
      <c r="V17" s="1379"/>
      <c r="W17" s="1390"/>
      <c r="X17" s="1380"/>
      <c r="Y17" s="1380"/>
      <c r="Z17" s="1379"/>
    </row>
    <row r="18" spans="1:26" hidden="1">
      <c r="A18" s="1384" t="s">
        <v>1137</v>
      </c>
      <c r="B18" s="1380">
        <v>0</v>
      </c>
      <c r="C18" s="1380">
        <v>0</v>
      </c>
      <c r="D18" s="1400">
        <f t="shared" si="1"/>
        <v>0</v>
      </c>
      <c r="E18" s="1380">
        <v>0</v>
      </c>
      <c r="F18" s="703">
        <f t="shared" si="2"/>
        <v>0</v>
      </c>
      <c r="G18" s="703">
        <f t="shared" si="3"/>
        <v>1</v>
      </c>
      <c r="H18" s="703">
        <f t="shared" si="4"/>
        <v>0</v>
      </c>
      <c r="I18" s="704">
        <f t="shared" si="5"/>
        <v>0</v>
      </c>
      <c r="J18" s="1380">
        <v>0</v>
      </c>
      <c r="K18" s="1380">
        <v>0</v>
      </c>
      <c r="L18" s="1380">
        <v>0</v>
      </c>
      <c r="M18" s="706">
        <f t="shared" si="6"/>
        <v>0</v>
      </c>
      <c r="N18" s="1380">
        <v>0</v>
      </c>
      <c r="O18" s="1380">
        <v>0</v>
      </c>
      <c r="P18" s="704">
        <f t="shared" si="7"/>
        <v>0</v>
      </c>
      <c r="Q18" s="1380">
        <v>0</v>
      </c>
      <c r="R18" s="1380">
        <v>0</v>
      </c>
      <c r="S18" s="1380">
        <v>0</v>
      </c>
      <c r="T18" s="1380">
        <v>0</v>
      </c>
      <c r="U18" s="1401">
        <f t="shared" si="0"/>
        <v>0</v>
      </c>
      <c r="V18" s="1380"/>
      <c r="W18" s="1380"/>
      <c r="X18" s="1380"/>
      <c r="Y18" s="1380"/>
      <c r="Z18" s="1380"/>
    </row>
    <row r="19" spans="1:26">
      <c r="A19" s="1388" t="s">
        <v>1100</v>
      </c>
      <c r="B19" s="1378">
        <v>45</v>
      </c>
      <c r="C19" s="1378">
        <v>0.28999999999999998</v>
      </c>
      <c r="D19" s="1400">
        <f t="shared" si="1"/>
        <v>13.049999999999999</v>
      </c>
      <c r="E19" s="1379">
        <v>0.9</v>
      </c>
      <c r="F19" s="703">
        <f t="shared" si="2"/>
        <v>4.9999999999999982</v>
      </c>
      <c r="G19" s="703">
        <f t="shared" si="3"/>
        <v>1</v>
      </c>
      <c r="H19" s="703">
        <f t="shared" si="4"/>
        <v>4.9999999999999982</v>
      </c>
      <c r="I19" s="704">
        <f t="shared" si="5"/>
        <v>0</v>
      </c>
      <c r="J19" s="1393">
        <v>0.01</v>
      </c>
      <c r="K19" s="1394">
        <v>0</v>
      </c>
      <c r="L19" s="1394">
        <v>0.05</v>
      </c>
      <c r="M19" s="706">
        <f t="shared" si="6"/>
        <v>0</v>
      </c>
      <c r="N19" s="1395"/>
      <c r="O19" s="1380"/>
      <c r="P19" s="704">
        <f t="shared" si="7"/>
        <v>0</v>
      </c>
      <c r="Q19" s="1396"/>
      <c r="R19" s="1397">
        <v>0.3</v>
      </c>
      <c r="S19" s="1398">
        <v>0.75</v>
      </c>
      <c r="T19" s="1398">
        <v>0.75</v>
      </c>
      <c r="U19" s="1401">
        <f t="shared" si="0"/>
        <v>0.6</v>
      </c>
      <c r="V19" s="1396" t="s">
        <v>1369</v>
      </c>
      <c r="W19" s="1397"/>
      <c r="X19" s="1398"/>
      <c r="Y19" s="1398"/>
      <c r="Z19" s="1396"/>
    </row>
    <row r="20" spans="1:26" hidden="1">
      <c r="A20" s="1384" t="s">
        <v>1588</v>
      </c>
      <c r="B20" s="1380"/>
      <c r="C20" s="1380"/>
      <c r="D20" s="1400">
        <f t="shared" si="1"/>
        <v>0</v>
      </c>
      <c r="E20" s="1379"/>
      <c r="F20" s="703">
        <f t="shared" si="2"/>
        <v>0</v>
      </c>
      <c r="G20" s="703">
        <f t="shared" si="3"/>
        <v>1</v>
      </c>
      <c r="H20" s="703">
        <f t="shared" si="4"/>
        <v>0</v>
      </c>
      <c r="I20" s="704">
        <f t="shared" si="5"/>
        <v>0</v>
      </c>
      <c r="J20" s="1390">
        <v>5.0000000000000001E-3</v>
      </c>
      <c r="K20" s="1382">
        <v>5.0000000000000001E-3</v>
      </c>
      <c r="L20" s="1380">
        <v>0.73</v>
      </c>
      <c r="M20" s="706">
        <f t="shared" si="6"/>
        <v>0</v>
      </c>
      <c r="N20" s="1382"/>
      <c r="O20" s="1380"/>
      <c r="P20" s="704">
        <f t="shared" si="7"/>
        <v>0</v>
      </c>
      <c r="Q20" s="1379"/>
      <c r="R20" s="1390">
        <v>1.05</v>
      </c>
      <c r="S20" s="1382">
        <v>1.1000000000000001</v>
      </c>
      <c r="T20" s="1380">
        <v>1.1000000000000001</v>
      </c>
      <c r="U20" s="1401">
        <f t="shared" si="0"/>
        <v>1.0833333333333335</v>
      </c>
      <c r="V20" s="1379"/>
      <c r="W20" s="1390"/>
      <c r="X20" s="1382"/>
      <c r="Y20" s="1380"/>
      <c r="Z20" s="1379"/>
    </row>
    <row r="21" spans="1:26" hidden="1">
      <c r="A21" s="1381" t="s">
        <v>1233</v>
      </c>
      <c r="B21" s="1380"/>
      <c r="C21" s="1380"/>
      <c r="D21" s="1400">
        <f t="shared" si="1"/>
        <v>0</v>
      </c>
      <c r="E21" s="1379"/>
      <c r="F21" s="703">
        <f t="shared" si="2"/>
        <v>0</v>
      </c>
      <c r="G21" s="703">
        <f t="shared" si="3"/>
        <v>1</v>
      </c>
      <c r="H21" s="703">
        <f t="shared" si="4"/>
        <v>0</v>
      </c>
      <c r="I21" s="704">
        <f t="shared" si="5"/>
        <v>0</v>
      </c>
      <c r="J21" s="1390">
        <v>1.9199999999999998E-2</v>
      </c>
      <c r="K21" s="1382">
        <v>1.9199999999999998E-2</v>
      </c>
      <c r="L21" s="1380"/>
      <c r="M21" s="706">
        <f t="shared" si="6"/>
        <v>0</v>
      </c>
      <c r="N21" s="1382"/>
      <c r="O21" s="1380"/>
      <c r="P21" s="704">
        <f t="shared" si="7"/>
        <v>0</v>
      </c>
      <c r="Q21" s="1379"/>
      <c r="R21" s="1390">
        <v>0.6</v>
      </c>
      <c r="S21" s="1382">
        <v>1.1000000000000001</v>
      </c>
      <c r="T21" s="1380">
        <v>1.05</v>
      </c>
      <c r="U21" s="1401">
        <f t="shared" si="0"/>
        <v>0.91666666666666663</v>
      </c>
      <c r="V21" s="1379" t="s">
        <v>1369</v>
      </c>
      <c r="W21" s="1390"/>
      <c r="X21" s="1382"/>
      <c r="Y21" s="1380"/>
      <c r="Z21" s="1379"/>
    </row>
    <row r="22" spans="1:26" s="1119" customFormat="1" hidden="1">
      <c r="A22" s="1387" t="s">
        <v>1234</v>
      </c>
      <c r="B22" s="1380"/>
      <c r="C22" s="1380"/>
      <c r="D22" s="1400">
        <f t="shared" si="1"/>
        <v>0</v>
      </c>
      <c r="E22" s="1379"/>
      <c r="F22" s="703">
        <f t="shared" si="2"/>
        <v>0</v>
      </c>
      <c r="G22" s="703">
        <f t="shared" si="3"/>
        <v>1</v>
      </c>
      <c r="H22" s="703">
        <f t="shared" si="4"/>
        <v>0</v>
      </c>
      <c r="I22" s="704">
        <f t="shared" si="5"/>
        <v>0</v>
      </c>
      <c r="J22" s="1390">
        <v>1.6E-2</v>
      </c>
      <c r="K22" s="1380">
        <v>1.6E-2</v>
      </c>
      <c r="L22" s="1380"/>
      <c r="M22" s="706">
        <f t="shared" si="6"/>
        <v>0</v>
      </c>
      <c r="N22" s="1380"/>
      <c r="O22" s="1380"/>
      <c r="P22" s="704">
        <f t="shared" si="7"/>
        <v>0</v>
      </c>
      <c r="Q22" s="1379"/>
      <c r="R22" s="1390">
        <v>0.3</v>
      </c>
      <c r="S22" s="1380">
        <v>0.75</v>
      </c>
      <c r="T22" s="1380">
        <v>0.75</v>
      </c>
      <c r="U22" s="1401">
        <f t="shared" si="0"/>
        <v>0.6</v>
      </c>
      <c r="V22" s="1379" t="s">
        <v>1369</v>
      </c>
      <c r="W22" s="1390"/>
      <c r="X22" s="1380"/>
      <c r="Y22" s="1380"/>
      <c r="Z22" s="1379"/>
    </row>
    <row r="23" spans="1:26" s="1110" customFormat="1">
      <c r="A23" s="1399" t="s">
        <v>1698</v>
      </c>
      <c r="B23" s="1378">
        <v>105</v>
      </c>
      <c r="C23" s="1378">
        <v>0.21</v>
      </c>
      <c r="D23" s="1400">
        <f t="shared" si="1"/>
        <v>22.05</v>
      </c>
      <c r="E23" s="1379">
        <v>0.9</v>
      </c>
      <c r="F23" s="703">
        <f t="shared" si="2"/>
        <v>11.666666666666663</v>
      </c>
      <c r="G23" s="703">
        <f t="shared" si="3"/>
        <v>1</v>
      </c>
      <c r="H23" s="703">
        <f t="shared" si="4"/>
        <v>11.666666666666663</v>
      </c>
      <c r="I23" s="704">
        <f t="shared" si="5"/>
        <v>0</v>
      </c>
      <c r="J23" s="1393">
        <v>1.2800000000000001E-2</v>
      </c>
      <c r="K23" s="1394">
        <v>0</v>
      </c>
      <c r="L23" s="1394">
        <v>0.01</v>
      </c>
      <c r="M23" s="706">
        <f t="shared" si="6"/>
        <v>0</v>
      </c>
      <c r="N23" s="1395"/>
      <c r="O23" s="1380"/>
      <c r="P23" s="704">
        <f t="shared" si="7"/>
        <v>0</v>
      </c>
      <c r="Q23" s="1396"/>
      <c r="R23" s="1397">
        <v>0.6</v>
      </c>
      <c r="S23" s="1398">
        <v>1.1000000000000001</v>
      </c>
      <c r="T23" s="1398">
        <v>1.05</v>
      </c>
      <c r="U23" s="1401">
        <f t="shared" si="0"/>
        <v>0.91666666666666663</v>
      </c>
      <c r="V23" s="1396" t="s">
        <v>1369</v>
      </c>
      <c r="W23" s="1397"/>
      <c r="X23" s="1398"/>
      <c r="Y23" s="1398"/>
      <c r="Z23" s="1396"/>
    </row>
    <row r="24" spans="1:26" s="1164" customFormat="1" hidden="1">
      <c r="A24" s="1399" t="s">
        <v>1699</v>
      </c>
      <c r="B24" s="1380">
        <v>20</v>
      </c>
      <c r="C24" s="1380">
        <v>0.3</v>
      </c>
      <c r="D24" s="1400">
        <f t="shared" si="1"/>
        <v>6</v>
      </c>
      <c r="E24" s="1379"/>
      <c r="F24" s="703">
        <f t="shared" si="2"/>
        <v>0</v>
      </c>
      <c r="G24" s="703">
        <f t="shared" si="3"/>
        <v>1</v>
      </c>
      <c r="H24" s="703">
        <f t="shared" si="4"/>
        <v>0</v>
      </c>
      <c r="I24" s="704">
        <f t="shared" si="5"/>
        <v>60</v>
      </c>
      <c r="J24" s="1390">
        <v>0.01</v>
      </c>
      <c r="K24" s="1382">
        <v>0.01</v>
      </c>
      <c r="L24" s="1380"/>
      <c r="M24" s="706">
        <f t="shared" si="6"/>
        <v>0</v>
      </c>
      <c r="N24" s="1382"/>
      <c r="O24" s="1380"/>
      <c r="P24" s="704">
        <f t="shared" si="7"/>
        <v>0</v>
      </c>
      <c r="Q24" s="1379"/>
      <c r="R24" s="1390">
        <v>1</v>
      </c>
      <c r="S24" s="1382">
        <v>1</v>
      </c>
      <c r="T24" s="1380">
        <v>1</v>
      </c>
      <c r="U24" s="1401">
        <f t="shared" si="0"/>
        <v>1</v>
      </c>
      <c r="V24" s="1379" t="s">
        <v>1369</v>
      </c>
      <c r="W24" s="1390"/>
      <c r="X24" s="1382"/>
      <c r="Y24" s="1380"/>
      <c r="Z24" s="1379"/>
    </row>
    <row r="25" spans="1:26">
      <c r="A25" s="1387" t="s">
        <v>1106</v>
      </c>
      <c r="B25" s="1380">
        <v>0</v>
      </c>
      <c r="C25" s="1380">
        <v>0</v>
      </c>
      <c r="D25" s="1400">
        <f t="shared" si="1"/>
        <v>0</v>
      </c>
      <c r="E25" s="1379">
        <v>0</v>
      </c>
      <c r="F25" s="703">
        <f t="shared" si="2"/>
        <v>0</v>
      </c>
      <c r="G25" s="703">
        <f t="shared" si="3"/>
        <v>1</v>
      </c>
      <c r="H25" s="703">
        <f t="shared" si="4"/>
        <v>0</v>
      </c>
      <c r="I25" s="704">
        <f t="shared" si="5"/>
        <v>0</v>
      </c>
      <c r="J25" s="1390">
        <v>0</v>
      </c>
      <c r="K25" s="1380">
        <v>0</v>
      </c>
      <c r="L25" s="1380">
        <v>0</v>
      </c>
      <c r="M25" s="706">
        <f t="shared" si="6"/>
        <v>0</v>
      </c>
      <c r="N25" s="1380">
        <v>0</v>
      </c>
      <c r="O25" s="1380">
        <v>0</v>
      </c>
      <c r="P25" s="704">
        <f t="shared" si="7"/>
        <v>0</v>
      </c>
      <c r="Q25" s="1379">
        <v>0</v>
      </c>
      <c r="R25" s="1390">
        <v>0</v>
      </c>
      <c r="S25" s="1380">
        <v>0</v>
      </c>
      <c r="T25" s="1380">
        <v>0</v>
      </c>
      <c r="U25" s="1401">
        <f t="shared" si="0"/>
        <v>0</v>
      </c>
      <c r="V25" s="1379"/>
      <c r="W25" s="1390"/>
      <c r="X25" s="1380"/>
      <c r="Y25" s="1380"/>
      <c r="Z25" s="1379"/>
    </row>
    <row r="26" spans="1:26" s="1119" customFormat="1" hidden="1">
      <c r="A26" s="1381" t="s">
        <v>641</v>
      </c>
      <c r="B26" s="1380">
        <v>2</v>
      </c>
      <c r="C26" s="1380">
        <v>0.8</v>
      </c>
      <c r="D26" s="1400">
        <f t="shared" si="1"/>
        <v>1.6</v>
      </c>
      <c r="E26" s="1379">
        <v>0.42</v>
      </c>
      <c r="F26" s="703">
        <f t="shared" si="2"/>
        <v>2.7619047619047623</v>
      </c>
      <c r="G26" s="703">
        <f t="shared" si="3"/>
        <v>0.87109999999999999</v>
      </c>
      <c r="H26" s="703">
        <f t="shared" si="4"/>
        <v>2.4058952380952383</v>
      </c>
      <c r="I26" s="704">
        <f t="shared" si="5"/>
        <v>9.6</v>
      </c>
      <c r="J26" s="1390">
        <v>8.9999999999999993E-3</v>
      </c>
      <c r="K26" s="1380">
        <v>6.0000000000000001E-3</v>
      </c>
      <c r="L26" s="1380"/>
      <c r="M26" s="706">
        <f t="shared" si="6"/>
        <v>0</v>
      </c>
      <c r="N26" s="1380">
        <v>360</v>
      </c>
      <c r="O26" s="1380">
        <v>12.89</v>
      </c>
      <c r="P26" s="704">
        <f t="shared" si="7"/>
        <v>413.27057743083458</v>
      </c>
      <c r="Q26" s="1379">
        <v>20450</v>
      </c>
      <c r="R26" s="1390">
        <v>1.05</v>
      </c>
      <c r="S26" s="1380">
        <v>1.2</v>
      </c>
      <c r="T26" s="1380">
        <v>0.75</v>
      </c>
      <c r="U26" s="1401">
        <f t="shared" si="0"/>
        <v>1</v>
      </c>
      <c r="V26" s="1379" t="s">
        <v>1831</v>
      </c>
      <c r="W26" s="1390"/>
      <c r="X26" s="1380"/>
      <c r="Y26" s="1380"/>
      <c r="Z26" s="1379"/>
    </row>
    <row r="27" spans="1:26" hidden="1">
      <c r="A27" s="1384" t="s">
        <v>640</v>
      </c>
      <c r="B27" s="1380">
        <v>4.3</v>
      </c>
      <c r="C27" s="1380">
        <v>0.93</v>
      </c>
      <c r="D27" s="1400">
        <f t="shared" si="1"/>
        <v>3.9990000000000001</v>
      </c>
      <c r="E27" s="1379">
        <v>0.3</v>
      </c>
      <c r="F27" s="703">
        <f t="shared" si="2"/>
        <v>10.033333333333333</v>
      </c>
      <c r="G27" s="703">
        <f t="shared" si="3"/>
        <v>0.876</v>
      </c>
      <c r="H27" s="703">
        <f t="shared" si="4"/>
        <v>8.7891999999999992</v>
      </c>
      <c r="I27" s="704">
        <f t="shared" si="5"/>
        <v>23.994</v>
      </c>
      <c r="J27" s="1390">
        <v>0.02</v>
      </c>
      <c r="K27" s="1380">
        <v>6.0000000000000001E-3</v>
      </c>
      <c r="L27" s="1380">
        <v>0.05</v>
      </c>
      <c r="M27" s="706">
        <f t="shared" si="6"/>
        <v>0</v>
      </c>
      <c r="N27" s="1380">
        <v>329</v>
      </c>
      <c r="O27" s="1380">
        <v>12.4</v>
      </c>
      <c r="P27" s="704">
        <f t="shared" si="7"/>
        <v>375.57077625570781</v>
      </c>
      <c r="Q27" s="1379">
        <v>20067</v>
      </c>
      <c r="R27" s="1390">
        <v>0.1</v>
      </c>
      <c r="S27" s="1380">
        <v>1.1000000000000001</v>
      </c>
      <c r="T27" s="1380">
        <v>0.55000000000000004</v>
      </c>
      <c r="U27" s="1401">
        <f t="shared" si="0"/>
        <v>0.58333333333333337</v>
      </c>
      <c r="V27" s="1379" t="s">
        <v>1831</v>
      </c>
      <c r="W27" s="1390"/>
      <c r="X27" s="1380"/>
      <c r="Y27" s="1380"/>
      <c r="Z27" s="1379"/>
    </row>
    <row r="28" spans="1:26" hidden="1">
      <c r="A28" s="1384" t="s">
        <v>1102</v>
      </c>
      <c r="B28" s="1380">
        <v>55</v>
      </c>
      <c r="C28" s="1380">
        <v>0.2</v>
      </c>
      <c r="D28" s="1400">
        <f t="shared" si="1"/>
        <v>11</v>
      </c>
      <c r="E28" s="1379"/>
      <c r="F28" s="703">
        <f t="shared" si="2"/>
        <v>0</v>
      </c>
      <c r="G28" s="703">
        <f t="shared" si="3"/>
        <v>0.31999999999999995</v>
      </c>
      <c r="H28" s="703">
        <f t="shared" si="4"/>
        <v>0</v>
      </c>
      <c r="I28" s="704">
        <f t="shared" si="5"/>
        <v>11</v>
      </c>
      <c r="J28" s="1390">
        <v>1E-3</v>
      </c>
      <c r="K28" s="1380">
        <v>1E-3</v>
      </c>
      <c r="L28" s="1380">
        <v>0.17100000000000001</v>
      </c>
      <c r="M28" s="706">
        <f t="shared" si="6"/>
        <v>0</v>
      </c>
      <c r="N28" s="1380"/>
      <c r="O28" s="1380">
        <v>68</v>
      </c>
      <c r="P28" s="704">
        <f t="shared" si="7"/>
        <v>0</v>
      </c>
      <c r="Q28" s="1379"/>
      <c r="R28" s="1390">
        <v>0.15</v>
      </c>
      <c r="S28" s="1380">
        <v>1.2</v>
      </c>
      <c r="T28" s="1380">
        <v>0.7</v>
      </c>
      <c r="U28" s="1401">
        <f t="shared" si="0"/>
        <v>0.68333333333333324</v>
      </c>
      <c r="V28" s="1379"/>
      <c r="W28" s="1390"/>
      <c r="X28" s="1380"/>
      <c r="Y28" s="1380"/>
      <c r="Z28" s="1379"/>
    </row>
    <row r="29" spans="1:26" hidden="1">
      <c r="A29" s="1384" t="s">
        <v>1673</v>
      </c>
      <c r="B29" s="1380"/>
      <c r="C29" s="1380">
        <v>0.24</v>
      </c>
      <c r="D29" s="1400">
        <f t="shared" si="1"/>
        <v>0</v>
      </c>
      <c r="E29" s="1379"/>
      <c r="F29" s="703">
        <f t="shared" si="2"/>
        <v>0</v>
      </c>
      <c r="G29" s="703">
        <f t="shared" si="3"/>
        <v>1</v>
      </c>
      <c r="H29" s="703">
        <f t="shared" si="4"/>
        <v>0</v>
      </c>
      <c r="I29" s="704">
        <f t="shared" si="5"/>
        <v>0</v>
      </c>
      <c r="J29" s="1390">
        <v>1.6E-2</v>
      </c>
      <c r="K29" s="1380">
        <v>1.6E-2</v>
      </c>
      <c r="L29" s="1380"/>
      <c r="M29" s="706">
        <f t="shared" si="6"/>
        <v>0</v>
      </c>
      <c r="N29" s="1380"/>
      <c r="O29" s="1380"/>
      <c r="P29" s="704">
        <f t="shared" si="7"/>
        <v>0</v>
      </c>
      <c r="Q29" s="1379"/>
      <c r="R29" s="1390">
        <v>0.3</v>
      </c>
      <c r="S29" s="1380">
        <v>0.75</v>
      </c>
      <c r="T29" s="1380">
        <v>0.75</v>
      </c>
      <c r="U29" s="1401">
        <f t="shared" si="0"/>
        <v>0.6</v>
      </c>
      <c r="V29" s="1379" t="s">
        <v>1369</v>
      </c>
      <c r="W29" s="1390"/>
      <c r="X29" s="1380"/>
      <c r="Y29" s="1380"/>
      <c r="Z29" s="1379"/>
    </row>
    <row r="30" spans="1:26">
      <c r="A30" s="1384" t="s">
        <v>1881</v>
      </c>
      <c r="B30" s="1428">
        <v>90</v>
      </c>
      <c r="C30" s="1428">
        <v>0.22</v>
      </c>
      <c r="D30" s="1400">
        <f t="shared" si="1"/>
        <v>19.8</v>
      </c>
      <c r="E30" s="1379">
        <v>0.9</v>
      </c>
      <c r="F30" s="703">
        <f t="shared" si="2"/>
        <v>9.9999999999999964</v>
      </c>
      <c r="G30" s="703">
        <f t="shared" si="3"/>
        <v>1</v>
      </c>
      <c r="H30" s="703">
        <f t="shared" si="4"/>
        <v>9.9999999999999964</v>
      </c>
      <c r="I30" s="704">
        <f t="shared" si="5"/>
        <v>0</v>
      </c>
      <c r="J30" s="1393">
        <v>1.4080000000000002E-2</v>
      </c>
      <c r="K30" s="1394">
        <v>0</v>
      </c>
      <c r="L30" s="1394">
        <v>0.01</v>
      </c>
      <c r="M30" s="706">
        <f t="shared" si="6"/>
        <v>0</v>
      </c>
      <c r="N30" s="1395"/>
      <c r="O30" s="1380"/>
      <c r="P30" s="704">
        <f t="shared" si="7"/>
        <v>0</v>
      </c>
      <c r="Q30" s="1396"/>
      <c r="R30" s="1397">
        <v>0.6</v>
      </c>
      <c r="S30" s="1398">
        <v>1.1000000000000001</v>
      </c>
      <c r="T30" s="1398">
        <v>1.05</v>
      </c>
      <c r="U30" s="1401">
        <f t="shared" si="0"/>
        <v>0.91666666666666663</v>
      </c>
      <c r="V30" s="1396" t="s">
        <v>1369</v>
      </c>
      <c r="W30" s="1390"/>
      <c r="X30" s="1380"/>
      <c r="Y30" s="1380"/>
      <c r="Z30" s="1379"/>
    </row>
    <row r="31" spans="1:26">
      <c r="A31" s="1384" t="s">
        <v>1101</v>
      </c>
      <c r="B31" s="1378">
        <v>54</v>
      </c>
      <c r="C31" s="1378">
        <v>0.25</v>
      </c>
      <c r="D31" s="1400">
        <f t="shared" si="1"/>
        <v>13.5</v>
      </c>
      <c r="E31" s="1379">
        <v>0.9</v>
      </c>
      <c r="F31" s="703">
        <f t="shared" si="2"/>
        <v>5.9999999999999982</v>
      </c>
      <c r="G31" s="703">
        <f t="shared" si="3"/>
        <v>1</v>
      </c>
      <c r="H31" s="703">
        <f t="shared" si="4"/>
        <v>5.9999999999999982</v>
      </c>
      <c r="I31" s="704">
        <f t="shared" si="5"/>
        <v>0</v>
      </c>
      <c r="J31" s="1393">
        <v>1.44E-2</v>
      </c>
      <c r="K31" s="1394">
        <v>0</v>
      </c>
      <c r="L31" s="1394">
        <v>0.01</v>
      </c>
      <c r="M31" s="706">
        <f t="shared" si="6"/>
        <v>0</v>
      </c>
      <c r="N31" s="1395"/>
      <c r="O31" s="1380"/>
      <c r="P31" s="704">
        <f t="shared" si="7"/>
        <v>0</v>
      </c>
      <c r="Q31" s="1396"/>
      <c r="R31" s="1397">
        <v>0.6</v>
      </c>
      <c r="S31" s="1398">
        <v>1.1000000000000001</v>
      </c>
      <c r="T31" s="1398">
        <v>1.05</v>
      </c>
      <c r="U31" s="1401">
        <f t="shared" si="0"/>
        <v>0.91666666666666663</v>
      </c>
      <c r="V31" s="1396" t="s">
        <v>1369</v>
      </c>
      <c r="W31" s="1390"/>
      <c r="X31" s="1380"/>
      <c r="Y31" s="1380"/>
      <c r="Z31" s="1379"/>
    </row>
    <row r="32" spans="1:26" hidden="1">
      <c r="A32" s="1384"/>
      <c r="B32" s="1380"/>
      <c r="C32" s="1380"/>
      <c r="D32" s="1400">
        <f t="shared" si="1"/>
        <v>0</v>
      </c>
      <c r="E32" s="1379"/>
      <c r="F32" s="703">
        <f t="shared" si="2"/>
        <v>0</v>
      </c>
      <c r="G32" s="703">
        <f t="shared" si="3"/>
        <v>1</v>
      </c>
      <c r="H32" s="703">
        <f t="shared" si="4"/>
        <v>0</v>
      </c>
      <c r="I32" s="704">
        <f t="shared" si="5"/>
        <v>0</v>
      </c>
      <c r="J32" s="1390"/>
      <c r="K32" s="1380"/>
      <c r="L32" s="1380"/>
      <c r="M32" s="706">
        <f t="shared" si="6"/>
        <v>0</v>
      </c>
      <c r="N32" s="1380"/>
      <c r="O32" s="1380"/>
      <c r="P32" s="704">
        <f t="shared" si="7"/>
        <v>0</v>
      </c>
      <c r="Q32" s="1379"/>
      <c r="R32" s="1390"/>
      <c r="S32" s="1380"/>
      <c r="T32" s="1380"/>
      <c r="U32" s="1401" t="e">
        <f t="shared" si="0"/>
        <v>#DIV/0!</v>
      </c>
      <c r="V32" s="1379"/>
      <c r="W32" s="1390"/>
      <c r="X32" s="1380"/>
      <c r="Y32" s="1380"/>
      <c r="Z32" s="1379"/>
    </row>
    <row r="33" spans="1:26" hidden="1">
      <c r="A33" s="1384"/>
      <c r="B33" s="1378"/>
      <c r="C33" s="1378"/>
      <c r="D33" s="1400">
        <f t="shared" si="1"/>
        <v>0</v>
      </c>
      <c r="E33" s="1379"/>
      <c r="F33" s="703">
        <f t="shared" si="2"/>
        <v>0</v>
      </c>
      <c r="G33" s="703">
        <f t="shared" si="3"/>
        <v>1</v>
      </c>
      <c r="H33" s="703">
        <f t="shared" si="4"/>
        <v>0</v>
      </c>
      <c r="I33" s="704">
        <f t="shared" si="5"/>
        <v>0</v>
      </c>
      <c r="J33" s="1393"/>
      <c r="K33" s="1394"/>
      <c r="L33" s="1394"/>
      <c r="M33" s="706">
        <f t="shared" si="6"/>
        <v>0</v>
      </c>
      <c r="N33" s="1395"/>
      <c r="O33" s="1380"/>
      <c r="P33" s="704">
        <f t="shared" si="7"/>
        <v>0</v>
      </c>
      <c r="Q33" s="1396"/>
      <c r="R33" s="1397"/>
      <c r="S33" s="1398"/>
      <c r="T33" s="1398"/>
      <c r="U33" s="1401" t="e">
        <f t="shared" si="0"/>
        <v>#DIV/0!</v>
      </c>
      <c r="V33" s="1396"/>
      <c r="W33" s="1390"/>
      <c r="X33" s="1380"/>
      <c r="Y33" s="1380"/>
      <c r="Z33" s="1379"/>
    </row>
    <row r="34" spans="1:26" hidden="1">
      <c r="A34" s="1384"/>
      <c r="B34" s="1378"/>
      <c r="C34" s="1378"/>
      <c r="D34" s="1400">
        <f t="shared" si="1"/>
        <v>0</v>
      </c>
      <c r="E34" s="1379"/>
      <c r="F34" s="703">
        <f t="shared" si="2"/>
        <v>0</v>
      </c>
      <c r="G34" s="703">
        <f t="shared" si="3"/>
        <v>1</v>
      </c>
      <c r="H34" s="703">
        <f t="shared" si="4"/>
        <v>0</v>
      </c>
      <c r="I34" s="704">
        <f t="shared" si="5"/>
        <v>0</v>
      </c>
      <c r="J34" s="1393"/>
      <c r="K34" s="1394"/>
      <c r="L34" s="1394"/>
      <c r="M34" s="706">
        <f t="shared" si="6"/>
        <v>0</v>
      </c>
      <c r="N34" s="1395"/>
      <c r="O34" s="1380"/>
      <c r="P34" s="704">
        <f t="shared" si="7"/>
        <v>0</v>
      </c>
      <c r="Q34" s="1396"/>
      <c r="R34" s="1397"/>
      <c r="S34" s="1398"/>
      <c r="T34" s="1398"/>
      <c r="U34" s="1401" t="e">
        <f t="shared" si="0"/>
        <v>#DIV/0!</v>
      </c>
      <c r="V34" s="1396"/>
      <c r="W34" s="1390"/>
      <c r="X34" s="1380"/>
      <c r="Y34" s="1380"/>
      <c r="Z34" s="1379"/>
    </row>
    <row r="35" spans="1:26" hidden="1">
      <c r="A35" s="1384"/>
      <c r="B35" s="1380"/>
      <c r="C35" s="1380"/>
      <c r="D35" s="1400">
        <f t="shared" si="1"/>
        <v>0</v>
      </c>
      <c r="E35" s="1379"/>
      <c r="F35" s="703">
        <f t="shared" si="2"/>
        <v>0</v>
      </c>
      <c r="G35" s="703">
        <f t="shared" si="3"/>
        <v>1</v>
      </c>
      <c r="H35" s="703">
        <f t="shared" si="4"/>
        <v>0</v>
      </c>
      <c r="I35" s="704">
        <f t="shared" si="5"/>
        <v>0</v>
      </c>
      <c r="J35" s="1390"/>
      <c r="K35" s="1380"/>
      <c r="L35" s="1380"/>
      <c r="M35" s="706">
        <f t="shared" si="6"/>
        <v>0</v>
      </c>
      <c r="N35" s="1380"/>
      <c r="O35" s="1380"/>
      <c r="P35" s="704">
        <f t="shared" si="7"/>
        <v>0</v>
      </c>
      <c r="Q35" s="1379"/>
      <c r="R35" s="1390"/>
      <c r="S35" s="1380"/>
      <c r="T35" s="1380"/>
      <c r="U35" s="1401" t="e">
        <f t="shared" si="0"/>
        <v>#DIV/0!</v>
      </c>
      <c r="V35" s="1379"/>
      <c r="W35" s="1390"/>
      <c r="X35" s="1380"/>
      <c r="Y35" s="1380"/>
      <c r="Z35" s="1379"/>
    </row>
    <row r="36" spans="1:26" hidden="1">
      <c r="A36" s="1384"/>
      <c r="B36" s="1380"/>
      <c r="C36" s="1380"/>
      <c r="D36" s="1400">
        <f t="shared" si="1"/>
        <v>0</v>
      </c>
      <c r="E36" s="1379"/>
      <c r="F36" s="703">
        <f t="shared" si="2"/>
        <v>0</v>
      </c>
      <c r="G36" s="703">
        <f t="shared" si="3"/>
        <v>1</v>
      </c>
      <c r="H36" s="703">
        <f t="shared" si="4"/>
        <v>0</v>
      </c>
      <c r="I36" s="704">
        <f t="shared" si="5"/>
        <v>0</v>
      </c>
      <c r="J36" s="1390"/>
      <c r="K36" s="1380"/>
      <c r="L36" s="1380"/>
      <c r="M36" s="706">
        <f t="shared" si="6"/>
        <v>0</v>
      </c>
      <c r="N36" s="1380"/>
      <c r="O36" s="1380"/>
      <c r="P36" s="704">
        <f t="shared" si="7"/>
        <v>0</v>
      </c>
      <c r="Q36" s="1379"/>
      <c r="R36" s="1390"/>
      <c r="S36" s="1380"/>
      <c r="T36" s="1380"/>
      <c r="U36" s="1401" t="e">
        <f t="shared" si="0"/>
        <v>#DIV/0!</v>
      </c>
      <c r="V36" s="1379"/>
      <c r="W36" s="1390"/>
      <c r="X36" s="1380"/>
      <c r="Y36" s="1380"/>
      <c r="Z36" s="1379"/>
    </row>
    <row r="37" spans="1:26" s="1119" customFormat="1" hidden="1">
      <c r="A37" s="1384"/>
      <c r="B37" s="1380"/>
      <c r="C37" s="1380"/>
      <c r="D37" s="1400">
        <f t="shared" si="1"/>
        <v>0</v>
      </c>
      <c r="E37" s="1379"/>
      <c r="F37" s="703">
        <f t="shared" si="2"/>
        <v>0</v>
      </c>
      <c r="G37" s="703">
        <f t="shared" si="3"/>
        <v>1</v>
      </c>
      <c r="H37" s="703">
        <f t="shared" si="4"/>
        <v>0</v>
      </c>
      <c r="I37" s="704">
        <f t="shared" si="5"/>
        <v>0</v>
      </c>
      <c r="J37" s="1390"/>
      <c r="K37" s="1380"/>
      <c r="L37" s="1380"/>
      <c r="M37" s="706">
        <f t="shared" si="6"/>
        <v>0</v>
      </c>
      <c r="N37" s="1380"/>
      <c r="O37" s="1380"/>
      <c r="P37" s="704">
        <f t="shared" si="7"/>
        <v>0</v>
      </c>
      <c r="Q37" s="1379"/>
      <c r="R37" s="1390"/>
      <c r="S37" s="1380"/>
      <c r="T37" s="1380"/>
      <c r="U37" s="1401" t="e">
        <f t="shared" si="0"/>
        <v>#DIV/0!</v>
      </c>
      <c r="V37" s="1379"/>
      <c r="W37" s="1390"/>
      <c r="X37" s="1380"/>
      <c r="Y37" s="1380"/>
      <c r="Z37" s="1379"/>
    </row>
    <row r="38" spans="1:26" hidden="1">
      <c r="A38" s="1384"/>
      <c r="B38" s="1380"/>
      <c r="C38" s="1380"/>
      <c r="D38" s="1400">
        <f t="shared" si="1"/>
        <v>0</v>
      </c>
      <c r="E38" s="1379"/>
      <c r="F38" s="703">
        <f t="shared" si="2"/>
        <v>0</v>
      </c>
      <c r="G38" s="703">
        <f t="shared" si="3"/>
        <v>1</v>
      </c>
      <c r="H38" s="703">
        <f t="shared" si="4"/>
        <v>0</v>
      </c>
      <c r="I38" s="704">
        <f t="shared" si="5"/>
        <v>0</v>
      </c>
      <c r="J38" s="1390"/>
      <c r="K38" s="1380"/>
      <c r="L38" s="1380"/>
      <c r="M38" s="706">
        <f t="shared" si="6"/>
        <v>0</v>
      </c>
      <c r="N38" s="1380"/>
      <c r="O38" s="1380"/>
      <c r="P38" s="704">
        <f t="shared" si="7"/>
        <v>0</v>
      </c>
      <c r="Q38" s="1379"/>
      <c r="R38" s="1390"/>
      <c r="S38" s="1380"/>
      <c r="T38" s="1380"/>
      <c r="U38" s="1401" t="e">
        <f t="shared" si="0"/>
        <v>#DIV/0!</v>
      </c>
      <c r="V38" s="1379"/>
      <c r="W38" s="1390"/>
      <c r="X38" s="1380"/>
      <c r="Y38" s="1380"/>
      <c r="Z38" s="1379"/>
    </row>
    <row r="39" spans="1:26" hidden="1">
      <c r="A39" s="1384"/>
      <c r="B39" s="1380"/>
      <c r="C39" s="1380"/>
      <c r="D39" s="1400">
        <f t="shared" si="1"/>
        <v>0</v>
      </c>
      <c r="E39" s="1379"/>
      <c r="F39" s="703">
        <f t="shared" si="2"/>
        <v>0</v>
      </c>
      <c r="G39" s="703">
        <f t="shared" si="3"/>
        <v>1</v>
      </c>
      <c r="H39" s="703">
        <f t="shared" si="4"/>
        <v>0</v>
      </c>
      <c r="I39" s="704">
        <f t="shared" si="5"/>
        <v>0</v>
      </c>
      <c r="J39" s="1390"/>
      <c r="K39" s="1380"/>
      <c r="L39" s="1380"/>
      <c r="M39" s="706">
        <f t="shared" si="6"/>
        <v>0</v>
      </c>
      <c r="N39" s="1380"/>
      <c r="O39" s="1380"/>
      <c r="P39" s="704">
        <f t="shared" si="7"/>
        <v>0</v>
      </c>
      <c r="Q39" s="1379"/>
      <c r="R39" s="1390"/>
      <c r="S39" s="1380"/>
      <c r="T39" s="1380"/>
      <c r="U39" s="1401" t="e">
        <f t="shared" si="0"/>
        <v>#DIV/0!</v>
      </c>
      <c r="V39" s="1379"/>
      <c r="W39" s="1390"/>
      <c r="X39" s="1380"/>
      <c r="Y39" s="1380"/>
      <c r="Z39" s="1379"/>
    </row>
    <row r="40" spans="1:26" hidden="1">
      <c r="A40" s="1384"/>
      <c r="B40" s="1380"/>
      <c r="C40" s="1380"/>
      <c r="D40" s="1400">
        <f t="shared" si="1"/>
        <v>0</v>
      </c>
      <c r="E40" s="1379"/>
      <c r="F40" s="703">
        <f t="shared" si="2"/>
        <v>0</v>
      </c>
      <c r="G40" s="703">
        <f t="shared" si="3"/>
        <v>1</v>
      </c>
      <c r="H40" s="703">
        <f t="shared" si="4"/>
        <v>0</v>
      </c>
      <c r="I40" s="704">
        <f t="shared" si="5"/>
        <v>0</v>
      </c>
      <c r="J40" s="1390"/>
      <c r="K40" s="1380"/>
      <c r="L40" s="1380"/>
      <c r="M40" s="706">
        <f t="shared" si="6"/>
        <v>0</v>
      </c>
      <c r="N40" s="1380"/>
      <c r="O40" s="1380"/>
      <c r="P40" s="704">
        <f t="shared" si="7"/>
        <v>0</v>
      </c>
      <c r="Q40" s="1379"/>
      <c r="R40" s="1390"/>
      <c r="S40" s="1380"/>
      <c r="T40" s="1380"/>
      <c r="U40" s="1401" t="e">
        <f t="shared" si="0"/>
        <v>#DIV/0!</v>
      </c>
      <c r="V40" s="1379"/>
      <c r="W40" s="1390"/>
      <c r="X40" s="1380"/>
      <c r="Y40" s="1380"/>
      <c r="Z40" s="1379"/>
    </row>
    <row r="41" spans="1:26" hidden="1">
      <c r="A41" s="1384"/>
      <c r="B41" s="1380"/>
      <c r="C41" s="1380"/>
      <c r="D41" s="1400">
        <f t="shared" si="1"/>
        <v>0</v>
      </c>
      <c r="E41" s="1379"/>
      <c r="F41" s="703">
        <f t="shared" si="2"/>
        <v>0</v>
      </c>
      <c r="G41" s="703">
        <f t="shared" si="3"/>
        <v>1</v>
      </c>
      <c r="H41" s="703">
        <f t="shared" si="4"/>
        <v>0</v>
      </c>
      <c r="I41" s="704">
        <f t="shared" si="5"/>
        <v>0</v>
      </c>
      <c r="J41" s="1390"/>
      <c r="K41" s="1380"/>
      <c r="L41" s="1380"/>
      <c r="M41" s="706">
        <f t="shared" si="6"/>
        <v>0</v>
      </c>
      <c r="N41" s="1380"/>
      <c r="O41" s="1380"/>
      <c r="P41" s="704">
        <f t="shared" si="7"/>
        <v>0</v>
      </c>
      <c r="Q41" s="1379"/>
      <c r="R41" s="1390"/>
      <c r="S41" s="1380"/>
      <c r="T41" s="1380"/>
      <c r="U41" s="1401" t="e">
        <f t="shared" si="0"/>
        <v>#DIV/0!</v>
      </c>
      <c r="V41" s="1379"/>
      <c r="W41" s="1390"/>
      <c r="X41" s="1380"/>
      <c r="Y41" s="1380"/>
      <c r="Z41" s="1379"/>
    </row>
    <row r="42" spans="1:26" hidden="1">
      <c r="A42" s="1384"/>
      <c r="B42" s="1380"/>
      <c r="C42" s="1380"/>
      <c r="D42" s="1400">
        <f t="shared" si="1"/>
        <v>0</v>
      </c>
      <c r="E42" s="1379"/>
      <c r="F42" s="703">
        <f t="shared" si="2"/>
        <v>0</v>
      </c>
      <c r="G42" s="703">
        <f t="shared" si="3"/>
        <v>1</v>
      </c>
      <c r="H42" s="703">
        <f t="shared" si="4"/>
        <v>0</v>
      </c>
      <c r="I42" s="704">
        <f t="shared" si="5"/>
        <v>0</v>
      </c>
      <c r="J42" s="1390"/>
      <c r="K42" s="1380"/>
      <c r="L42" s="1380"/>
      <c r="M42" s="706">
        <f t="shared" si="6"/>
        <v>0</v>
      </c>
      <c r="N42" s="1380"/>
      <c r="O42" s="1380"/>
      <c r="P42" s="704">
        <f t="shared" si="7"/>
        <v>0</v>
      </c>
      <c r="Q42" s="1379"/>
      <c r="R42" s="1390"/>
      <c r="S42" s="1380"/>
      <c r="T42" s="1380"/>
      <c r="U42" s="1401" t="e">
        <f t="shared" si="0"/>
        <v>#DIV/0!</v>
      </c>
      <c r="V42" s="1379"/>
      <c r="W42" s="1390"/>
      <c r="X42" s="1380"/>
      <c r="Y42" s="1380"/>
      <c r="Z42" s="1379"/>
    </row>
    <row r="43" spans="1:26" hidden="1">
      <c r="A43" s="1384"/>
      <c r="B43" s="1380"/>
      <c r="C43" s="1380"/>
      <c r="D43" s="1400">
        <f t="shared" si="1"/>
        <v>0</v>
      </c>
      <c r="E43" s="1379"/>
      <c r="F43" s="703">
        <f t="shared" si="2"/>
        <v>0</v>
      </c>
      <c r="G43" s="703">
        <f t="shared" si="3"/>
        <v>1</v>
      </c>
      <c r="H43" s="703">
        <f t="shared" si="4"/>
        <v>0</v>
      </c>
      <c r="I43" s="704">
        <f t="shared" si="5"/>
        <v>0</v>
      </c>
      <c r="J43" s="1390"/>
      <c r="K43" s="1380"/>
      <c r="L43" s="1380"/>
      <c r="M43" s="706">
        <f t="shared" si="6"/>
        <v>0</v>
      </c>
      <c r="N43" s="1380"/>
      <c r="O43" s="1380"/>
      <c r="P43" s="704">
        <f t="shared" si="7"/>
        <v>0</v>
      </c>
      <c r="Q43" s="1379"/>
      <c r="R43" s="1390"/>
      <c r="S43" s="1380"/>
      <c r="T43" s="1380"/>
      <c r="U43" s="1401" t="e">
        <f t="shared" si="0"/>
        <v>#DIV/0!</v>
      </c>
      <c r="V43" s="1379"/>
      <c r="W43" s="1390"/>
      <c r="X43" s="1380"/>
      <c r="Y43" s="1380"/>
      <c r="Z43" s="1379"/>
    </row>
    <row r="45" spans="1:26">
      <c r="A45" s="168" t="s">
        <v>1106</v>
      </c>
    </row>
    <row r="46" spans="1:26">
      <c r="A46" s="168" t="s">
        <v>1089</v>
      </c>
    </row>
    <row r="47" spans="1:26">
      <c r="A47" s="168" t="s">
        <v>1090</v>
      </c>
    </row>
    <row r="48" spans="1:26">
      <c r="B48" s="1327" t="s">
        <v>1831</v>
      </c>
    </row>
    <row r="49" spans="1:2">
      <c r="B49" s="1327" t="s">
        <v>1369</v>
      </c>
    </row>
    <row r="50" spans="1:2">
      <c r="B50" s="1327" t="s">
        <v>1734</v>
      </c>
    </row>
    <row r="51" spans="1:2">
      <c r="B51" s="1327" t="s">
        <v>1373</v>
      </c>
    </row>
    <row r="52" spans="1:2">
      <c r="B52" s="1327" t="s">
        <v>1832</v>
      </c>
    </row>
    <row r="53" spans="1:2">
      <c r="A53" s="351" t="s">
        <v>457</v>
      </c>
    </row>
    <row r="54" spans="1:2">
      <c r="A54" s="351" t="s">
        <v>633</v>
      </c>
    </row>
    <row r="55" spans="1:2">
      <c r="A55" s="163" t="s">
        <v>698</v>
      </c>
    </row>
  </sheetData>
  <autoFilter ref="A2:Q43">
    <filterColumn colId="0">
      <filters>
        <filter val="Guatemala"/>
        <filter val="Maize"/>
        <filter val="Natural pasture"/>
        <filter val="Pennisetum purpureum"/>
        <filter val="Purchased"/>
        <filter val="Rhodes"/>
      </filters>
    </filterColumn>
  </autoFilter>
  <sortState ref="A3:Z43">
    <sortCondition ref="A3"/>
  </sortState>
  <mergeCells count="1">
    <mergeCell ref="B1:D1"/>
  </mergeCells>
  <dataValidations count="2">
    <dataValidation type="list" allowBlank="1" showInputMessage="1" showErrorMessage="1" sqref="V4:V43">
      <formula1>$B$48:$B$52</formula1>
    </dataValidation>
    <dataValidation type="list" allowBlank="1" showInputMessage="1" showErrorMessage="1" sqref="V3">
      <formula1>$B$48:$B$53</formula1>
    </dataValidation>
  </dataValidations>
  <pageMargins left="0.7" right="0.7" top="0.75" bottom="0.75" header="0.3" footer="0.3"/>
  <pageSetup paperSize="9" orientation="portrait" r:id="rId1"/>
  <ignoredErrors>
    <ignoredError sqref="U14:U31" formulaRange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'D:\OneDrive - CGIAR\CLEANED\Vivien data WK_SAC\Dropbox folder\CLEANED_N_maybe still wrong\[B1_WesternKenya_1KN_corrected_N.xlsm]GHG Parameters'!#REF!</xm:f>
          </x14:formula1>
          <xm:sqref>A53:A55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0" tint="-0.499984740745262"/>
  </sheetPr>
  <dimension ref="A1:V139"/>
  <sheetViews>
    <sheetView zoomScale="70" zoomScaleNormal="70" workbookViewId="0">
      <selection activeCell="I127" sqref="I127"/>
    </sheetView>
  </sheetViews>
  <sheetFormatPr defaultColWidth="11" defaultRowHeight="15.75"/>
  <cols>
    <col min="1" max="1" width="42" style="72" customWidth="1"/>
    <col min="2" max="2" width="16.125" style="72" customWidth="1"/>
    <col min="3" max="3" width="9.25" style="72" customWidth="1"/>
    <col min="4" max="4" width="10.625" style="72" customWidth="1"/>
    <col min="5" max="5" width="12.625" style="72" customWidth="1"/>
    <col min="6" max="6" width="11.375" style="72" customWidth="1"/>
    <col min="7" max="7" width="9.25" style="72" customWidth="1"/>
    <col min="8" max="8" width="15.375" style="72" customWidth="1"/>
    <col min="9" max="9" width="30.25" style="72" customWidth="1"/>
    <col min="10" max="16384" width="11" style="72"/>
  </cols>
  <sheetData>
    <row r="1" spans="1:22">
      <c r="A1" s="746" t="s">
        <v>1228</v>
      </c>
      <c r="B1" s="477" t="s">
        <v>912</v>
      </c>
      <c r="C1" s="477"/>
      <c r="D1" s="477"/>
      <c r="E1" s="477" t="s">
        <v>1322</v>
      </c>
      <c r="F1" s="477"/>
      <c r="G1" s="477"/>
      <c r="H1" s="477"/>
      <c r="I1" s="477"/>
    </row>
    <row r="2" spans="1:22" ht="94.5">
      <c r="A2" s="591" t="s">
        <v>807</v>
      </c>
      <c r="B2" s="705" t="s">
        <v>625</v>
      </c>
      <c r="C2" s="705" t="s">
        <v>911</v>
      </c>
      <c r="D2" s="705" t="s">
        <v>901</v>
      </c>
      <c r="E2" s="705" t="s">
        <v>1153</v>
      </c>
      <c r="F2" s="705" t="s">
        <v>1152</v>
      </c>
      <c r="G2" s="705" t="s">
        <v>812</v>
      </c>
      <c r="H2" s="455" t="s">
        <v>1098</v>
      </c>
      <c r="I2" s="705" t="s">
        <v>1099</v>
      </c>
      <c r="J2" s="1138" t="s">
        <v>1691</v>
      </c>
      <c r="K2" s="1138" t="s">
        <v>1692</v>
      </c>
      <c r="L2" s="1138" t="s">
        <v>1693</v>
      </c>
      <c r="M2" s="1138" t="s">
        <v>1694</v>
      </c>
      <c r="N2" s="1344" t="s">
        <v>1847</v>
      </c>
      <c r="O2" s="747"/>
      <c r="P2" s="747"/>
      <c r="Q2" s="747"/>
    </row>
    <row r="3" spans="1:22" ht="16.5" hidden="1">
      <c r="A3" s="896" t="s">
        <v>1589</v>
      </c>
      <c r="B3" s="897">
        <v>27.800000000000004</v>
      </c>
      <c r="C3" s="897">
        <v>7.1</v>
      </c>
      <c r="D3" s="898">
        <f>C3*(0.01*B3)</f>
        <v>1.9738</v>
      </c>
      <c r="E3" s="897">
        <v>6.2547945205479456</v>
      </c>
      <c r="F3" s="1402">
        <f t="shared" ref="F3:F19" si="0">E3*B3/100</f>
        <v>1.7388328767123291</v>
      </c>
      <c r="G3" s="1403">
        <f t="shared" ref="G3:G19" si="1">C3*6.6/100</f>
        <v>0.46859999999999991</v>
      </c>
      <c r="H3" s="1404"/>
      <c r="I3" s="899" t="s">
        <v>1580</v>
      </c>
      <c r="J3" s="897">
        <v>300</v>
      </c>
      <c r="K3" s="897">
        <v>0</v>
      </c>
      <c r="L3" s="897">
        <v>18</v>
      </c>
      <c r="M3" s="897">
        <v>6</v>
      </c>
      <c r="N3" s="1345"/>
    </row>
    <row r="4" spans="1:22" ht="16.5" hidden="1">
      <c r="A4" s="174" t="s">
        <v>1590</v>
      </c>
      <c r="B4" s="893">
        <v>30.3</v>
      </c>
      <c r="C4" s="893">
        <v>9.6715079999999993</v>
      </c>
      <c r="D4" s="898">
        <f>C4*(0.01*B4)</f>
        <v>2.9304669239999996</v>
      </c>
      <c r="E4" s="893">
        <v>12.6</v>
      </c>
      <c r="F4" s="1402">
        <f t="shared" si="0"/>
        <v>3.8177999999999996</v>
      </c>
      <c r="G4" s="1403">
        <f t="shared" si="1"/>
        <v>0.63831952799999991</v>
      </c>
      <c r="H4" s="1407"/>
      <c r="I4" s="894" t="s">
        <v>1687</v>
      </c>
      <c r="J4" s="893">
        <v>300</v>
      </c>
      <c r="K4" s="893">
        <v>0</v>
      </c>
      <c r="L4" s="893">
        <v>18</v>
      </c>
      <c r="M4" s="893">
        <v>6</v>
      </c>
      <c r="N4" s="1345"/>
      <c r="R4" s="416"/>
      <c r="S4" s="416"/>
      <c r="T4" s="416"/>
      <c r="U4" s="416"/>
    </row>
    <row r="5" spans="1:22" ht="16.5" hidden="1">
      <c r="A5" s="174" t="s">
        <v>1591</v>
      </c>
      <c r="B5" s="893">
        <v>93</v>
      </c>
      <c r="C5" s="893">
        <v>7.4106360000000002</v>
      </c>
      <c r="D5" s="898">
        <f t="shared" ref="D5:D70" si="2">C5*(0.01*B5)</f>
        <v>6.8918914800000008</v>
      </c>
      <c r="E5" s="893">
        <v>7.6</v>
      </c>
      <c r="F5" s="1402">
        <f t="shared" si="0"/>
        <v>7.0679999999999996</v>
      </c>
      <c r="G5" s="1403">
        <f t="shared" si="1"/>
        <v>0.48910197599999994</v>
      </c>
      <c r="H5" s="1407"/>
      <c r="I5" s="894" t="s">
        <v>1687</v>
      </c>
      <c r="J5" s="893">
        <v>300</v>
      </c>
      <c r="K5" s="893">
        <v>0</v>
      </c>
      <c r="L5" s="893">
        <v>18</v>
      </c>
      <c r="M5" s="893">
        <v>6</v>
      </c>
      <c r="N5" s="1345"/>
      <c r="S5" s="748"/>
      <c r="U5" s="748"/>
      <c r="V5" s="748"/>
    </row>
    <row r="6" spans="1:22" ht="16.5" hidden="1">
      <c r="A6" s="174" t="s">
        <v>1592</v>
      </c>
      <c r="B6" s="893">
        <v>26</v>
      </c>
      <c r="C6" s="893">
        <v>7.2547945205479447</v>
      </c>
      <c r="D6" s="898">
        <f t="shared" si="2"/>
        <v>1.8862465753424658</v>
      </c>
      <c r="E6" s="893">
        <v>7.2547945205479447</v>
      </c>
      <c r="F6" s="1402">
        <f t="shared" si="0"/>
        <v>1.8862465753424655</v>
      </c>
      <c r="G6" s="1403">
        <f t="shared" si="1"/>
        <v>0.47881643835616428</v>
      </c>
      <c r="H6" s="1407"/>
      <c r="I6" s="894" t="s">
        <v>1581</v>
      </c>
      <c r="J6" s="893">
        <v>350</v>
      </c>
      <c r="K6" s="893">
        <v>20</v>
      </c>
      <c r="L6" s="893">
        <v>31</v>
      </c>
      <c r="M6" s="893">
        <v>8</v>
      </c>
      <c r="N6" s="1345"/>
      <c r="S6" s="748"/>
      <c r="U6" s="748"/>
      <c r="V6" s="748"/>
    </row>
    <row r="7" spans="1:22" hidden="1">
      <c r="A7" s="174" t="s">
        <v>1217</v>
      </c>
      <c r="B7" s="893">
        <v>26</v>
      </c>
      <c r="C7" s="893">
        <v>7.2547945205479447</v>
      </c>
      <c r="D7" s="898">
        <f t="shared" si="2"/>
        <v>1.8862465753424658</v>
      </c>
      <c r="E7" s="893">
        <v>8.2547945205479447</v>
      </c>
      <c r="F7" s="1402">
        <f t="shared" si="0"/>
        <v>2.1462465753424653</v>
      </c>
      <c r="G7" s="1403">
        <f t="shared" si="1"/>
        <v>0.47881643835616428</v>
      </c>
      <c r="H7" s="1407"/>
      <c r="I7" s="174" t="s">
        <v>1135</v>
      </c>
      <c r="J7" s="893">
        <v>350</v>
      </c>
      <c r="K7" s="893">
        <v>20</v>
      </c>
      <c r="L7" s="893">
        <v>31</v>
      </c>
      <c r="M7" s="893">
        <v>8</v>
      </c>
      <c r="N7" s="1345"/>
      <c r="S7" s="748"/>
      <c r="U7" s="748"/>
      <c r="V7" s="748"/>
    </row>
    <row r="8" spans="1:22" ht="16.5" hidden="1">
      <c r="A8" s="174" t="s">
        <v>1593</v>
      </c>
      <c r="B8" s="893">
        <v>30</v>
      </c>
      <c r="C8" s="893">
        <v>12.1</v>
      </c>
      <c r="D8" s="898">
        <f t="shared" si="2"/>
        <v>3.63</v>
      </c>
      <c r="E8" s="893">
        <v>22</v>
      </c>
      <c r="F8" s="1402">
        <f t="shared" si="0"/>
        <v>6.6</v>
      </c>
      <c r="G8" s="1403">
        <f t="shared" si="1"/>
        <v>0.79859999999999998</v>
      </c>
      <c r="H8" s="1407"/>
      <c r="I8" s="894" t="s">
        <v>1582</v>
      </c>
      <c r="J8" s="893">
        <v>100</v>
      </c>
      <c r="K8" s="893">
        <v>100</v>
      </c>
      <c r="L8" s="893">
        <v>6</v>
      </c>
      <c r="M8" s="893">
        <v>6</v>
      </c>
      <c r="N8" s="1345"/>
      <c r="S8" s="748"/>
      <c r="U8" s="748"/>
      <c r="V8" s="748"/>
    </row>
    <row r="9" spans="1:22" ht="16.5" hidden="1">
      <c r="A9" s="174" t="s">
        <v>1594</v>
      </c>
      <c r="B9" s="893">
        <v>16.100000000000001</v>
      </c>
      <c r="C9" s="893">
        <v>10.006451999999999</v>
      </c>
      <c r="D9" s="898">
        <f t="shared" si="2"/>
        <v>1.6110387719999999</v>
      </c>
      <c r="E9" s="893">
        <v>19.940000000000001</v>
      </c>
      <c r="F9" s="1402">
        <f t="shared" si="0"/>
        <v>3.2103400000000004</v>
      </c>
      <c r="G9" s="1403">
        <f t="shared" si="1"/>
        <v>0.66042583199999993</v>
      </c>
      <c r="H9" s="1407"/>
      <c r="I9" s="894" t="s">
        <v>1583</v>
      </c>
      <c r="J9" s="893"/>
      <c r="K9" s="893"/>
      <c r="L9" s="893"/>
      <c r="M9" s="893"/>
      <c r="N9" s="1345"/>
      <c r="S9" s="748"/>
      <c r="U9" s="748"/>
      <c r="V9" s="748"/>
    </row>
    <row r="10" spans="1:22" ht="16.5" hidden="1">
      <c r="A10" s="174" t="s">
        <v>1595</v>
      </c>
      <c r="B10" s="893">
        <v>27.9</v>
      </c>
      <c r="C10" s="893">
        <v>4.3124000000000002</v>
      </c>
      <c r="D10" s="898">
        <f t="shared" si="2"/>
        <v>1.2031596</v>
      </c>
      <c r="E10" s="893">
        <v>5.45</v>
      </c>
      <c r="F10" s="1402">
        <f t="shared" si="0"/>
        <v>1.5205500000000001</v>
      </c>
      <c r="G10" s="1403">
        <f t="shared" si="1"/>
        <v>0.28461839999999999</v>
      </c>
      <c r="H10" s="1407"/>
      <c r="I10" s="894" t="s">
        <v>1583</v>
      </c>
      <c r="J10" s="893"/>
      <c r="K10" s="893"/>
      <c r="L10" s="893"/>
      <c r="M10" s="893"/>
      <c r="N10" s="1345"/>
      <c r="S10" s="748"/>
      <c r="U10" s="748"/>
      <c r="V10" s="748"/>
    </row>
    <row r="11" spans="1:22" ht="16.5" hidden="1">
      <c r="A11" s="174" t="s">
        <v>1596</v>
      </c>
      <c r="B11" s="893">
        <v>88.84</v>
      </c>
      <c r="C11" s="893">
        <v>10.76</v>
      </c>
      <c r="D11" s="898">
        <f t="shared" si="2"/>
        <v>9.5591840000000001</v>
      </c>
      <c r="E11" s="893">
        <v>1.81</v>
      </c>
      <c r="F11" s="1402">
        <f t="shared" si="0"/>
        <v>1.6080040000000002</v>
      </c>
      <c r="G11" s="1403">
        <f t="shared" si="1"/>
        <v>0.7101599999999999</v>
      </c>
      <c r="H11" s="1407"/>
      <c r="I11" s="894" t="s">
        <v>1583</v>
      </c>
      <c r="J11" s="893"/>
      <c r="K11" s="893"/>
      <c r="L11" s="893"/>
      <c r="M11" s="893"/>
      <c r="N11" s="1345"/>
      <c r="S11" s="748"/>
      <c r="U11" s="748"/>
      <c r="V11" s="748"/>
    </row>
    <row r="12" spans="1:22" ht="16.5">
      <c r="A12" s="1427" t="s">
        <v>1597</v>
      </c>
      <c r="B12" s="893">
        <v>90</v>
      </c>
      <c r="C12" s="893">
        <v>12.1</v>
      </c>
      <c r="D12" s="898">
        <f t="shared" si="2"/>
        <v>10.89</v>
      </c>
      <c r="E12" s="893">
        <v>16</v>
      </c>
      <c r="F12" s="1402">
        <f t="shared" si="0"/>
        <v>14.4</v>
      </c>
      <c r="G12" s="1403">
        <f t="shared" si="1"/>
        <v>0.79859999999999998</v>
      </c>
      <c r="H12" s="1407">
        <v>1</v>
      </c>
      <c r="I12" s="894" t="s">
        <v>1106</v>
      </c>
      <c r="J12" s="893">
        <v>0</v>
      </c>
      <c r="K12" s="893">
        <v>0</v>
      </c>
      <c r="L12" s="893">
        <v>0</v>
      </c>
      <c r="M12" s="893">
        <v>0</v>
      </c>
      <c r="N12" s="1345"/>
      <c r="S12" s="748"/>
      <c r="U12" s="748"/>
      <c r="V12" s="748"/>
    </row>
    <row r="13" spans="1:22" ht="16.5" hidden="1">
      <c r="A13" s="174" t="s">
        <v>798</v>
      </c>
      <c r="B13" s="893">
        <v>90</v>
      </c>
      <c r="C13" s="893">
        <v>9.8808480000000003</v>
      </c>
      <c r="D13" s="898">
        <f t="shared" si="2"/>
        <v>8.892763200000001</v>
      </c>
      <c r="E13" s="893">
        <v>18.399999999999999</v>
      </c>
      <c r="F13" s="1402">
        <f t="shared" si="0"/>
        <v>16.559999999999999</v>
      </c>
      <c r="G13" s="1403">
        <f t="shared" si="1"/>
        <v>0.65213596800000007</v>
      </c>
      <c r="H13" s="1407"/>
      <c r="I13" s="894" t="s">
        <v>980</v>
      </c>
      <c r="J13" s="893"/>
      <c r="K13" s="893"/>
      <c r="L13" s="893"/>
      <c r="M13" s="893"/>
      <c r="N13" s="1345"/>
      <c r="S13" s="748"/>
      <c r="U13" s="748"/>
      <c r="V13" s="748"/>
    </row>
    <row r="14" spans="1:22" ht="16.5" hidden="1">
      <c r="A14" s="174" t="s">
        <v>1598</v>
      </c>
      <c r="B14" s="893">
        <v>12.28</v>
      </c>
      <c r="C14" s="893">
        <v>10.45</v>
      </c>
      <c r="D14" s="898">
        <f t="shared" si="2"/>
        <v>1.2832599999999998</v>
      </c>
      <c r="E14" s="893">
        <v>20.56</v>
      </c>
      <c r="F14" s="1402">
        <f t="shared" si="0"/>
        <v>2.5247679999999999</v>
      </c>
      <c r="G14" s="1403">
        <f t="shared" si="1"/>
        <v>0.68969999999999987</v>
      </c>
      <c r="H14" s="1407"/>
      <c r="I14" s="894" t="s">
        <v>980</v>
      </c>
      <c r="J14" s="893">
        <v>100</v>
      </c>
      <c r="K14" s="893">
        <v>100</v>
      </c>
      <c r="L14" s="893">
        <v>6</v>
      </c>
      <c r="M14" s="893">
        <v>6</v>
      </c>
      <c r="N14" s="1345"/>
      <c r="S14" s="748"/>
      <c r="U14" s="748"/>
      <c r="V14" s="748"/>
    </row>
    <row r="15" spans="1:22" ht="16.5" hidden="1">
      <c r="A15" s="174" t="s">
        <v>799</v>
      </c>
      <c r="B15" s="893">
        <v>89.83</v>
      </c>
      <c r="C15" s="893">
        <v>13.21</v>
      </c>
      <c r="D15" s="898">
        <f t="shared" si="2"/>
        <v>11.866543</v>
      </c>
      <c r="E15" s="893">
        <v>23.88</v>
      </c>
      <c r="F15" s="1402">
        <f t="shared" si="0"/>
        <v>21.451403999999997</v>
      </c>
      <c r="G15" s="1403">
        <f t="shared" si="1"/>
        <v>0.87186000000000008</v>
      </c>
      <c r="H15" s="1407"/>
      <c r="I15" s="894" t="s">
        <v>980</v>
      </c>
      <c r="J15" s="893"/>
      <c r="K15" s="893"/>
      <c r="L15" s="893"/>
      <c r="M15" s="893"/>
      <c r="N15" s="1345"/>
      <c r="S15" s="748"/>
      <c r="U15" s="748"/>
      <c r="V15" s="748"/>
    </row>
    <row r="16" spans="1:22" ht="16.5" hidden="1">
      <c r="A16" s="174" t="s">
        <v>800</v>
      </c>
      <c r="B16" s="893">
        <v>90.17</v>
      </c>
      <c r="C16" s="893">
        <v>14</v>
      </c>
      <c r="D16" s="898">
        <f t="shared" si="2"/>
        <v>12.623800000000001</v>
      </c>
      <c r="E16" s="893">
        <v>22.53</v>
      </c>
      <c r="F16" s="1402">
        <f t="shared" si="0"/>
        <v>20.315301000000002</v>
      </c>
      <c r="G16" s="1403">
        <f t="shared" si="1"/>
        <v>0.92399999999999993</v>
      </c>
      <c r="H16" s="1407"/>
      <c r="I16" s="894" t="s">
        <v>980</v>
      </c>
      <c r="J16" s="893"/>
      <c r="K16" s="893"/>
      <c r="L16" s="893"/>
      <c r="M16" s="893"/>
      <c r="N16" s="1345"/>
      <c r="S16" s="748"/>
      <c r="U16" s="748"/>
      <c r="V16" s="748"/>
    </row>
    <row r="17" spans="1:22" ht="16.5" hidden="1">
      <c r="A17" s="13" t="s">
        <v>1599</v>
      </c>
      <c r="B17" s="895">
        <v>30</v>
      </c>
      <c r="C17" s="895">
        <v>9.4</v>
      </c>
      <c r="D17" s="898">
        <f t="shared" si="2"/>
        <v>2.82</v>
      </c>
      <c r="E17" s="895">
        <v>24</v>
      </c>
      <c r="F17" s="1408">
        <f t="shared" si="0"/>
        <v>7.2</v>
      </c>
      <c r="G17" s="1405">
        <f t="shared" si="1"/>
        <v>0.62039999999999995</v>
      </c>
      <c r="H17" s="1407"/>
      <c r="I17" s="894" t="s">
        <v>1584</v>
      </c>
      <c r="J17" s="895">
        <v>300</v>
      </c>
      <c r="K17" s="895">
        <v>0</v>
      </c>
      <c r="L17" s="895">
        <v>18</v>
      </c>
      <c r="M17" s="895">
        <v>6</v>
      </c>
      <c r="N17" s="1345"/>
      <c r="S17" s="748"/>
      <c r="U17" s="748"/>
      <c r="V17" s="748"/>
    </row>
    <row r="18" spans="1:22" ht="16.5" hidden="1">
      <c r="A18" s="1123" t="s">
        <v>1695</v>
      </c>
      <c r="B18" s="893">
        <v>30.3</v>
      </c>
      <c r="C18" s="893">
        <v>9.6715079999999993</v>
      </c>
      <c r="D18" s="898">
        <f t="shared" si="2"/>
        <v>2.9304669239999996</v>
      </c>
      <c r="E18" s="893">
        <v>12.6</v>
      </c>
      <c r="F18" s="1403">
        <f t="shared" si="0"/>
        <v>3.8177999999999996</v>
      </c>
      <c r="G18" s="1403">
        <f t="shared" si="1"/>
        <v>0.63831952799999991</v>
      </c>
      <c r="H18" s="1406"/>
      <c r="I18" s="894" t="s">
        <v>1687</v>
      </c>
      <c r="J18" s="893">
        <v>50</v>
      </c>
      <c r="K18" s="893">
        <v>100</v>
      </c>
      <c r="L18" s="893">
        <v>6</v>
      </c>
      <c r="M18" s="893">
        <v>6</v>
      </c>
      <c r="N18" s="1345"/>
      <c r="S18" s="748"/>
      <c r="U18" s="748"/>
      <c r="V18" s="748"/>
    </row>
    <row r="19" spans="1:22" ht="16.5" hidden="1">
      <c r="A19" s="13" t="s">
        <v>1700</v>
      </c>
      <c r="B19" s="895">
        <v>33</v>
      </c>
      <c r="C19" s="895">
        <v>7.25</v>
      </c>
      <c r="D19" s="898">
        <f t="shared" si="2"/>
        <v>2.3925000000000001</v>
      </c>
      <c r="E19" s="895">
        <v>8</v>
      </c>
      <c r="F19" s="1408">
        <f t="shared" si="0"/>
        <v>2.64</v>
      </c>
      <c r="G19" s="1405">
        <f t="shared" si="1"/>
        <v>0.47849999999999993</v>
      </c>
      <c r="H19" s="1407"/>
      <c r="I19" s="894" t="s">
        <v>1660</v>
      </c>
      <c r="J19" s="895">
        <v>300</v>
      </c>
      <c r="K19" s="895">
        <v>0</v>
      </c>
      <c r="L19" s="895">
        <v>18</v>
      </c>
      <c r="M19" s="895">
        <v>6</v>
      </c>
      <c r="N19" s="1345"/>
      <c r="S19" s="748"/>
      <c r="U19" s="748"/>
      <c r="V19" s="748"/>
    </row>
    <row r="20" spans="1:22" ht="16.5" hidden="1">
      <c r="A20" s="1123" t="s">
        <v>1683</v>
      </c>
      <c r="B20" s="893">
        <v>24</v>
      </c>
      <c r="C20" s="893">
        <v>9.6999999999999993</v>
      </c>
      <c r="D20" s="898">
        <f t="shared" si="2"/>
        <v>2.3279999999999998</v>
      </c>
      <c r="E20" s="893">
        <v>9.9</v>
      </c>
      <c r="F20" s="1405">
        <v>2.3760000000000003</v>
      </c>
      <c r="G20" s="1405">
        <v>0.64019999999999999</v>
      </c>
      <c r="H20" s="1406"/>
      <c r="I20" s="1124" t="s">
        <v>1673</v>
      </c>
      <c r="J20" s="893">
        <v>350</v>
      </c>
      <c r="K20" s="893">
        <v>20</v>
      </c>
      <c r="L20" s="893">
        <v>31</v>
      </c>
      <c r="M20" s="893">
        <v>8</v>
      </c>
      <c r="N20" s="1345"/>
      <c r="S20" s="748"/>
      <c r="U20" s="748"/>
      <c r="V20" s="748"/>
    </row>
    <row r="21" spans="1:22" ht="16.5" hidden="1">
      <c r="A21" s="174" t="s">
        <v>1600</v>
      </c>
      <c r="B21" s="893">
        <v>30</v>
      </c>
      <c r="C21" s="893">
        <v>11.5</v>
      </c>
      <c r="D21" s="898">
        <f t="shared" si="2"/>
        <v>3.4499999999999997</v>
      </c>
      <c r="E21" s="893">
        <v>22.3</v>
      </c>
      <c r="F21" s="1402">
        <f t="shared" ref="F21:F84" si="3">E21*B21/100</f>
        <v>6.69</v>
      </c>
      <c r="G21" s="1403">
        <f t="shared" ref="G21:G84" si="4">C21*6.6/100</f>
        <v>0.7589999999999999</v>
      </c>
      <c r="H21" s="1407"/>
      <c r="I21" s="894" t="s">
        <v>1585</v>
      </c>
      <c r="J21" s="893">
        <v>50</v>
      </c>
      <c r="K21" s="893">
        <v>100</v>
      </c>
      <c r="L21" s="893">
        <v>6</v>
      </c>
      <c r="M21" s="893">
        <v>6</v>
      </c>
      <c r="N21" s="1345"/>
      <c r="S21" s="748"/>
      <c r="U21" s="748"/>
      <c r="V21" s="748"/>
    </row>
    <row r="22" spans="1:22" ht="16.5" hidden="1">
      <c r="A22" s="174" t="s">
        <v>801</v>
      </c>
      <c r="B22" s="893">
        <v>89.53</v>
      </c>
      <c r="C22" s="893">
        <v>7.99</v>
      </c>
      <c r="D22" s="898">
        <f t="shared" si="2"/>
        <v>7.1534469999999999</v>
      </c>
      <c r="E22" s="893">
        <v>6.52</v>
      </c>
      <c r="F22" s="1402">
        <f t="shared" si="3"/>
        <v>5.8373559999999998</v>
      </c>
      <c r="G22" s="1403">
        <f t="shared" si="4"/>
        <v>0.52734000000000003</v>
      </c>
      <c r="H22" s="1407"/>
      <c r="I22" s="894" t="s">
        <v>642</v>
      </c>
      <c r="J22" s="893"/>
      <c r="K22" s="893"/>
      <c r="L22" s="893"/>
      <c r="M22" s="893"/>
      <c r="N22" s="1345"/>
    </row>
    <row r="23" spans="1:22" ht="16.5" hidden="1">
      <c r="A23" s="174" t="s">
        <v>802</v>
      </c>
      <c r="B23" s="893">
        <v>92.7</v>
      </c>
      <c r="C23" s="893">
        <v>21.185199999999998</v>
      </c>
      <c r="D23" s="898">
        <f t="shared" si="2"/>
        <v>19.638680399999998</v>
      </c>
      <c r="E23" s="893">
        <v>33.200000000000003</v>
      </c>
      <c r="F23" s="1402">
        <f t="shared" si="3"/>
        <v>30.776400000000002</v>
      </c>
      <c r="G23" s="1403">
        <f t="shared" si="4"/>
        <v>1.3982231999999999</v>
      </c>
      <c r="H23" s="1407"/>
      <c r="I23" s="894" t="s">
        <v>642</v>
      </c>
      <c r="J23" s="893"/>
      <c r="K23" s="893"/>
      <c r="L23" s="893"/>
      <c r="M23" s="893"/>
      <c r="N23" s="1345"/>
    </row>
    <row r="24" spans="1:22" ht="16.5" hidden="1">
      <c r="A24" s="174" t="s">
        <v>803</v>
      </c>
      <c r="B24" s="893">
        <v>93.12</v>
      </c>
      <c r="C24" s="893">
        <v>6.56</v>
      </c>
      <c r="D24" s="898">
        <f t="shared" si="2"/>
        <v>6.1086719999999994</v>
      </c>
      <c r="E24" s="893">
        <v>16.29</v>
      </c>
      <c r="F24" s="1402">
        <f t="shared" si="3"/>
        <v>15.169248</v>
      </c>
      <c r="G24" s="1403">
        <f t="shared" si="4"/>
        <v>0.4329599999999999</v>
      </c>
      <c r="H24" s="1407"/>
      <c r="I24" s="894" t="s">
        <v>642</v>
      </c>
      <c r="J24" s="893"/>
      <c r="K24" s="893"/>
      <c r="L24" s="893"/>
      <c r="M24" s="893"/>
      <c r="N24" s="1345"/>
    </row>
    <row r="25" spans="1:22" ht="16.5" hidden="1">
      <c r="A25" s="174" t="s">
        <v>1659</v>
      </c>
      <c r="B25" s="893">
        <v>30</v>
      </c>
      <c r="C25" s="893">
        <v>11</v>
      </c>
      <c r="D25" s="898">
        <f t="shared" si="2"/>
        <v>3.3</v>
      </c>
      <c r="E25" s="893">
        <v>15</v>
      </c>
      <c r="F25" s="1402">
        <f t="shared" si="3"/>
        <v>4.5</v>
      </c>
      <c r="G25" s="1403">
        <f t="shared" si="4"/>
        <v>0.72599999999999998</v>
      </c>
      <c r="H25" s="1407"/>
      <c r="I25" s="894" t="s">
        <v>1658</v>
      </c>
      <c r="J25" s="893"/>
      <c r="K25" s="893"/>
      <c r="L25" s="893"/>
      <c r="M25" s="893"/>
      <c r="N25" s="1345"/>
    </row>
    <row r="26" spans="1:22" ht="16.5" hidden="1">
      <c r="A26" s="174" t="s">
        <v>1601</v>
      </c>
      <c r="B26" s="893">
        <v>26</v>
      </c>
      <c r="C26" s="893">
        <v>6.1293150684931508</v>
      </c>
      <c r="D26" s="898">
        <f t="shared" si="2"/>
        <v>1.5936219178082192</v>
      </c>
      <c r="E26" s="893">
        <v>6</v>
      </c>
      <c r="F26" s="1402">
        <f t="shared" si="3"/>
        <v>1.56</v>
      </c>
      <c r="G26" s="1403">
        <f t="shared" si="4"/>
        <v>0.40453479452054791</v>
      </c>
      <c r="H26" s="1407"/>
      <c r="I26" s="894" t="s">
        <v>1587</v>
      </c>
      <c r="J26" s="893">
        <v>300</v>
      </c>
      <c r="K26" s="893">
        <v>0</v>
      </c>
      <c r="L26" s="893">
        <v>18</v>
      </c>
      <c r="M26" s="893">
        <v>6</v>
      </c>
      <c r="N26" s="1345"/>
    </row>
    <row r="27" spans="1:22" ht="16.5" hidden="1">
      <c r="A27" s="174" t="s">
        <v>1670</v>
      </c>
      <c r="B27" s="893">
        <v>24</v>
      </c>
      <c r="C27" s="893">
        <v>6.0038356164383559</v>
      </c>
      <c r="D27" s="898">
        <f t="shared" si="2"/>
        <v>1.4409205479452054</v>
      </c>
      <c r="E27" s="893">
        <v>6</v>
      </c>
      <c r="F27" s="1402">
        <f t="shared" si="3"/>
        <v>1.44</v>
      </c>
      <c r="G27" s="1403">
        <f t="shared" si="4"/>
        <v>0.39625315068493144</v>
      </c>
      <c r="H27" s="1407"/>
      <c r="I27" s="894" t="s">
        <v>1669</v>
      </c>
      <c r="J27" s="893">
        <v>300</v>
      </c>
      <c r="K27" s="893">
        <v>0</v>
      </c>
      <c r="L27" s="893">
        <v>18</v>
      </c>
      <c r="M27" s="893">
        <v>6</v>
      </c>
      <c r="N27" s="1345"/>
    </row>
    <row r="28" spans="1:22" ht="16.5" hidden="1">
      <c r="A28" s="174" t="s">
        <v>1602</v>
      </c>
      <c r="B28" s="893">
        <v>18.3</v>
      </c>
      <c r="C28" s="893">
        <v>11.43</v>
      </c>
      <c r="D28" s="898">
        <f t="shared" si="2"/>
        <v>2.0916900000000003</v>
      </c>
      <c r="E28" s="893">
        <v>22.94</v>
      </c>
      <c r="F28" s="1402">
        <f t="shared" si="3"/>
        <v>4.1980200000000005</v>
      </c>
      <c r="G28" s="1403">
        <f t="shared" si="4"/>
        <v>0.75437999999999983</v>
      </c>
      <c r="H28" s="1407"/>
      <c r="I28" s="894" t="s">
        <v>1603</v>
      </c>
      <c r="J28" s="893">
        <v>100</v>
      </c>
      <c r="K28" s="893">
        <v>100</v>
      </c>
      <c r="L28" s="893">
        <v>6</v>
      </c>
      <c r="M28" s="893">
        <v>6</v>
      </c>
      <c r="N28" s="1345"/>
    </row>
    <row r="29" spans="1:22" ht="16.5" hidden="1">
      <c r="A29" s="174" t="s">
        <v>1229</v>
      </c>
      <c r="B29" s="893">
        <v>90</v>
      </c>
      <c r="C29" s="893">
        <v>9.2899999999999991</v>
      </c>
      <c r="D29" s="898">
        <f t="shared" si="2"/>
        <v>8.3609999999999989</v>
      </c>
      <c r="E29" s="893">
        <v>16.600000000000001</v>
      </c>
      <c r="F29" s="1402">
        <f t="shared" si="3"/>
        <v>14.940000000000003</v>
      </c>
      <c r="G29" s="1403">
        <f t="shared" si="4"/>
        <v>0.61313999999999991</v>
      </c>
      <c r="H29" s="1407"/>
      <c r="I29" s="894" t="s">
        <v>1603</v>
      </c>
      <c r="J29" s="893">
        <v>50</v>
      </c>
      <c r="K29" s="893">
        <v>50</v>
      </c>
      <c r="L29" s="893">
        <v>10</v>
      </c>
      <c r="M29" s="893">
        <v>10</v>
      </c>
      <c r="N29" s="1345"/>
    </row>
    <row r="30" spans="1:22" ht="16.5" hidden="1">
      <c r="A30" s="174" t="s">
        <v>1230</v>
      </c>
      <c r="B30" s="893">
        <v>27.83</v>
      </c>
      <c r="C30" s="893">
        <v>7.4400000000000013</v>
      </c>
      <c r="D30" s="898">
        <f t="shared" si="2"/>
        <v>2.0705520000000002</v>
      </c>
      <c r="E30" s="893">
        <v>17.510000000000002</v>
      </c>
      <c r="F30" s="1402">
        <f t="shared" si="3"/>
        <v>4.8730330000000004</v>
      </c>
      <c r="G30" s="1403">
        <f t="shared" si="4"/>
        <v>0.49104000000000009</v>
      </c>
      <c r="H30" s="1407"/>
      <c r="I30" s="894" t="s">
        <v>1603</v>
      </c>
      <c r="J30" s="893">
        <v>50</v>
      </c>
      <c r="K30" s="893">
        <v>50</v>
      </c>
      <c r="L30" s="893">
        <v>10</v>
      </c>
      <c r="M30" s="893">
        <v>10</v>
      </c>
      <c r="N30" s="1345"/>
    </row>
    <row r="31" spans="1:22" ht="16.5" hidden="1">
      <c r="A31" s="174" t="s">
        <v>1604</v>
      </c>
      <c r="B31" s="893">
        <v>26.2</v>
      </c>
      <c r="C31" s="893">
        <v>9.5</v>
      </c>
      <c r="D31" s="898">
        <f t="shared" si="2"/>
        <v>2.4889999999999999</v>
      </c>
      <c r="E31" s="893">
        <v>19.93</v>
      </c>
      <c r="F31" s="1402">
        <f t="shared" si="3"/>
        <v>5.2216599999999991</v>
      </c>
      <c r="G31" s="1403">
        <f t="shared" si="4"/>
        <v>0.627</v>
      </c>
      <c r="H31" s="1407"/>
      <c r="I31" s="894" t="s">
        <v>910</v>
      </c>
      <c r="J31" s="893">
        <v>50</v>
      </c>
      <c r="K31" s="893">
        <v>100</v>
      </c>
      <c r="L31" s="893">
        <v>6</v>
      </c>
      <c r="M31" s="893">
        <v>6</v>
      </c>
      <c r="N31" s="1345"/>
    </row>
    <row r="32" spans="1:22" ht="16.5" hidden="1">
      <c r="A32" s="174" t="s">
        <v>1476</v>
      </c>
      <c r="B32" s="893">
        <v>90.6</v>
      </c>
      <c r="C32" s="893">
        <v>9.0853560000000009</v>
      </c>
      <c r="D32" s="898">
        <f t="shared" si="2"/>
        <v>8.231332536</v>
      </c>
      <c r="E32" s="893">
        <v>18.600000000000001</v>
      </c>
      <c r="F32" s="1402">
        <f t="shared" si="3"/>
        <v>16.851600000000001</v>
      </c>
      <c r="G32" s="1403">
        <f t="shared" si="4"/>
        <v>0.59963349600000004</v>
      </c>
      <c r="H32" s="1407"/>
      <c r="I32" s="894" t="s">
        <v>1524</v>
      </c>
      <c r="J32" s="893"/>
      <c r="K32" s="893"/>
      <c r="L32" s="893"/>
      <c r="M32" s="893"/>
      <c r="N32" s="1345"/>
    </row>
    <row r="33" spans="1:14" ht="16.5" hidden="1">
      <c r="A33" s="174" t="s">
        <v>1477</v>
      </c>
      <c r="B33" s="893">
        <v>91.7</v>
      </c>
      <c r="C33" s="893">
        <v>9.3784320000000001</v>
      </c>
      <c r="D33" s="898">
        <f t="shared" si="2"/>
        <v>8.6000221440000004</v>
      </c>
      <c r="E33" s="893">
        <v>18.899999999999999</v>
      </c>
      <c r="F33" s="1402">
        <f t="shared" si="3"/>
        <v>17.331299999999999</v>
      </c>
      <c r="G33" s="1403">
        <f t="shared" si="4"/>
        <v>0.61897651200000003</v>
      </c>
      <c r="H33" s="1407"/>
      <c r="I33" s="894" t="s">
        <v>1524</v>
      </c>
      <c r="J33" s="893"/>
      <c r="K33" s="893"/>
      <c r="L33" s="893"/>
      <c r="M33" s="893"/>
      <c r="N33" s="1345"/>
    </row>
    <row r="34" spans="1:14" ht="16.5" hidden="1">
      <c r="A34" s="174" t="s">
        <v>1478</v>
      </c>
      <c r="B34" s="893">
        <v>44.1</v>
      </c>
      <c r="C34" s="893">
        <v>9.5459040000000002</v>
      </c>
      <c r="D34" s="898">
        <f t="shared" si="2"/>
        <v>4.2097436640000003</v>
      </c>
      <c r="E34" s="893">
        <v>19.5</v>
      </c>
      <c r="F34" s="1402">
        <f t="shared" si="3"/>
        <v>8.5995000000000008</v>
      </c>
      <c r="G34" s="1403">
        <f t="shared" si="4"/>
        <v>0.63002966399999993</v>
      </c>
      <c r="H34" s="1407"/>
      <c r="I34" s="894" t="s">
        <v>1524</v>
      </c>
      <c r="J34" s="893"/>
      <c r="K34" s="893"/>
      <c r="L34" s="893"/>
      <c r="M34" s="893"/>
      <c r="N34" s="1345"/>
    </row>
    <row r="35" spans="1:14" ht="16.5" hidden="1">
      <c r="A35" s="174" t="s">
        <v>1479</v>
      </c>
      <c r="B35" s="893">
        <v>93.85</v>
      </c>
      <c r="C35" s="893">
        <v>5.57</v>
      </c>
      <c r="D35" s="898">
        <f t="shared" si="2"/>
        <v>5.2274450000000003</v>
      </c>
      <c r="E35" s="893">
        <v>6.44</v>
      </c>
      <c r="F35" s="1402">
        <f t="shared" si="3"/>
        <v>6.0439400000000001</v>
      </c>
      <c r="G35" s="1403">
        <f t="shared" si="4"/>
        <v>0.36762</v>
      </c>
      <c r="H35" s="1407"/>
      <c r="I35" s="894" t="s">
        <v>1525</v>
      </c>
      <c r="J35" s="893"/>
      <c r="K35" s="893"/>
      <c r="L35" s="893"/>
      <c r="M35" s="893"/>
      <c r="N35" s="1345"/>
    </row>
    <row r="36" spans="1:14" ht="16.5" hidden="1">
      <c r="A36" s="174" t="s">
        <v>1480</v>
      </c>
      <c r="B36" s="893">
        <v>90</v>
      </c>
      <c r="C36" s="893">
        <v>19</v>
      </c>
      <c r="D36" s="898">
        <f t="shared" si="2"/>
        <v>17.100000000000001</v>
      </c>
      <c r="E36" s="893">
        <v>30</v>
      </c>
      <c r="F36" s="1402">
        <f t="shared" si="3"/>
        <v>27</v>
      </c>
      <c r="G36" s="1403">
        <f t="shared" si="4"/>
        <v>1.254</v>
      </c>
      <c r="H36" s="1407"/>
      <c r="I36" s="894" t="s">
        <v>1525</v>
      </c>
      <c r="J36" s="893"/>
      <c r="K36" s="893"/>
      <c r="L36" s="893"/>
      <c r="M36" s="893"/>
      <c r="N36" s="1345"/>
    </row>
    <row r="37" spans="1:14" ht="16.5" hidden="1">
      <c r="A37" s="174" t="s">
        <v>1481</v>
      </c>
      <c r="B37" s="893">
        <v>91.89</v>
      </c>
      <c r="C37" s="893">
        <v>7.36</v>
      </c>
      <c r="D37" s="898">
        <f t="shared" si="2"/>
        <v>6.7631040000000002</v>
      </c>
      <c r="E37" s="893">
        <v>5.54</v>
      </c>
      <c r="F37" s="1402">
        <f t="shared" si="3"/>
        <v>5.090706</v>
      </c>
      <c r="G37" s="1403">
        <f t="shared" si="4"/>
        <v>0.48576000000000003</v>
      </c>
      <c r="H37" s="1407"/>
      <c r="I37" s="894" t="s">
        <v>1525</v>
      </c>
      <c r="J37" s="893"/>
      <c r="K37" s="893"/>
      <c r="L37" s="893"/>
      <c r="M37" s="893"/>
      <c r="N37" s="1345"/>
    </row>
    <row r="38" spans="1:14" ht="16.5" hidden="1">
      <c r="A38" s="174" t="s">
        <v>1676</v>
      </c>
      <c r="B38" s="893">
        <v>87</v>
      </c>
      <c r="C38" s="893">
        <v>9.127224</v>
      </c>
      <c r="D38" s="898">
        <f t="shared" si="2"/>
        <v>7.9406848800000001</v>
      </c>
      <c r="E38" s="893">
        <v>5.9</v>
      </c>
      <c r="F38" s="1402">
        <f t="shared" si="3"/>
        <v>5.1330000000000009</v>
      </c>
      <c r="G38" s="1403">
        <f t="shared" si="4"/>
        <v>0.60239678399999996</v>
      </c>
      <c r="H38" s="1407"/>
      <c r="I38" s="894" t="s">
        <v>1106</v>
      </c>
      <c r="J38" s="893"/>
      <c r="K38" s="893"/>
      <c r="L38" s="893"/>
      <c r="M38" s="893"/>
      <c r="N38" s="1345"/>
    </row>
    <row r="39" spans="1:14" ht="16.5" hidden="1">
      <c r="A39" s="174" t="s">
        <v>1482</v>
      </c>
      <c r="B39" s="893">
        <v>90.1</v>
      </c>
      <c r="C39" s="893">
        <v>7.5781080000000003</v>
      </c>
      <c r="D39" s="898">
        <f t="shared" si="2"/>
        <v>6.8278753079999994</v>
      </c>
      <c r="E39" s="893">
        <v>2.8</v>
      </c>
      <c r="F39" s="1402">
        <f t="shared" si="3"/>
        <v>2.5227999999999997</v>
      </c>
      <c r="G39" s="1405">
        <f t="shared" si="4"/>
        <v>0.50015512799999995</v>
      </c>
      <c r="H39" s="1407"/>
      <c r="I39" s="894" t="s">
        <v>375</v>
      </c>
      <c r="J39" s="893"/>
      <c r="K39" s="893"/>
      <c r="L39" s="893"/>
      <c r="M39" s="893"/>
      <c r="N39" s="1345"/>
    </row>
    <row r="40" spans="1:14" ht="16.5" hidden="1">
      <c r="A40" s="174" t="s">
        <v>1483</v>
      </c>
      <c r="B40" s="893">
        <v>89</v>
      </c>
      <c r="C40" s="893">
        <v>13.020948000000001</v>
      </c>
      <c r="D40" s="898">
        <f t="shared" si="2"/>
        <v>11.58864372</v>
      </c>
      <c r="E40" s="893">
        <v>10</v>
      </c>
      <c r="F40" s="1402">
        <f t="shared" si="3"/>
        <v>8.9</v>
      </c>
      <c r="G40" s="1403">
        <f t="shared" si="4"/>
        <v>0.85938256800000001</v>
      </c>
      <c r="H40" s="1407"/>
      <c r="I40" s="894" t="s">
        <v>375</v>
      </c>
      <c r="J40" s="893"/>
      <c r="K40" s="893"/>
      <c r="L40" s="893"/>
      <c r="M40" s="893"/>
      <c r="N40" s="1345"/>
    </row>
    <row r="41" spans="1:14" ht="16.5" hidden="1">
      <c r="A41" s="174" t="s">
        <v>1675</v>
      </c>
      <c r="B41" s="893">
        <v>82</v>
      </c>
      <c r="C41" s="893">
        <v>10.215792</v>
      </c>
      <c r="D41" s="898">
        <f t="shared" si="2"/>
        <v>8.3769494400000006</v>
      </c>
      <c r="E41" s="893">
        <v>8.9</v>
      </c>
      <c r="F41" s="1402">
        <f t="shared" si="3"/>
        <v>7.2980000000000009</v>
      </c>
      <c r="G41" s="1403">
        <f t="shared" si="4"/>
        <v>0.67424227200000009</v>
      </c>
      <c r="H41" s="1407"/>
      <c r="I41" s="894" t="s">
        <v>375</v>
      </c>
      <c r="J41" s="893"/>
      <c r="K41" s="893"/>
      <c r="L41" s="893"/>
      <c r="M41" s="893"/>
      <c r="N41" s="1345"/>
    </row>
    <row r="42" spans="1:14" ht="16.5" hidden="1">
      <c r="A42" s="174" t="s">
        <v>1484</v>
      </c>
      <c r="B42" s="893">
        <v>34.6</v>
      </c>
      <c r="C42" s="893">
        <v>10.885680000000001</v>
      </c>
      <c r="D42" s="898">
        <f t="shared" si="2"/>
        <v>3.7664452800000006</v>
      </c>
      <c r="E42" s="893">
        <v>8.65</v>
      </c>
      <c r="F42" s="1402">
        <f t="shared" si="3"/>
        <v>2.9929000000000001</v>
      </c>
      <c r="G42" s="1403">
        <f t="shared" si="4"/>
        <v>0.71845488000000002</v>
      </c>
      <c r="H42" s="1407"/>
      <c r="I42" s="894" t="s">
        <v>1672</v>
      </c>
      <c r="J42" s="893"/>
      <c r="K42" s="893">
        <v>1680</v>
      </c>
      <c r="L42" s="893"/>
      <c r="M42" s="893">
        <v>200</v>
      </c>
      <c r="N42" s="1345"/>
    </row>
    <row r="43" spans="1:14" ht="16.5">
      <c r="A43" s="1427" t="s">
        <v>1882</v>
      </c>
      <c r="B43" s="897">
        <v>22</v>
      </c>
      <c r="C43" s="897">
        <v>8.1999999999999993</v>
      </c>
      <c r="D43" s="898">
        <f t="shared" si="2"/>
        <v>1.8039999999999998</v>
      </c>
      <c r="E43" s="897">
        <v>5.5</v>
      </c>
      <c r="F43" s="1402">
        <f t="shared" si="3"/>
        <v>1.21</v>
      </c>
      <c r="G43" s="1403">
        <f t="shared" si="4"/>
        <v>0.5411999999999999</v>
      </c>
      <c r="H43" s="896">
        <v>0</v>
      </c>
      <c r="I43" s="1425" t="s">
        <v>1881</v>
      </c>
      <c r="J43" s="893">
        <v>300</v>
      </c>
      <c r="K43" s="893">
        <v>0</v>
      </c>
      <c r="L43" s="893">
        <v>18</v>
      </c>
      <c r="M43" s="893">
        <v>6</v>
      </c>
      <c r="N43" s="1345"/>
    </row>
    <row r="44" spans="1:14" ht="16.5" hidden="1">
      <c r="A44" s="174" t="s">
        <v>1486</v>
      </c>
      <c r="B44" s="893">
        <v>90</v>
      </c>
      <c r="C44" s="893">
        <v>15</v>
      </c>
      <c r="D44" s="898">
        <f t="shared" si="2"/>
        <v>13.5</v>
      </c>
      <c r="E44" s="893">
        <v>9</v>
      </c>
      <c r="F44" s="1402">
        <f t="shared" si="3"/>
        <v>8.1</v>
      </c>
      <c r="G44" s="1403">
        <f t="shared" si="4"/>
        <v>0.99</v>
      </c>
      <c r="H44" s="1407"/>
      <c r="I44" s="894" t="s">
        <v>375</v>
      </c>
      <c r="J44" s="893">
        <v>50</v>
      </c>
      <c r="K44" s="893">
        <v>30</v>
      </c>
      <c r="L44" s="893">
        <v>5</v>
      </c>
      <c r="M44" s="893">
        <v>10</v>
      </c>
      <c r="N44" s="1345"/>
    </row>
    <row r="45" spans="1:14" ht="16.5" hidden="1">
      <c r="A45" s="1123" t="s">
        <v>1668</v>
      </c>
      <c r="B45" s="893">
        <v>26.2</v>
      </c>
      <c r="C45" s="893">
        <v>10.6</v>
      </c>
      <c r="D45" s="898">
        <f t="shared" si="2"/>
        <v>2.7772000000000001</v>
      </c>
      <c r="E45" s="893">
        <v>24.3</v>
      </c>
      <c r="F45" s="1402">
        <f t="shared" si="3"/>
        <v>6.3666</v>
      </c>
      <c r="G45" s="1403">
        <f t="shared" si="4"/>
        <v>0.69959999999999989</v>
      </c>
      <c r="H45" s="1406"/>
      <c r="I45" s="1124" t="s">
        <v>1657</v>
      </c>
      <c r="J45" s="893">
        <v>50</v>
      </c>
      <c r="K45" s="893">
        <v>30</v>
      </c>
      <c r="L45" s="893">
        <v>5</v>
      </c>
      <c r="M45" s="893">
        <v>10</v>
      </c>
      <c r="N45" s="1345"/>
    </row>
    <row r="46" spans="1:14" ht="16.5" hidden="1">
      <c r="A46" s="174" t="s">
        <v>1605</v>
      </c>
      <c r="B46" s="893">
        <v>20.966999999999999</v>
      </c>
      <c r="C46" s="893">
        <v>10.8</v>
      </c>
      <c r="D46" s="898">
        <f t="shared" si="2"/>
        <v>2.2644359999999999</v>
      </c>
      <c r="E46" s="893">
        <v>15.77</v>
      </c>
      <c r="F46" s="1402">
        <f t="shared" si="3"/>
        <v>3.3064958999999998</v>
      </c>
      <c r="G46" s="1403">
        <f t="shared" si="4"/>
        <v>0.71279999999999999</v>
      </c>
      <c r="H46" s="1407"/>
      <c r="I46" s="894" t="s">
        <v>1231</v>
      </c>
      <c r="J46" s="893">
        <v>50</v>
      </c>
      <c r="K46" s="893">
        <v>30</v>
      </c>
      <c r="L46" s="893">
        <v>5</v>
      </c>
      <c r="M46" s="893">
        <v>10</v>
      </c>
      <c r="N46" s="1345"/>
    </row>
    <row r="47" spans="1:14" ht="16.5" hidden="1">
      <c r="A47" s="174" t="s">
        <v>1487</v>
      </c>
      <c r="B47" s="893">
        <v>20.966999999999999</v>
      </c>
      <c r="C47" s="893">
        <v>10.8</v>
      </c>
      <c r="D47" s="898">
        <f t="shared" si="2"/>
        <v>2.2644359999999999</v>
      </c>
      <c r="E47" s="893">
        <v>15.77</v>
      </c>
      <c r="F47" s="1402">
        <f t="shared" si="3"/>
        <v>3.3064958999999998</v>
      </c>
      <c r="G47" s="1403">
        <f t="shared" si="4"/>
        <v>0.71279999999999999</v>
      </c>
      <c r="H47" s="1407"/>
      <c r="I47" s="894" t="s">
        <v>1231</v>
      </c>
      <c r="J47" s="893">
        <v>50</v>
      </c>
      <c r="K47" s="893">
        <v>30</v>
      </c>
      <c r="L47" s="893">
        <v>5</v>
      </c>
      <c r="M47" s="893">
        <v>10</v>
      </c>
      <c r="N47" s="1345"/>
    </row>
    <row r="48" spans="1:14" ht="16.5" hidden="1">
      <c r="A48" s="174" t="s">
        <v>1232</v>
      </c>
      <c r="B48" s="893">
        <v>90.6</v>
      </c>
      <c r="C48" s="893">
        <v>10.89</v>
      </c>
      <c r="D48" s="898">
        <f t="shared" si="2"/>
        <v>9.8663399999999992</v>
      </c>
      <c r="E48" s="893">
        <v>14.8</v>
      </c>
      <c r="F48" s="1402">
        <f t="shared" si="3"/>
        <v>13.408799999999999</v>
      </c>
      <c r="G48" s="1403">
        <f t="shared" si="4"/>
        <v>0.71873999999999993</v>
      </c>
      <c r="H48" s="1407"/>
      <c r="I48" s="894" t="s">
        <v>1231</v>
      </c>
      <c r="J48" s="893">
        <v>50</v>
      </c>
      <c r="K48" s="893">
        <v>30</v>
      </c>
      <c r="L48" s="893">
        <v>5</v>
      </c>
      <c r="M48" s="893">
        <v>10</v>
      </c>
      <c r="N48" s="1345"/>
    </row>
    <row r="49" spans="1:14" ht="16.5" hidden="1">
      <c r="A49" s="174" t="s">
        <v>1488</v>
      </c>
      <c r="B49" s="893">
        <v>92.37</v>
      </c>
      <c r="C49" s="893">
        <v>14.193</v>
      </c>
      <c r="D49" s="898">
        <f t="shared" si="2"/>
        <v>13.1100741</v>
      </c>
      <c r="E49" s="893">
        <v>27.3</v>
      </c>
      <c r="F49" s="1402">
        <f t="shared" si="3"/>
        <v>25.217010000000002</v>
      </c>
      <c r="G49" s="1403">
        <f t="shared" si="4"/>
        <v>0.93673799999999985</v>
      </c>
      <c r="H49" s="1407"/>
      <c r="I49" s="894" t="s">
        <v>1231</v>
      </c>
      <c r="J49" s="893">
        <v>50</v>
      </c>
      <c r="K49" s="893">
        <v>30</v>
      </c>
      <c r="L49" s="893">
        <v>5</v>
      </c>
      <c r="M49" s="893">
        <v>10</v>
      </c>
      <c r="N49" s="1345"/>
    </row>
    <row r="50" spans="1:14" ht="16.5" hidden="1">
      <c r="A50" s="174" t="s">
        <v>1489</v>
      </c>
      <c r="B50" s="893">
        <v>28.4</v>
      </c>
      <c r="C50" s="893">
        <v>10</v>
      </c>
      <c r="D50" s="898">
        <f t="shared" si="2"/>
        <v>2.84</v>
      </c>
      <c r="E50" s="893">
        <v>19.399999999999999</v>
      </c>
      <c r="F50" s="1402">
        <f t="shared" si="3"/>
        <v>5.5095999999999989</v>
      </c>
      <c r="G50" s="1403">
        <f t="shared" si="4"/>
        <v>0.66</v>
      </c>
      <c r="H50" s="1407"/>
      <c r="I50" s="894" t="s">
        <v>1538</v>
      </c>
      <c r="J50" s="893">
        <v>50</v>
      </c>
      <c r="K50" s="893">
        <v>30</v>
      </c>
      <c r="L50" s="893">
        <v>5</v>
      </c>
      <c r="M50" s="893">
        <v>10</v>
      </c>
      <c r="N50" s="1345"/>
    </row>
    <row r="51" spans="1:14" ht="16.5" hidden="1">
      <c r="A51" s="174" t="s">
        <v>1137</v>
      </c>
      <c r="B51" s="893">
        <v>0</v>
      </c>
      <c r="C51" s="893">
        <v>0</v>
      </c>
      <c r="D51" s="898">
        <f t="shared" si="2"/>
        <v>0</v>
      </c>
      <c r="E51" s="893">
        <v>0</v>
      </c>
      <c r="F51" s="1402">
        <f t="shared" si="3"/>
        <v>0</v>
      </c>
      <c r="G51" s="1403">
        <f t="shared" si="4"/>
        <v>0</v>
      </c>
      <c r="H51" s="1407"/>
      <c r="I51" s="894" t="s">
        <v>1137</v>
      </c>
      <c r="J51" s="893">
        <v>50</v>
      </c>
      <c r="K51" s="893">
        <v>30</v>
      </c>
      <c r="L51" s="893">
        <v>5</v>
      </c>
      <c r="M51" s="893">
        <v>10</v>
      </c>
      <c r="N51" s="1345"/>
    </row>
    <row r="52" spans="1:14" ht="16.5" hidden="1">
      <c r="A52" s="174" t="s">
        <v>1490</v>
      </c>
      <c r="B52" s="893">
        <v>60</v>
      </c>
      <c r="C52" s="893">
        <v>5</v>
      </c>
      <c r="D52" s="898">
        <f t="shared" si="2"/>
        <v>3</v>
      </c>
      <c r="E52" s="893">
        <v>6</v>
      </c>
      <c r="F52" s="1402">
        <f t="shared" si="3"/>
        <v>3.6</v>
      </c>
      <c r="G52" s="1403">
        <f t="shared" si="4"/>
        <v>0.33</v>
      </c>
      <c r="H52" s="1407"/>
      <c r="I52" s="894" t="s">
        <v>1100</v>
      </c>
      <c r="J52" s="893">
        <v>50</v>
      </c>
      <c r="K52" s="893">
        <v>30</v>
      </c>
      <c r="L52" s="893">
        <v>5</v>
      </c>
      <c r="M52" s="893">
        <v>10</v>
      </c>
      <c r="N52" s="1345"/>
    </row>
    <row r="53" spans="1:14" ht="16.5">
      <c r="A53" s="1427" t="s">
        <v>1485</v>
      </c>
      <c r="B53" s="893">
        <v>87</v>
      </c>
      <c r="C53" s="893">
        <v>6.9</v>
      </c>
      <c r="D53" s="898">
        <f t="shared" si="2"/>
        <v>6.0030000000000001</v>
      </c>
      <c r="E53" s="893">
        <v>3.9</v>
      </c>
      <c r="F53" s="1402">
        <f t="shared" si="3"/>
        <v>3.3930000000000002</v>
      </c>
      <c r="G53" s="1403">
        <f t="shared" si="4"/>
        <v>0.45539999999999997</v>
      </c>
      <c r="H53" s="174">
        <v>0</v>
      </c>
      <c r="I53" s="1426" t="s">
        <v>375</v>
      </c>
      <c r="J53" s="893">
        <v>50</v>
      </c>
      <c r="K53" s="893">
        <v>30</v>
      </c>
      <c r="L53" s="893">
        <v>5</v>
      </c>
      <c r="M53" s="893">
        <v>10</v>
      </c>
      <c r="N53" s="1345"/>
    </row>
    <row r="54" spans="1:14" ht="16.5" hidden="1">
      <c r="A54" s="174" t="s">
        <v>1677</v>
      </c>
      <c r="B54" s="893">
        <v>89</v>
      </c>
      <c r="C54" s="893">
        <v>12.267324</v>
      </c>
      <c r="D54" s="898">
        <f t="shared" si="2"/>
        <v>10.91791836</v>
      </c>
      <c r="E54" s="893">
        <v>13.6</v>
      </c>
      <c r="F54" s="1402">
        <f t="shared" si="3"/>
        <v>12.103999999999999</v>
      </c>
      <c r="G54" s="1403">
        <f t="shared" si="4"/>
        <v>0.80964338400000002</v>
      </c>
      <c r="H54" s="1407"/>
      <c r="I54" s="894" t="s">
        <v>1526</v>
      </c>
      <c r="J54" s="893"/>
      <c r="K54" s="893"/>
      <c r="L54" s="893"/>
      <c r="M54" s="893"/>
      <c r="N54" s="1345"/>
    </row>
    <row r="55" spans="1:14" ht="16.5" hidden="1">
      <c r="A55" s="174" t="s">
        <v>1678</v>
      </c>
      <c r="B55" s="893">
        <v>26.77</v>
      </c>
      <c r="C55" s="893">
        <v>10.1</v>
      </c>
      <c r="D55" s="898">
        <f t="shared" si="2"/>
        <v>2.70377</v>
      </c>
      <c r="E55" s="893">
        <v>9.9</v>
      </c>
      <c r="F55" s="1402">
        <f t="shared" si="3"/>
        <v>2.6502300000000001</v>
      </c>
      <c r="G55" s="1403">
        <f t="shared" si="4"/>
        <v>0.66659999999999997</v>
      </c>
      <c r="H55" s="1407"/>
      <c r="I55" s="894" t="s">
        <v>1526</v>
      </c>
      <c r="J55" s="893"/>
      <c r="K55" s="893"/>
      <c r="L55" s="893"/>
      <c r="M55" s="893"/>
      <c r="N55" s="1345"/>
    </row>
    <row r="56" spans="1:14" ht="16.5" hidden="1">
      <c r="A56" s="174" t="s">
        <v>1679</v>
      </c>
      <c r="B56" s="893">
        <v>90.7</v>
      </c>
      <c r="C56" s="893">
        <v>7.9967879999999996</v>
      </c>
      <c r="D56" s="898">
        <f t="shared" si="2"/>
        <v>7.2530867159999994</v>
      </c>
      <c r="E56" s="893">
        <v>9.5</v>
      </c>
      <c r="F56" s="1402">
        <f t="shared" si="3"/>
        <v>8.6165000000000003</v>
      </c>
      <c r="G56" s="1403">
        <f t="shared" si="4"/>
        <v>0.52778800799999992</v>
      </c>
      <c r="H56" s="1407"/>
      <c r="I56" s="894" t="s">
        <v>1526</v>
      </c>
      <c r="J56" s="893"/>
      <c r="K56" s="893"/>
      <c r="L56" s="893"/>
      <c r="M56" s="893"/>
      <c r="N56" s="1345"/>
    </row>
    <row r="57" spans="1:14" ht="16.5" hidden="1">
      <c r="A57" s="174" t="s">
        <v>1680</v>
      </c>
      <c r="B57" s="893">
        <v>92.4</v>
      </c>
      <c r="C57" s="893">
        <v>5.3172360000000003</v>
      </c>
      <c r="D57" s="898">
        <f t="shared" si="2"/>
        <v>4.9131260640000001</v>
      </c>
      <c r="E57" s="893">
        <v>4.0999999999999996</v>
      </c>
      <c r="F57" s="1402">
        <f t="shared" si="3"/>
        <v>3.7883999999999998</v>
      </c>
      <c r="G57" s="1403">
        <f t="shared" si="4"/>
        <v>0.35093757600000003</v>
      </c>
      <c r="H57" s="1407"/>
      <c r="I57" s="894" t="s">
        <v>1526</v>
      </c>
      <c r="J57" s="893"/>
      <c r="K57" s="893"/>
      <c r="L57" s="893"/>
      <c r="M57" s="893"/>
      <c r="N57" s="1345"/>
    </row>
    <row r="58" spans="1:14" ht="16.5" hidden="1">
      <c r="A58" s="174" t="s">
        <v>1681</v>
      </c>
      <c r="B58" s="893">
        <v>91</v>
      </c>
      <c r="C58" s="893">
        <v>15.28182</v>
      </c>
      <c r="D58" s="898">
        <f t="shared" si="2"/>
        <v>13.906456200000001</v>
      </c>
      <c r="E58" s="893">
        <v>16.2</v>
      </c>
      <c r="F58" s="1402">
        <f t="shared" si="3"/>
        <v>14.742000000000001</v>
      </c>
      <c r="G58" s="1403">
        <f t="shared" si="4"/>
        <v>1.0086001199999999</v>
      </c>
      <c r="H58" s="1407"/>
      <c r="I58" s="894" t="s">
        <v>1106</v>
      </c>
      <c r="J58" s="893"/>
      <c r="K58" s="893"/>
      <c r="L58" s="893"/>
      <c r="M58" s="893"/>
      <c r="N58" s="1345"/>
    </row>
    <row r="59" spans="1:14" ht="16.5" hidden="1">
      <c r="A59" s="174" t="s">
        <v>1682</v>
      </c>
      <c r="B59" s="893">
        <v>36.4</v>
      </c>
      <c r="C59" s="893">
        <v>8.9178840000000008</v>
      </c>
      <c r="D59" s="898">
        <f t="shared" si="2"/>
        <v>3.2461097760000004</v>
      </c>
      <c r="E59" s="893">
        <v>12.7</v>
      </c>
      <c r="F59" s="1402">
        <f t="shared" si="3"/>
        <v>4.6227999999999998</v>
      </c>
      <c r="G59" s="1403">
        <f t="shared" si="4"/>
        <v>0.58858034400000003</v>
      </c>
      <c r="H59" s="1407"/>
      <c r="I59" s="894" t="s">
        <v>1526</v>
      </c>
      <c r="J59" s="893"/>
      <c r="K59" s="893"/>
      <c r="L59" s="893"/>
      <c r="M59" s="893"/>
      <c r="N59" s="1345"/>
    </row>
    <row r="60" spans="1:14" ht="16.5" hidden="1">
      <c r="A60" s="174" t="s">
        <v>1492</v>
      </c>
      <c r="B60" s="893">
        <v>90</v>
      </c>
      <c r="C60" s="893">
        <v>6.6988799999999999</v>
      </c>
      <c r="D60" s="898">
        <f t="shared" si="2"/>
        <v>6.0289919999999997</v>
      </c>
      <c r="E60" s="893">
        <v>4.4000000000000004</v>
      </c>
      <c r="F60" s="1402">
        <f t="shared" si="3"/>
        <v>3.9600000000000004</v>
      </c>
      <c r="G60" s="1403">
        <f t="shared" si="4"/>
        <v>0.44212607999999998</v>
      </c>
      <c r="H60" s="1407"/>
      <c r="I60" s="894" t="s">
        <v>1526</v>
      </c>
      <c r="J60" s="893"/>
      <c r="K60" s="893"/>
      <c r="L60" s="893"/>
      <c r="M60" s="893"/>
      <c r="N60" s="1345"/>
    </row>
    <row r="61" spans="1:14" ht="16.5" hidden="1">
      <c r="A61" s="174" t="s">
        <v>1493</v>
      </c>
      <c r="B61" s="893">
        <v>27.4</v>
      </c>
      <c r="C61" s="893">
        <v>8.6248079999999998</v>
      </c>
      <c r="D61" s="898">
        <f t="shared" si="2"/>
        <v>2.3631973919999996</v>
      </c>
      <c r="E61" s="893">
        <v>10.1</v>
      </c>
      <c r="F61" s="1402">
        <f t="shared" si="3"/>
        <v>2.7673999999999994</v>
      </c>
      <c r="G61" s="1403">
        <f t="shared" si="4"/>
        <v>0.56923732799999993</v>
      </c>
      <c r="H61" s="1407"/>
      <c r="I61" s="894" t="s">
        <v>1527</v>
      </c>
      <c r="J61" s="893"/>
      <c r="K61" s="893"/>
      <c r="L61" s="893"/>
      <c r="M61" s="893"/>
      <c r="N61" s="1345"/>
    </row>
    <row r="62" spans="1:14" ht="16.5" hidden="1">
      <c r="A62" s="174" t="s">
        <v>1494</v>
      </c>
      <c r="B62" s="893">
        <v>90.6</v>
      </c>
      <c r="C62" s="893">
        <v>8.1642600000000005</v>
      </c>
      <c r="D62" s="898">
        <f t="shared" si="2"/>
        <v>7.39681956</v>
      </c>
      <c r="E62" s="893">
        <v>8.4</v>
      </c>
      <c r="F62" s="1402">
        <f t="shared" si="3"/>
        <v>7.6103999999999994</v>
      </c>
      <c r="G62" s="1403">
        <f t="shared" si="4"/>
        <v>0.53884116000000004</v>
      </c>
      <c r="H62" s="1407"/>
      <c r="I62" s="894" t="s">
        <v>1527</v>
      </c>
      <c r="J62" s="893"/>
      <c r="K62" s="893"/>
      <c r="L62" s="893"/>
      <c r="M62" s="893"/>
      <c r="N62" s="1345"/>
    </row>
    <row r="63" spans="1:14" ht="16.5" hidden="1">
      <c r="A63" s="174" t="s">
        <v>1495</v>
      </c>
      <c r="B63" s="893">
        <v>42.85</v>
      </c>
      <c r="C63" s="893">
        <v>7.49437</v>
      </c>
      <c r="D63" s="898">
        <f t="shared" si="2"/>
        <v>3.2113375450000001</v>
      </c>
      <c r="E63" s="893">
        <v>16.149999999999999</v>
      </c>
      <c r="F63" s="1402">
        <f t="shared" si="3"/>
        <v>6.9202749999999993</v>
      </c>
      <c r="G63" s="1403">
        <f t="shared" si="4"/>
        <v>0.49462841999999996</v>
      </c>
      <c r="H63" s="1407"/>
      <c r="I63" s="894" t="s">
        <v>1527</v>
      </c>
      <c r="J63" s="893"/>
      <c r="K63" s="893"/>
      <c r="L63" s="893"/>
      <c r="M63" s="893"/>
      <c r="N63" s="1345"/>
    </row>
    <row r="64" spans="1:14" ht="16.5" hidden="1">
      <c r="A64" s="174" t="s">
        <v>1606</v>
      </c>
      <c r="B64" s="893">
        <v>26</v>
      </c>
      <c r="C64" s="893">
        <v>7.543013698630137</v>
      </c>
      <c r="D64" s="898">
        <f t="shared" si="2"/>
        <v>1.9611835616438358</v>
      </c>
      <c r="E64" s="893">
        <v>9.882191780821918</v>
      </c>
      <c r="F64" s="1402">
        <f t="shared" si="3"/>
        <v>2.5693698630136987</v>
      </c>
      <c r="G64" s="1403">
        <f t="shared" si="4"/>
        <v>0.49783890410958903</v>
      </c>
      <c r="H64" s="1407"/>
      <c r="I64" s="894" t="s">
        <v>1233</v>
      </c>
      <c r="J64" s="893">
        <v>350</v>
      </c>
      <c r="K64" s="893">
        <v>20</v>
      </c>
      <c r="L64" s="893">
        <v>31</v>
      </c>
      <c r="M64" s="893">
        <v>8</v>
      </c>
      <c r="N64" s="1345"/>
    </row>
    <row r="65" spans="1:14" hidden="1">
      <c r="A65" s="174" t="s">
        <v>1496</v>
      </c>
      <c r="B65" s="893">
        <v>26</v>
      </c>
      <c r="C65" s="893">
        <v>7.58</v>
      </c>
      <c r="D65" s="898">
        <f t="shared" si="2"/>
        <v>1.9708000000000001</v>
      </c>
      <c r="E65" s="893">
        <v>10</v>
      </c>
      <c r="F65" s="1402">
        <f t="shared" si="3"/>
        <v>2.6</v>
      </c>
      <c r="G65" s="1403">
        <f t="shared" si="4"/>
        <v>0.50027999999999995</v>
      </c>
      <c r="H65" s="1407"/>
      <c r="I65" s="174" t="s">
        <v>1233</v>
      </c>
      <c r="J65" s="893">
        <v>350</v>
      </c>
      <c r="K65" s="893">
        <v>20</v>
      </c>
      <c r="L65" s="893">
        <v>31</v>
      </c>
      <c r="M65" s="893">
        <v>8</v>
      </c>
      <c r="N65" s="1345"/>
    </row>
    <row r="66" spans="1:14" ht="16.5" hidden="1">
      <c r="A66" s="174" t="s">
        <v>1607</v>
      </c>
      <c r="B66" s="893">
        <v>28</v>
      </c>
      <c r="C66" s="893">
        <v>7.543013698630137</v>
      </c>
      <c r="D66" s="898">
        <f t="shared" si="2"/>
        <v>2.1120438356164386</v>
      </c>
      <c r="E66" s="893">
        <v>8.2547945205479447</v>
      </c>
      <c r="F66" s="1402">
        <f t="shared" si="3"/>
        <v>2.3113424657534245</v>
      </c>
      <c r="G66" s="1403">
        <f t="shared" si="4"/>
        <v>0.49783890410958903</v>
      </c>
      <c r="H66" s="1407"/>
      <c r="I66" s="894" t="s">
        <v>1234</v>
      </c>
      <c r="J66" s="893">
        <v>350</v>
      </c>
      <c r="K66" s="893">
        <v>20</v>
      </c>
      <c r="L66" s="893">
        <v>31</v>
      </c>
      <c r="M66" s="893">
        <v>8</v>
      </c>
      <c r="N66" s="1345"/>
    </row>
    <row r="67" spans="1:14" ht="16.5" hidden="1">
      <c r="A67" s="174" t="s">
        <v>1497</v>
      </c>
      <c r="B67" s="893">
        <v>86</v>
      </c>
      <c r="C67" s="893">
        <v>9.4621680000000001</v>
      </c>
      <c r="D67" s="898">
        <f t="shared" si="2"/>
        <v>8.1374644800000002</v>
      </c>
      <c r="E67" s="893">
        <v>6.4</v>
      </c>
      <c r="F67" s="1402">
        <f t="shared" si="3"/>
        <v>5.5039999999999996</v>
      </c>
      <c r="G67" s="1403">
        <f t="shared" si="4"/>
        <v>0.62450308799999998</v>
      </c>
      <c r="H67" s="1407"/>
      <c r="I67" s="894" t="s">
        <v>1528</v>
      </c>
      <c r="J67" s="893"/>
      <c r="K67" s="893"/>
      <c r="L67" s="893"/>
      <c r="M67" s="893"/>
      <c r="N67" s="1345"/>
    </row>
    <row r="68" spans="1:14" ht="16.5" hidden="1">
      <c r="A68" s="174" t="s">
        <v>1498</v>
      </c>
      <c r="B68" s="893">
        <v>90.34</v>
      </c>
      <c r="C68" s="893">
        <v>12.43</v>
      </c>
      <c r="D68" s="898">
        <f t="shared" si="2"/>
        <v>11.229262</v>
      </c>
      <c r="E68" s="893">
        <v>13.88</v>
      </c>
      <c r="F68" s="1402">
        <f t="shared" si="3"/>
        <v>12.539192</v>
      </c>
      <c r="G68" s="1403">
        <f t="shared" si="4"/>
        <v>0.82038</v>
      </c>
      <c r="H68" s="1407"/>
      <c r="I68" s="894" t="s">
        <v>1528</v>
      </c>
      <c r="J68" s="893"/>
      <c r="K68" s="893"/>
      <c r="L68" s="893"/>
      <c r="M68" s="893"/>
      <c r="N68" s="1345"/>
    </row>
    <row r="69" spans="1:14" ht="16.5" hidden="1">
      <c r="A69" s="174" t="s">
        <v>1499</v>
      </c>
      <c r="B69" s="893">
        <v>25</v>
      </c>
      <c r="C69" s="893">
        <v>8.5500000000000007</v>
      </c>
      <c r="D69" s="898">
        <f t="shared" ref="D69:D113" si="5">C69*(0.01*B69)</f>
        <v>2.1375000000000002</v>
      </c>
      <c r="E69" s="893">
        <v>13.81</v>
      </c>
      <c r="F69" s="1402">
        <f t="shared" si="3"/>
        <v>3.4525000000000001</v>
      </c>
      <c r="G69" s="1403">
        <f t="shared" si="4"/>
        <v>0.56430000000000002</v>
      </c>
      <c r="H69" s="1407"/>
      <c r="I69" s="894" t="s">
        <v>1528</v>
      </c>
      <c r="J69" s="893"/>
      <c r="K69" s="893"/>
      <c r="L69" s="893"/>
      <c r="M69" s="893"/>
      <c r="N69" s="1345"/>
    </row>
    <row r="70" spans="1:14" ht="16.5">
      <c r="A70" s="1427" t="s">
        <v>1491</v>
      </c>
      <c r="B70" s="893">
        <v>29.05</v>
      </c>
      <c r="C70" s="893">
        <v>6.55</v>
      </c>
      <c r="D70" s="898">
        <f t="shared" si="2"/>
        <v>1.9027750000000001</v>
      </c>
      <c r="E70" s="893">
        <v>7.5</v>
      </c>
      <c r="F70" s="1402">
        <f t="shared" si="3"/>
        <v>2.17875</v>
      </c>
      <c r="G70" s="1403">
        <f t="shared" si="4"/>
        <v>0.43229999999999996</v>
      </c>
      <c r="H70" s="174">
        <v>1</v>
      </c>
      <c r="I70" s="894" t="s">
        <v>1100</v>
      </c>
      <c r="J70" s="893">
        <v>0</v>
      </c>
      <c r="K70" s="893">
        <v>0</v>
      </c>
      <c r="L70" s="893">
        <v>0</v>
      </c>
      <c r="M70" s="893">
        <v>0</v>
      </c>
      <c r="N70" s="1345">
        <v>0.05</v>
      </c>
    </row>
    <row r="71" spans="1:14" ht="16.5" hidden="1">
      <c r="A71" s="174" t="s">
        <v>1697</v>
      </c>
      <c r="B71" s="893">
        <v>19.5</v>
      </c>
      <c r="C71" s="893">
        <v>7.5</v>
      </c>
      <c r="D71" s="898">
        <f t="shared" si="5"/>
        <v>1.4625000000000001</v>
      </c>
      <c r="E71" s="893">
        <v>6.5</v>
      </c>
      <c r="F71" s="1402">
        <f t="shared" si="3"/>
        <v>1.2675000000000001</v>
      </c>
      <c r="G71" s="1403">
        <f t="shared" si="4"/>
        <v>0.495</v>
      </c>
      <c r="H71" s="1406"/>
      <c r="I71" s="894" t="s">
        <v>1699</v>
      </c>
      <c r="J71" s="893">
        <v>300</v>
      </c>
      <c r="K71" s="893">
        <v>0</v>
      </c>
      <c r="L71" s="893">
        <v>18</v>
      </c>
      <c r="M71" s="893">
        <v>6</v>
      </c>
      <c r="N71" s="1345">
        <v>0.05</v>
      </c>
    </row>
    <row r="72" spans="1:14" ht="16.5" hidden="1">
      <c r="A72" s="174" t="s">
        <v>1235</v>
      </c>
      <c r="B72" s="893">
        <v>91.69</v>
      </c>
      <c r="C72" s="893">
        <v>7.9967879999999987</v>
      </c>
      <c r="D72" s="898">
        <f t="shared" si="5"/>
        <v>7.3322549171999993</v>
      </c>
      <c r="E72" s="893">
        <v>16.3</v>
      </c>
      <c r="F72" s="1402">
        <f t="shared" si="3"/>
        <v>14.94547</v>
      </c>
      <c r="G72" s="1403">
        <f t="shared" si="4"/>
        <v>0.52778800799999981</v>
      </c>
      <c r="H72" s="1407"/>
      <c r="I72" s="894" t="s">
        <v>1236</v>
      </c>
      <c r="J72" s="893"/>
      <c r="K72" s="893"/>
      <c r="L72" s="893"/>
      <c r="M72" s="893"/>
      <c r="N72" s="1345"/>
    </row>
    <row r="73" spans="1:14" ht="16.5" hidden="1">
      <c r="A73" s="174" t="s">
        <v>1500</v>
      </c>
      <c r="B73" s="893">
        <v>89.4</v>
      </c>
      <c r="C73" s="893">
        <v>11.08</v>
      </c>
      <c r="D73" s="898">
        <f t="shared" si="5"/>
        <v>9.905520000000001</v>
      </c>
      <c r="E73" s="893">
        <v>19.39</v>
      </c>
      <c r="F73" s="1402">
        <f t="shared" si="3"/>
        <v>17.33466</v>
      </c>
      <c r="G73" s="1403">
        <f t="shared" si="4"/>
        <v>0.73128000000000004</v>
      </c>
      <c r="H73" s="1407"/>
      <c r="I73" s="894" t="s">
        <v>1236</v>
      </c>
      <c r="J73" s="893"/>
      <c r="K73" s="893"/>
      <c r="L73" s="893"/>
      <c r="M73" s="893"/>
      <c r="N73" s="1345"/>
    </row>
    <row r="74" spans="1:14" ht="16.5" hidden="1">
      <c r="A74" s="174" t="s">
        <v>1501</v>
      </c>
      <c r="B74" s="893">
        <v>68.7</v>
      </c>
      <c r="C74" s="893">
        <v>11.5</v>
      </c>
      <c r="D74" s="898">
        <f t="shared" si="5"/>
        <v>7.900500000000001</v>
      </c>
      <c r="E74" s="893">
        <v>21.6</v>
      </c>
      <c r="F74" s="1402">
        <f t="shared" si="3"/>
        <v>14.8392</v>
      </c>
      <c r="G74" s="1403">
        <f t="shared" si="4"/>
        <v>0.7589999999999999</v>
      </c>
      <c r="H74" s="1407"/>
      <c r="I74" s="894" t="s">
        <v>1236</v>
      </c>
      <c r="J74" s="893"/>
      <c r="K74" s="893"/>
      <c r="L74" s="893"/>
      <c r="M74" s="893"/>
      <c r="N74" s="1345"/>
    </row>
    <row r="75" spans="1:14" ht="16.5" hidden="1">
      <c r="A75" s="174" t="s">
        <v>1237</v>
      </c>
      <c r="B75" s="893">
        <v>20.6</v>
      </c>
      <c r="C75" s="893">
        <v>11.5137</v>
      </c>
      <c r="D75" s="898">
        <f t="shared" si="5"/>
        <v>2.3718222</v>
      </c>
      <c r="E75" s="893">
        <v>9.1</v>
      </c>
      <c r="F75" s="1402">
        <f t="shared" si="3"/>
        <v>1.8746</v>
      </c>
      <c r="G75" s="1403">
        <f t="shared" si="4"/>
        <v>0.75990420000000003</v>
      </c>
      <c r="H75" s="1407"/>
      <c r="I75" s="894" t="s">
        <v>1238</v>
      </c>
      <c r="J75" s="893"/>
      <c r="K75" s="893"/>
      <c r="L75" s="893"/>
      <c r="M75" s="893"/>
      <c r="N75" s="1345"/>
    </row>
    <row r="76" spans="1:14" ht="16.5" hidden="1">
      <c r="A76" s="174" t="s">
        <v>1502</v>
      </c>
      <c r="B76" s="893">
        <v>35.119999999999997</v>
      </c>
      <c r="C76" s="893">
        <v>8.2200000000000006</v>
      </c>
      <c r="D76" s="898">
        <f t="shared" si="5"/>
        <v>2.8868639999999997</v>
      </c>
      <c r="E76" s="893">
        <v>7.94</v>
      </c>
      <c r="F76" s="1402">
        <f t="shared" si="3"/>
        <v>2.7885279999999999</v>
      </c>
      <c r="G76" s="1403">
        <f t="shared" si="4"/>
        <v>0.54252</v>
      </c>
      <c r="H76" s="1407"/>
      <c r="I76" s="894" t="s">
        <v>1238</v>
      </c>
      <c r="J76" s="893"/>
      <c r="K76" s="893"/>
      <c r="L76" s="893"/>
      <c r="M76" s="893"/>
      <c r="N76" s="1345"/>
    </row>
    <row r="77" spans="1:14" ht="16.5" hidden="1">
      <c r="A77" s="174" t="s">
        <v>1503</v>
      </c>
      <c r="B77" s="893">
        <v>15.44</v>
      </c>
      <c r="C77" s="893">
        <v>10.25</v>
      </c>
      <c r="D77" s="898">
        <f t="shared" si="5"/>
        <v>1.5826</v>
      </c>
      <c r="E77" s="893">
        <v>6.96</v>
      </c>
      <c r="F77" s="1402">
        <f t="shared" si="3"/>
        <v>1.074624</v>
      </c>
      <c r="G77" s="1403">
        <f t="shared" si="4"/>
        <v>0.67649999999999988</v>
      </c>
      <c r="H77" s="1407"/>
      <c r="I77" s="894" t="s">
        <v>1529</v>
      </c>
      <c r="J77" s="893"/>
      <c r="K77" s="893"/>
      <c r="L77" s="893"/>
      <c r="M77" s="893"/>
      <c r="N77" s="1345"/>
    </row>
    <row r="78" spans="1:14" ht="16.5" hidden="1">
      <c r="A78" s="174" t="s">
        <v>1504</v>
      </c>
      <c r="B78" s="893">
        <v>16.34</v>
      </c>
      <c r="C78" s="893">
        <v>12.99</v>
      </c>
      <c r="D78" s="898">
        <f t="shared" si="5"/>
        <v>2.122566</v>
      </c>
      <c r="E78" s="893">
        <v>14.13</v>
      </c>
      <c r="F78" s="1402">
        <f t="shared" si="3"/>
        <v>2.3088420000000003</v>
      </c>
      <c r="G78" s="1403">
        <f t="shared" si="4"/>
        <v>0.85733999999999999</v>
      </c>
      <c r="H78" s="1407"/>
      <c r="I78" s="894" t="s">
        <v>1529</v>
      </c>
      <c r="J78" s="893"/>
      <c r="K78" s="893"/>
      <c r="L78" s="893"/>
      <c r="M78" s="893"/>
      <c r="N78" s="1345"/>
    </row>
    <row r="79" spans="1:14" ht="16.5" hidden="1">
      <c r="A79" s="174" t="s">
        <v>1608</v>
      </c>
      <c r="B79" s="893">
        <v>78.7</v>
      </c>
      <c r="C79" s="893">
        <v>8.1642600000000005</v>
      </c>
      <c r="D79" s="898">
        <f t="shared" si="5"/>
        <v>6.4252726200000003</v>
      </c>
      <c r="E79" s="893">
        <v>17.78</v>
      </c>
      <c r="F79" s="1402">
        <f t="shared" si="3"/>
        <v>13.99286</v>
      </c>
      <c r="G79" s="1403">
        <f t="shared" si="4"/>
        <v>0.53884116000000004</v>
      </c>
      <c r="H79" s="1407"/>
      <c r="I79" s="894" t="s">
        <v>1106</v>
      </c>
      <c r="J79" s="893"/>
      <c r="K79" s="893"/>
      <c r="L79" s="893"/>
      <c r="M79" s="893"/>
      <c r="N79" s="1345"/>
    </row>
    <row r="80" spans="1:14" ht="16.5" hidden="1">
      <c r="A80" s="174" t="s">
        <v>1505</v>
      </c>
      <c r="B80" s="893">
        <v>22.73</v>
      </c>
      <c r="C80" s="893">
        <v>9.91</v>
      </c>
      <c r="D80" s="898">
        <f t="shared" si="5"/>
        <v>2.2525430000000002</v>
      </c>
      <c r="E80" s="893">
        <v>15.44</v>
      </c>
      <c r="F80" s="1402">
        <f t="shared" si="3"/>
        <v>3.5095119999999995</v>
      </c>
      <c r="G80" s="1403">
        <f t="shared" si="4"/>
        <v>0.65405999999999986</v>
      </c>
      <c r="H80" s="1407"/>
      <c r="I80" s="894" t="s">
        <v>1530</v>
      </c>
      <c r="J80" s="893"/>
      <c r="K80" s="893"/>
      <c r="L80" s="893"/>
      <c r="M80" s="893"/>
      <c r="N80" s="1345"/>
    </row>
    <row r="81" spans="1:14" ht="16.5" hidden="1">
      <c r="A81" s="174" t="s">
        <v>1506</v>
      </c>
      <c r="B81" s="893">
        <v>19.600000000000001</v>
      </c>
      <c r="C81" s="893">
        <v>10.425132</v>
      </c>
      <c r="D81" s="898">
        <f t="shared" si="5"/>
        <v>2.043325872</v>
      </c>
      <c r="E81" s="893">
        <v>20.8</v>
      </c>
      <c r="F81" s="1402">
        <f t="shared" si="3"/>
        <v>4.0768000000000004</v>
      </c>
      <c r="G81" s="1403">
        <f t="shared" si="4"/>
        <v>0.68805871200000002</v>
      </c>
      <c r="H81" s="1407"/>
      <c r="I81" s="894" t="s">
        <v>1531</v>
      </c>
      <c r="J81" s="893"/>
      <c r="K81" s="893"/>
      <c r="L81" s="893"/>
      <c r="M81" s="893"/>
      <c r="N81" s="1345"/>
    </row>
    <row r="82" spans="1:14" ht="16.5" hidden="1">
      <c r="A82" s="174" t="s">
        <v>1507</v>
      </c>
      <c r="B82" s="893">
        <v>88.4</v>
      </c>
      <c r="C82" s="893">
        <v>8.3317320000000006</v>
      </c>
      <c r="D82" s="898">
        <f t="shared" si="5"/>
        <v>7.3652510880000017</v>
      </c>
      <c r="E82" s="893">
        <v>15</v>
      </c>
      <c r="F82" s="1402">
        <f t="shared" si="3"/>
        <v>13.26</v>
      </c>
      <c r="G82" s="1403">
        <f t="shared" si="4"/>
        <v>0.54989431199999994</v>
      </c>
      <c r="H82" s="1407"/>
      <c r="I82" s="894" t="s">
        <v>1531</v>
      </c>
      <c r="J82" s="893"/>
      <c r="K82" s="893"/>
      <c r="L82" s="893"/>
      <c r="M82" s="893"/>
      <c r="N82" s="1345"/>
    </row>
    <row r="83" spans="1:14" ht="16.5">
      <c r="A83" s="1427" t="s">
        <v>1696</v>
      </c>
      <c r="B83" s="893">
        <v>15</v>
      </c>
      <c r="C83" s="893">
        <v>9.8808480000000003</v>
      </c>
      <c r="D83" s="898">
        <f t="shared" si="5"/>
        <v>1.4821272000000001</v>
      </c>
      <c r="E83" s="893">
        <v>11</v>
      </c>
      <c r="F83" s="1402">
        <f t="shared" si="3"/>
        <v>1.65</v>
      </c>
      <c r="G83" s="1403">
        <f t="shared" si="4"/>
        <v>0.65213596800000007</v>
      </c>
      <c r="H83" s="174">
        <v>0</v>
      </c>
      <c r="I83" s="894" t="s">
        <v>1698</v>
      </c>
      <c r="J83" s="893">
        <v>300</v>
      </c>
      <c r="K83" s="893">
        <v>0</v>
      </c>
      <c r="L83" s="893">
        <v>18</v>
      </c>
      <c r="M83" s="893">
        <v>6</v>
      </c>
      <c r="N83" s="1345"/>
    </row>
    <row r="84" spans="1:14" ht="16.5" hidden="1">
      <c r="A84" s="174" t="s">
        <v>804</v>
      </c>
      <c r="B84" s="893">
        <v>92.4</v>
      </c>
      <c r="C84" s="893">
        <v>9.1</v>
      </c>
      <c r="D84" s="898">
        <f t="shared" si="5"/>
        <v>8.4084000000000003</v>
      </c>
      <c r="E84" s="893">
        <v>7.7</v>
      </c>
      <c r="F84" s="1402">
        <f t="shared" si="3"/>
        <v>7.1147999999999998</v>
      </c>
      <c r="G84" s="1403">
        <f t="shared" si="4"/>
        <v>0.60059999999999991</v>
      </c>
      <c r="H84" s="1407"/>
      <c r="I84" s="894" t="s">
        <v>1101</v>
      </c>
      <c r="J84" s="893">
        <v>300</v>
      </c>
      <c r="K84" s="893">
        <v>0</v>
      </c>
      <c r="L84" s="893">
        <v>18</v>
      </c>
      <c r="M84" s="893">
        <v>6</v>
      </c>
      <c r="N84" s="1345"/>
    </row>
    <row r="85" spans="1:14" ht="16.5" hidden="1">
      <c r="A85" s="174" t="s">
        <v>1610</v>
      </c>
      <c r="B85" s="893">
        <v>91</v>
      </c>
      <c r="C85" s="893">
        <v>10.425132</v>
      </c>
      <c r="D85" s="898">
        <f t="shared" si="5"/>
        <v>9.4868701200000007</v>
      </c>
      <c r="E85" s="893">
        <v>14</v>
      </c>
      <c r="F85" s="1402">
        <f t="shared" ref="F85:F113" si="6">E85*B85/100</f>
        <v>12.74</v>
      </c>
      <c r="G85" s="1403">
        <f t="shared" ref="G85:G113" si="7">C85*6.6/100</f>
        <v>0.68805871200000002</v>
      </c>
      <c r="H85" s="1407"/>
      <c r="I85" s="894" t="s">
        <v>1106</v>
      </c>
      <c r="J85" s="893">
        <v>300</v>
      </c>
      <c r="K85" s="893">
        <v>0</v>
      </c>
      <c r="L85" s="893">
        <v>18</v>
      </c>
      <c r="M85" s="893">
        <v>6</v>
      </c>
      <c r="N85" s="1345"/>
    </row>
    <row r="86" spans="1:14" ht="16.5" hidden="1">
      <c r="A86" s="174" t="s">
        <v>1611</v>
      </c>
      <c r="B86" s="893">
        <v>92</v>
      </c>
      <c r="C86" s="893">
        <v>1.4235120000000001</v>
      </c>
      <c r="D86" s="898">
        <f t="shared" si="5"/>
        <v>1.3096310400000002</v>
      </c>
      <c r="E86" s="893">
        <v>3.1</v>
      </c>
      <c r="F86" s="1402">
        <f t="shared" si="6"/>
        <v>2.8519999999999999</v>
      </c>
      <c r="G86" s="1403">
        <f t="shared" si="7"/>
        <v>9.3951791999999992E-2</v>
      </c>
      <c r="H86" s="1407"/>
      <c r="I86" s="894" t="s">
        <v>641</v>
      </c>
      <c r="J86" s="893">
        <v>300</v>
      </c>
      <c r="K86" s="893">
        <v>0</v>
      </c>
      <c r="L86" s="893">
        <v>18</v>
      </c>
      <c r="M86" s="893">
        <v>6</v>
      </c>
      <c r="N86" s="1345"/>
    </row>
    <row r="87" spans="1:14" ht="16.5" hidden="1">
      <c r="A87" s="174" t="s">
        <v>1612</v>
      </c>
      <c r="B87" s="893">
        <v>91.88</v>
      </c>
      <c r="C87" s="893">
        <v>5.64</v>
      </c>
      <c r="D87" s="898">
        <f t="shared" si="5"/>
        <v>5.1820319999999995</v>
      </c>
      <c r="E87" s="893">
        <v>3.85</v>
      </c>
      <c r="F87" s="1402">
        <f t="shared" si="6"/>
        <v>3.5373800000000002</v>
      </c>
      <c r="G87" s="1403">
        <f t="shared" si="7"/>
        <v>0.37223999999999996</v>
      </c>
      <c r="H87" s="1407"/>
      <c r="I87" s="894" t="s">
        <v>641</v>
      </c>
      <c r="J87" s="893">
        <v>300</v>
      </c>
      <c r="K87" s="893">
        <v>0</v>
      </c>
      <c r="L87" s="893">
        <v>18</v>
      </c>
      <c r="M87" s="893">
        <v>6</v>
      </c>
      <c r="N87" s="1345"/>
    </row>
    <row r="88" spans="1:14" ht="16.5" hidden="1">
      <c r="A88" s="174" t="s">
        <v>1508</v>
      </c>
      <c r="B88" s="893">
        <v>28.9</v>
      </c>
      <c r="C88" s="893">
        <v>8.5399999999999991</v>
      </c>
      <c r="D88" s="898">
        <f t="shared" si="5"/>
        <v>2.4680599999999995</v>
      </c>
      <c r="E88" s="893">
        <v>21.3</v>
      </c>
      <c r="F88" s="1402">
        <f t="shared" si="6"/>
        <v>6.1556999999999995</v>
      </c>
      <c r="G88" s="1403">
        <f t="shared" si="7"/>
        <v>0.56363999999999992</v>
      </c>
      <c r="H88" s="1409"/>
      <c r="I88" s="894" t="s">
        <v>1532</v>
      </c>
      <c r="J88" s="893">
        <v>300</v>
      </c>
      <c r="K88" s="893">
        <v>0</v>
      </c>
      <c r="L88" s="893">
        <v>18</v>
      </c>
      <c r="M88" s="893">
        <v>6</v>
      </c>
      <c r="N88" s="1345"/>
    </row>
    <row r="89" spans="1:14" ht="16.5" hidden="1">
      <c r="A89" s="174" t="s">
        <v>1509</v>
      </c>
      <c r="B89" s="893">
        <v>26.1</v>
      </c>
      <c r="C89" s="893">
        <v>11.220624000000001</v>
      </c>
      <c r="D89" s="898">
        <f t="shared" si="5"/>
        <v>2.9285828640000005</v>
      </c>
      <c r="E89" s="893">
        <v>21.3</v>
      </c>
      <c r="F89" s="1402">
        <f t="shared" si="6"/>
        <v>5.5593000000000004</v>
      </c>
      <c r="G89" s="1403">
        <f t="shared" si="7"/>
        <v>0.74056118400000004</v>
      </c>
      <c r="H89" s="1409"/>
      <c r="I89" s="894" t="s">
        <v>1533</v>
      </c>
      <c r="J89" s="893">
        <v>300</v>
      </c>
      <c r="K89" s="893">
        <v>0</v>
      </c>
      <c r="L89" s="893">
        <v>18</v>
      </c>
      <c r="M89" s="893">
        <v>6</v>
      </c>
      <c r="N89" s="1345"/>
    </row>
    <row r="90" spans="1:14" ht="16.5" hidden="1">
      <c r="A90" s="174" t="s">
        <v>1510</v>
      </c>
      <c r="B90" s="893">
        <v>92.6</v>
      </c>
      <c r="C90" s="893">
        <v>8.0386559999999996</v>
      </c>
      <c r="D90" s="898">
        <f t="shared" si="5"/>
        <v>7.4437954559999993</v>
      </c>
      <c r="E90" s="893">
        <v>6</v>
      </c>
      <c r="F90" s="1402">
        <f t="shared" si="6"/>
        <v>5.5559999999999992</v>
      </c>
      <c r="G90" s="1403">
        <f t="shared" si="7"/>
        <v>0.53055129599999995</v>
      </c>
      <c r="H90" s="1409"/>
      <c r="I90" s="894" t="s">
        <v>1533</v>
      </c>
      <c r="J90" s="893">
        <v>300</v>
      </c>
      <c r="K90" s="893">
        <v>0</v>
      </c>
      <c r="L90" s="893">
        <v>18</v>
      </c>
      <c r="M90" s="893">
        <v>6</v>
      </c>
      <c r="N90" s="1345"/>
    </row>
    <row r="91" spans="1:14" ht="16.5" hidden="1">
      <c r="A91" s="174" t="s">
        <v>1239</v>
      </c>
      <c r="B91" s="893">
        <v>85</v>
      </c>
      <c r="C91" s="893">
        <v>7.0338240000000001</v>
      </c>
      <c r="D91" s="898">
        <f t="shared" si="5"/>
        <v>5.9787504</v>
      </c>
      <c r="E91" s="893">
        <v>4.9000000000000004</v>
      </c>
      <c r="F91" s="1402">
        <f t="shared" si="6"/>
        <v>4.1650000000000009</v>
      </c>
      <c r="G91" s="1403">
        <f t="shared" si="7"/>
        <v>0.46423238399999994</v>
      </c>
      <c r="H91" s="1407"/>
      <c r="I91" s="894" t="s">
        <v>640</v>
      </c>
      <c r="J91" s="893">
        <v>300</v>
      </c>
      <c r="K91" s="893">
        <v>0</v>
      </c>
      <c r="L91" s="893">
        <v>18</v>
      </c>
      <c r="M91" s="893">
        <v>6</v>
      </c>
      <c r="N91" s="1345"/>
    </row>
    <row r="92" spans="1:14" ht="16.5" hidden="1">
      <c r="A92" s="174" t="s">
        <v>1613</v>
      </c>
      <c r="B92" s="893">
        <v>29.46</v>
      </c>
      <c r="C92" s="893">
        <v>12.31</v>
      </c>
      <c r="D92" s="898">
        <f t="shared" si="5"/>
        <v>3.6265260000000006</v>
      </c>
      <c r="E92" s="893">
        <v>9.24</v>
      </c>
      <c r="F92" s="1402">
        <f t="shared" si="6"/>
        <v>2.7221039999999999</v>
      </c>
      <c r="G92" s="1403">
        <f t="shared" si="7"/>
        <v>0.81245999999999996</v>
      </c>
      <c r="H92" s="1407"/>
      <c r="I92" s="894" t="s">
        <v>640</v>
      </c>
      <c r="J92" s="893">
        <v>300</v>
      </c>
      <c r="K92" s="893">
        <v>0</v>
      </c>
      <c r="L92" s="893">
        <v>18</v>
      </c>
      <c r="M92" s="893">
        <v>6</v>
      </c>
      <c r="N92" s="1345"/>
    </row>
    <row r="93" spans="1:14" ht="16.5" hidden="1">
      <c r="A93" s="174" t="s">
        <v>1511</v>
      </c>
      <c r="B93" s="893">
        <v>90</v>
      </c>
      <c r="C93" s="893">
        <v>12.392927999999999</v>
      </c>
      <c r="D93" s="898">
        <f t="shared" si="5"/>
        <v>11.1536352</v>
      </c>
      <c r="E93" s="893">
        <v>12.6</v>
      </c>
      <c r="F93" s="1402">
        <f t="shared" si="6"/>
        <v>11.34</v>
      </c>
      <c r="G93" s="1403">
        <f t="shared" si="7"/>
        <v>0.81793324799999989</v>
      </c>
      <c r="H93" s="1409"/>
      <c r="I93" s="894" t="s">
        <v>640</v>
      </c>
      <c r="J93" s="893">
        <v>300</v>
      </c>
      <c r="K93" s="893">
        <v>0</v>
      </c>
      <c r="L93" s="893">
        <v>18</v>
      </c>
      <c r="M93" s="893">
        <v>6</v>
      </c>
      <c r="N93" s="1345"/>
    </row>
    <row r="94" spans="1:14" ht="16.5" hidden="1">
      <c r="A94" s="174" t="s">
        <v>1240</v>
      </c>
      <c r="B94" s="893">
        <v>30</v>
      </c>
      <c r="C94" s="893">
        <v>9.043488</v>
      </c>
      <c r="D94" s="898">
        <f t="shared" si="5"/>
        <v>2.7130464000000001</v>
      </c>
      <c r="E94" s="893">
        <v>9.39</v>
      </c>
      <c r="F94" s="1402">
        <f t="shared" si="6"/>
        <v>2.8170000000000006</v>
      </c>
      <c r="G94" s="1403">
        <f t="shared" si="7"/>
        <v>0.59687020800000001</v>
      </c>
      <c r="H94" s="1409"/>
      <c r="I94" s="894" t="s">
        <v>640</v>
      </c>
      <c r="J94" s="893">
        <v>300</v>
      </c>
      <c r="K94" s="893">
        <v>0</v>
      </c>
      <c r="L94" s="893">
        <v>18</v>
      </c>
      <c r="M94" s="893">
        <v>6</v>
      </c>
      <c r="N94" s="1345"/>
    </row>
    <row r="95" spans="1:14" ht="16.5" hidden="1">
      <c r="A95" s="174" t="s">
        <v>1512</v>
      </c>
      <c r="B95" s="893">
        <v>88</v>
      </c>
      <c r="C95" s="893">
        <v>6.3220679999999998</v>
      </c>
      <c r="D95" s="898">
        <f t="shared" si="5"/>
        <v>5.5634198399999999</v>
      </c>
      <c r="E95" s="893">
        <v>5.2</v>
      </c>
      <c r="F95" s="1402">
        <f t="shared" si="6"/>
        <v>4.5760000000000005</v>
      </c>
      <c r="G95" s="1403">
        <f t="shared" si="7"/>
        <v>0.41725648799999993</v>
      </c>
      <c r="H95" s="1409"/>
      <c r="I95" s="894" t="s">
        <v>1534</v>
      </c>
      <c r="J95" s="893">
        <v>300</v>
      </c>
      <c r="K95" s="893">
        <v>0</v>
      </c>
      <c r="L95" s="893">
        <v>18</v>
      </c>
      <c r="M95" s="893">
        <v>6</v>
      </c>
      <c r="N95" s="1345"/>
    </row>
    <row r="96" spans="1:14" ht="16.5" hidden="1">
      <c r="A96" s="174" t="s">
        <v>1513</v>
      </c>
      <c r="B96" s="893">
        <v>89</v>
      </c>
      <c r="C96" s="893">
        <v>13.188420000000001</v>
      </c>
      <c r="D96" s="898">
        <f t="shared" si="5"/>
        <v>11.737693800000001</v>
      </c>
      <c r="E96" s="893">
        <v>49.6</v>
      </c>
      <c r="F96" s="1402">
        <f t="shared" si="6"/>
        <v>44.144000000000005</v>
      </c>
      <c r="G96" s="1403">
        <f t="shared" si="7"/>
        <v>0.87043572000000002</v>
      </c>
      <c r="H96" s="1409"/>
      <c r="I96" s="894" t="s">
        <v>1534</v>
      </c>
      <c r="J96" s="893">
        <v>300</v>
      </c>
      <c r="K96" s="893">
        <v>0</v>
      </c>
      <c r="L96" s="893">
        <v>18</v>
      </c>
      <c r="M96" s="893">
        <v>6</v>
      </c>
      <c r="N96" s="1345"/>
    </row>
    <row r="97" spans="1:14" ht="16.5" hidden="1">
      <c r="A97" s="174" t="s">
        <v>1514</v>
      </c>
      <c r="B97" s="893">
        <v>90.3</v>
      </c>
      <c r="C97" s="893">
        <v>12.476664</v>
      </c>
      <c r="D97" s="898">
        <f t="shared" si="5"/>
        <v>11.266427591999999</v>
      </c>
      <c r="E97" s="893">
        <v>12.2</v>
      </c>
      <c r="F97" s="1402">
        <f t="shared" si="6"/>
        <v>11.016599999999999</v>
      </c>
      <c r="G97" s="1403">
        <f t="shared" si="7"/>
        <v>0.82345982399999995</v>
      </c>
      <c r="H97" s="1409"/>
      <c r="I97" s="894" t="s">
        <v>1534</v>
      </c>
      <c r="J97" s="893">
        <v>300</v>
      </c>
      <c r="K97" s="893">
        <v>0</v>
      </c>
      <c r="L97" s="893">
        <v>18</v>
      </c>
      <c r="M97" s="893">
        <v>6</v>
      </c>
      <c r="N97" s="1345"/>
    </row>
    <row r="98" spans="1:14" ht="16.5" hidden="1">
      <c r="A98" s="174" t="s">
        <v>1515</v>
      </c>
      <c r="B98" s="893">
        <v>86.4</v>
      </c>
      <c r="C98" s="893">
        <v>14.23512</v>
      </c>
      <c r="D98" s="898">
        <f t="shared" si="5"/>
        <v>12.299143680000002</v>
      </c>
      <c r="E98" s="893">
        <v>40.299999999999997</v>
      </c>
      <c r="F98" s="1402">
        <f t="shared" si="6"/>
        <v>34.819200000000002</v>
      </c>
      <c r="G98" s="1403">
        <f t="shared" si="7"/>
        <v>0.93951792000000001</v>
      </c>
      <c r="H98" s="1409"/>
      <c r="I98" s="894" t="s">
        <v>1534</v>
      </c>
      <c r="J98" s="893">
        <v>300</v>
      </c>
      <c r="K98" s="893">
        <v>0</v>
      </c>
      <c r="L98" s="893">
        <v>18</v>
      </c>
      <c r="M98" s="893">
        <v>6</v>
      </c>
      <c r="N98" s="1345"/>
    </row>
    <row r="99" spans="1:14" ht="16.5" hidden="1">
      <c r="A99" s="174" t="s">
        <v>1614</v>
      </c>
      <c r="B99" s="893">
        <v>19.420000000000002</v>
      </c>
      <c r="C99" s="893">
        <v>9.5459040000000002</v>
      </c>
      <c r="D99" s="898">
        <f t="shared" si="5"/>
        <v>1.8538145568000002</v>
      </c>
      <c r="E99" s="893">
        <v>18.690000000000001</v>
      </c>
      <c r="F99" s="1402">
        <f t="shared" si="6"/>
        <v>3.6295980000000001</v>
      </c>
      <c r="G99" s="1403">
        <f t="shared" si="7"/>
        <v>0.63002966399999993</v>
      </c>
      <c r="H99" s="1407"/>
      <c r="I99" s="894" t="s">
        <v>1241</v>
      </c>
      <c r="J99" s="893">
        <v>300</v>
      </c>
      <c r="K99" s="893">
        <v>0</v>
      </c>
      <c r="L99" s="893">
        <v>18</v>
      </c>
      <c r="M99" s="893">
        <v>6</v>
      </c>
      <c r="N99" s="1345"/>
    </row>
    <row r="100" spans="1:14" ht="16.5" hidden="1">
      <c r="A100" s="174" t="s">
        <v>1516</v>
      </c>
      <c r="B100" s="893">
        <v>29</v>
      </c>
      <c r="C100" s="893">
        <v>6.9</v>
      </c>
      <c r="D100" s="898">
        <f t="shared" si="5"/>
        <v>2.0009999999999999</v>
      </c>
      <c r="E100" s="893">
        <v>5.9</v>
      </c>
      <c r="F100" s="1402">
        <f t="shared" si="6"/>
        <v>1.7110000000000003</v>
      </c>
      <c r="G100" s="1403">
        <f t="shared" si="7"/>
        <v>0.45539999999999997</v>
      </c>
      <c r="H100" s="1409"/>
      <c r="I100" s="894" t="s">
        <v>1106</v>
      </c>
      <c r="J100" s="893">
        <v>300</v>
      </c>
      <c r="K100" s="893">
        <v>0</v>
      </c>
      <c r="L100" s="893">
        <v>18</v>
      </c>
      <c r="M100" s="893">
        <v>6</v>
      </c>
      <c r="N100" s="1345"/>
    </row>
    <row r="101" spans="1:14" ht="16.5" hidden="1">
      <c r="A101" s="174" t="s">
        <v>805</v>
      </c>
      <c r="B101" s="893">
        <v>96.27</v>
      </c>
      <c r="C101" s="893">
        <v>7.4400000000000013</v>
      </c>
      <c r="D101" s="898">
        <f t="shared" si="5"/>
        <v>7.1624880000000015</v>
      </c>
      <c r="E101" s="893">
        <v>3.6899999999999995</v>
      </c>
      <c r="F101" s="1402">
        <f t="shared" si="6"/>
        <v>3.5523629999999993</v>
      </c>
      <c r="G101" s="1403">
        <f t="shared" si="7"/>
        <v>0.49104000000000009</v>
      </c>
      <c r="H101" s="1407"/>
      <c r="I101" s="894" t="s">
        <v>1102</v>
      </c>
      <c r="J101" s="893">
        <v>300</v>
      </c>
      <c r="K101" s="893">
        <v>0</v>
      </c>
      <c r="L101" s="893">
        <v>18</v>
      </c>
      <c r="M101" s="893">
        <v>6</v>
      </c>
      <c r="N101" s="1345"/>
    </row>
    <row r="102" spans="1:14" ht="16.5" hidden="1">
      <c r="A102" s="174" t="s">
        <v>1671</v>
      </c>
      <c r="B102" s="893">
        <v>23.2</v>
      </c>
      <c r="C102" s="893">
        <v>9</v>
      </c>
      <c r="D102" s="898">
        <f t="shared" si="5"/>
        <v>2.0880000000000001</v>
      </c>
      <c r="E102" s="893">
        <v>4.3</v>
      </c>
      <c r="F102" s="1402">
        <f t="shared" si="6"/>
        <v>0.99759999999999993</v>
      </c>
      <c r="G102" s="1403">
        <f t="shared" si="7"/>
        <v>0.59399999999999997</v>
      </c>
      <c r="H102" s="1406"/>
      <c r="I102" s="894" t="s">
        <v>1102</v>
      </c>
      <c r="J102" s="893">
        <v>300</v>
      </c>
      <c r="K102" s="893">
        <v>0</v>
      </c>
      <c r="L102" s="893">
        <v>18</v>
      </c>
      <c r="M102" s="893">
        <v>6</v>
      </c>
      <c r="N102" s="1345"/>
    </row>
    <row r="103" spans="1:14" ht="16.5" hidden="1">
      <c r="A103" s="174" t="s">
        <v>806</v>
      </c>
      <c r="B103" s="893">
        <v>74.3</v>
      </c>
      <c r="C103" s="893">
        <v>10.885680000000001</v>
      </c>
      <c r="D103" s="898">
        <f t="shared" si="5"/>
        <v>8.0880602400000008</v>
      </c>
      <c r="E103" s="893">
        <v>5.8</v>
      </c>
      <c r="F103" s="1402">
        <f t="shared" si="6"/>
        <v>4.3094000000000001</v>
      </c>
      <c r="G103" s="1403">
        <f t="shared" si="7"/>
        <v>0.71845488000000002</v>
      </c>
      <c r="H103" s="1407"/>
      <c r="I103" s="894" t="s">
        <v>1106</v>
      </c>
      <c r="J103" s="893">
        <v>300</v>
      </c>
      <c r="K103" s="893">
        <v>0</v>
      </c>
      <c r="L103" s="893">
        <v>18</v>
      </c>
      <c r="M103" s="893">
        <v>6</v>
      </c>
      <c r="N103" s="1345"/>
    </row>
    <row r="104" spans="1:14" ht="16.5" hidden="1">
      <c r="A104" s="174" t="s">
        <v>1615</v>
      </c>
      <c r="B104" s="893">
        <v>29</v>
      </c>
      <c r="C104" s="893">
        <v>6.9</v>
      </c>
      <c r="D104" s="898">
        <f t="shared" si="5"/>
        <v>2.0009999999999999</v>
      </c>
      <c r="E104" s="893">
        <v>5.9</v>
      </c>
      <c r="F104" s="1402">
        <f t="shared" si="6"/>
        <v>1.7110000000000003</v>
      </c>
      <c r="G104" s="1403">
        <f t="shared" si="7"/>
        <v>0.45539999999999997</v>
      </c>
      <c r="H104" s="1407"/>
      <c r="I104" s="894" t="s">
        <v>1102</v>
      </c>
      <c r="J104" s="893">
        <v>300</v>
      </c>
      <c r="K104" s="893">
        <v>0</v>
      </c>
      <c r="L104" s="893">
        <v>18</v>
      </c>
      <c r="M104" s="893">
        <v>6</v>
      </c>
      <c r="N104" s="1345"/>
    </row>
    <row r="105" spans="1:14" ht="16.5" hidden="1">
      <c r="A105" s="174" t="s">
        <v>1242</v>
      </c>
      <c r="B105" s="893">
        <v>85</v>
      </c>
      <c r="C105" s="893">
        <v>7</v>
      </c>
      <c r="D105" s="898">
        <f t="shared" si="5"/>
        <v>5.95</v>
      </c>
      <c r="E105" s="893">
        <v>5.5</v>
      </c>
      <c r="F105" s="1402">
        <f t="shared" si="6"/>
        <v>4.6749999999999998</v>
      </c>
      <c r="G105" s="1403">
        <f t="shared" si="7"/>
        <v>0.46199999999999997</v>
      </c>
      <c r="H105" s="1407"/>
      <c r="I105" s="894" t="s">
        <v>1102</v>
      </c>
      <c r="J105" s="893">
        <v>300</v>
      </c>
      <c r="K105" s="893">
        <v>0</v>
      </c>
      <c r="L105" s="893">
        <v>18</v>
      </c>
      <c r="M105" s="893">
        <v>6</v>
      </c>
      <c r="N105" s="1345"/>
    </row>
    <row r="106" spans="1:14" ht="16.5" hidden="1">
      <c r="A106" s="174" t="s">
        <v>1517</v>
      </c>
      <c r="B106" s="893">
        <v>94.9</v>
      </c>
      <c r="C106" s="893">
        <v>9.127224</v>
      </c>
      <c r="D106" s="898">
        <f t="shared" si="5"/>
        <v>8.6617355759999999</v>
      </c>
      <c r="E106" s="893">
        <v>17.899999999999999</v>
      </c>
      <c r="F106" s="1402">
        <f t="shared" si="6"/>
        <v>16.987100000000002</v>
      </c>
      <c r="G106" s="1403">
        <f t="shared" si="7"/>
        <v>0.60239678399999996</v>
      </c>
      <c r="H106" s="1409"/>
      <c r="I106" s="894" t="s">
        <v>1106</v>
      </c>
      <c r="J106" s="893">
        <v>300</v>
      </c>
      <c r="K106" s="893">
        <v>0</v>
      </c>
      <c r="L106" s="893">
        <v>18</v>
      </c>
      <c r="M106" s="893">
        <v>6</v>
      </c>
      <c r="N106" s="1345"/>
    </row>
    <row r="107" spans="1:14" ht="16.5" hidden="1">
      <c r="A107" s="174" t="s">
        <v>1518</v>
      </c>
      <c r="B107" s="893">
        <v>10.8</v>
      </c>
      <c r="C107" s="893">
        <v>10.01</v>
      </c>
      <c r="D107" s="898">
        <f t="shared" si="5"/>
        <v>1.08108</v>
      </c>
      <c r="E107" s="893">
        <v>19.399999999999999</v>
      </c>
      <c r="F107" s="1402">
        <f t="shared" si="6"/>
        <v>2.0952000000000002</v>
      </c>
      <c r="G107" s="1403">
        <f t="shared" si="7"/>
        <v>0.66065999999999991</v>
      </c>
      <c r="H107" s="1409"/>
      <c r="I107" s="894" t="s">
        <v>1535</v>
      </c>
      <c r="J107" s="893">
        <v>300</v>
      </c>
      <c r="K107" s="893">
        <v>0</v>
      </c>
      <c r="L107" s="893">
        <v>18</v>
      </c>
      <c r="M107" s="893">
        <v>6</v>
      </c>
      <c r="N107" s="1345"/>
    </row>
    <row r="108" spans="1:14" ht="16.5" hidden="1">
      <c r="A108" s="174" t="s">
        <v>1519</v>
      </c>
      <c r="B108" s="893">
        <v>59</v>
      </c>
      <c r="C108" s="893">
        <v>13.58</v>
      </c>
      <c r="D108" s="898">
        <f t="shared" si="5"/>
        <v>8.0122</v>
      </c>
      <c r="E108" s="893">
        <v>5.0999999999999996</v>
      </c>
      <c r="F108" s="1402">
        <f t="shared" si="6"/>
        <v>3.0089999999999999</v>
      </c>
      <c r="G108" s="1403">
        <f t="shared" si="7"/>
        <v>0.89627999999999997</v>
      </c>
      <c r="H108" s="1409"/>
      <c r="I108" s="894" t="s">
        <v>1535</v>
      </c>
      <c r="J108" s="893">
        <v>300</v>
      </c>
      <c r="K108" s="893">
        <v>0</v>
      </c>
      <c r="L108" s="893">
        <v>18</v>
      </c>
      <c r="M108" s="893">
        <v>6</v>
      </c>
      <c r="N108" s="1345"/>
    </row>
    <row r="109" spans="1:14" ht="16.5" hidden="1">
      <c r="A109" s="174" t="s">
        <v>1520</v>
      </c>
      <c r="B109" s="893">
        <v>87.1</v>
      </c>
      <c r="C109" s="893">
        <v>11.35</v>
      </c>
      <c r="D109" s="898">
        <f t="shared" si="5"/>
        <v>9.8858499999999996</v>
      </c>
      <c r="E109" s="893">
        <v>4.5999999999999996</v>
      </c>
      <c r="F109" s="1402">
        <f t="shared" si="6"/>
        <v>4.0065999999999997</v>
      </c>
      <c r="G109" s="1403">
        <f t="shared" si="7"/>
        <v>0.74909999999999999</v>
      </c>
      <c r="H109" s="1409"/>
      <c r="I109" s="894" t="s">
        <v>1535</v>
      </c>
      <c r="J109" s="893">
        <v>300</v>
      </c>
      <c r="K109" s="893">
        <v>0</v>
      </c>
      <c r="L109" s="893">
        <v>18</v>
      </c>
      <c r="M109" s="893">
        <v>6</v>
      </c>
      <c r="N109" s="1345"/>
    </row>
    <row r="110" spans="1:14" ht="16.5" hidden="1">
      <c r="A110" s="174" t="s">
        <v>1521</v>
      </c>
      <c r="B110" s="893">
        <v>10.8</v>
      </c>
      <c r="C110" s="893">
        <v>10.01</v>
      </c>
      <c r="D110" s="898">
        <f t="shared" si="5"/>
        <v>1.08108</v>
      </c>
      <c r="E110" s="893">
        <v>19.399999999999999</v>
      </c>
      <c r="F110" s="1402">
        <f t="shared" si="6"/>
        <v>2.0952000000000002</v>
      </c>
      <c r="G110" s="1403">
        <f t="shared" si="7"/>
        <v>0.66065999999999991</v>
      </c>
      <c r="H110" s="1409"/>
      <c r="I110" s="894" t="s">
        <v>1535</v>
      </c>
      <c r="J110" s="893">
        <v>300</v>
      </c>
      <c r="K110" s="893">
        <v>0</v>
      </c>
      <c r="L110" s="893">
        <v>18</v>
      </c>
      <c r="M110" s="893">
        <v>6</v>
      </c>
      <c r="N110" s="1345"/>
    </row>
    <row r="111" spans="1:14" ht="16.5" hidden="1">
      <c r="A111" s="174" t="s">
        <v>1522</v>
      </c>
      <c r="B111" s="893">
        <v>44.08</v>
      </c>
      <c r="C111" s="893">
        <v>7.43</v>
      </c>
      <c r="D111" s="898">
        <f t="shared" si="5"/>
        <v>3.2751439999999996</v>
      </c>
      <c r="E111" s="893">
        <v>21</v>
      </c>
      <c r="F111" s="1402">
        <f t="shared" si="6"/>
        <v>9.2568000000000001</v>
      </c>
      <c r="G111" s="1403">
        <f t="shared" si="7"/>
        <v>0.49037999999999998</v>
      </c>
      <c r="H111" s="1409"/>
      <c r="I111" s="894" t="s">
        <v>1536</v>
      </c>
      <c r="J111" s="893">
        <v>300</v>
      </c>
      <c r="K111" s="893">
        <v>0</v>
      </c>
      <c r="L111" s="893">
        <v>18</v>
      </c>
      <c r="M111" s="893">
        <v>6</v>
      </c>
      <c r="N111" s="1345"/>
    </row>
    <row r="112" spans="1:14" ht="16.5" hidden="1">
      <c r="A112" s="174" t="s">
        <v>1523</v>
      </c>
      <c r="B112" s="893">
        <v>15</v>
      </c>
      <c r="C112" s="893">
        <v>9.1</v>
      </c>
      <c r="D112" s="898">
        <f t="shared" si="5"/>
        <v>1.365</v>
      </c>
      <c r="E112" s="893">
        <v>22.5</v>
      </c>
      <c r="F112" s="1402">
        <f t="shared" si="6"/>
        <v>3.375</v>
      </c>
      <c r="G112" s="1403">
        <f t="shared" si="7"/>
        <v>0.60059999999999991</v>
      </c>
      <c r="H112" s="1409"/>
      <c r="I112" s="894" t="s">
        <v>1537</v>
      </c>
      <c r="J112" s="893">
        <v>300</v>
      </c>
      <c r="K112" s="893">
        <v>0</v>
      </c>
      <c r="L112" s="893">
        <v>18</v>
      </c>
      <c r="M112" s="893">
        <v>6</v>
      </c>
      <c r="N112" s="1345"/>
    </row>
    <row r="113" spans="1:14" ht="16.5">
      <c r="A113" s="1427" t="s">
        <v>1609</v>
      </c>
      <c r="B113" s="893">
        <v>24.9</v>
      </c>
      <c r="C113" s="893">
        <v>8.1</v>
      </c>
      <c r="D113" s="898">
        <f t="shared" si="5"/>
        <v>2.0168999999999997</v>
      </c>
      <c r="E113" s="893">
        <v>10.1</v>
      </c>
      <c r="F113" s="1402">
        <f t="shared" si="6"/>
        <v>2.5148999999999999</v>
      </c>
      <c r="G113" s="1403">
        <f t="shared" si="7"/>
        <v>0.53459999999999996</v>
      </c>
      <c r="H113" s="174">
        <v>0</v>
      </c>
      <c r="I113" s="894" t="s">
        <v>1101</v>
      </c>
      <c r="J113" s="893">
        <v>300</v>
      </c>
      <c r="K113" s="893">
        <v>0</v>
      </c>
      <c r="L113" s="893">
        <v>18</v>
      </c>
      <c r="M113" s="893">
        <v>6</v>
      </c>
      <c r="N113" s="1345"/>
    </row>
    <row r="114" spans="1:14" ht="16.5">
      <c r="A114" s="477"/>
      <c r="B114" s="478"/>
      <c r="C114" s="478"/>
      <c r="D114" s="478"/>
      <c r="E114" s="478"/>
      <c r="F114" s="478"/>
      <c r="G114" s="478"/>
      <c r="I114" s="749"/>
    </row>
    <row r="115" spans="1:14" ht="16.5">
      <c r="A115" s="477"/>
      <c r="B115" s="478"/>
      <c r="C115" s="478"/>
      <c r="D115" s="478"/>
      <c r="E115" s="478"/>
      <c r="F115" s="478"/>
      <c r="G115" s="478"/>
      <c r="I115" s="749"/>
    </row>
    <row r="116" spans="1:14" ht="16.5">
      <c r="A116" s="477"/>
      <c r="B116" s="478"/>
      <c r="C116" s="478"/>
      <c r="D116" s="478"/>
      <c r="E116" s="478"/>
      <c r="F116" s="478"/>
      <c r="G116" s="478"/>
      <c r="I116" s="749"/>
    </row>
    <row r="117" spans="1:14" ht="16.5">
      <c r="A117" s="477"/>
      <c r="B117" s="478"/>
      <c r="C117" s="478"/>
      <c r="D117" s="478"/>
      <c r="E117" s="478"/>
      <c r="F117" s="478"/>
      <c r="G117" s="478"/>
      <c r="I117" s="749"/>
    </row>
    <row r="118" spans="1:14" ht="16.5">
      <c r="A118" s="477"/>
      <c r="B118" s="478"/>
      <c r="C118" s="478"/>
      <c r="D118" s="478"/>
      <c r="E118" s="478"/>
      <c r="F118" s="478"/>
      <c r="G118" s="478"/>
      <c r="I118" s="749"/>
    </row>
    <row r="119" spans="1:14" ht="16.5">
      <c r="A119" s="477"/>
      <c r="B119" s="478"/>
      <c r="C119" s="478"/>
      <c r="D119" s="478"/>
      <c r="E119" s="478"/>
      <c r="F119" s="478"/>
      <c r="G119" s="478"/>
      <c r="I119" s="749"/>
    </row>
    <row r="120" spans="1:14" ht="16.5">
      <c r="A120" s="477"/>
      <c r="B120" s="478"/>
      <c r="C120" s="478"/>
      <c r="D120" s="478"/>
      <c r="E120" s="478"/>
      <c r="F120" s="478"/>
      <c r="G120" s="478"/>
      <c r="I120" s="749"/>
    </row>
    <row r="121" spans="1:14" ht="16.5">
      <c r="A121" s="477"/>
      <c r="B121" s="478"/>
      <c r="C121" s="478"/>
      <c r="D121" s="478"/>
      <c r="E121" s="478"/>
      <c r="F121" s="478"/>
      <c r="G121" s="478"/>
      <c r="I121" s="749"/>
    </row>
    <row r="122" spans="1:14" ht="16.5">
      <c r="A122" s="477"/>
      <c r="B122" s="478"/>
      <c r="C122" s="478"/>
      <c r="D122" s="478"/>
      <c r="E122" s="478"/>
      <c r="F122" s="478"/>
      <c r="G122" s="478"/>
      <c r="I122" s="749"/>
    </row>
    <row r="123" spans="1:14" ht="16.5">
      <c r="A123" s="477"/>
      <c r="B123" s="478"/>
      <c r="C123" s="478"/>
      <c r="D123" s="478"/>
      <c r="E123" s="478"/>
      <c r="F123" s="478"/>
      <c r="G123" s="478"/>
      <c r="I123" s="749"/>
    </row>
    <row r="124" spans="1:14" ht="16.5">
      <c r="A124" s="477"/>
      <c r="B124" s="478"/>
      <c r="C124" s="478"/>
      <c r="D124" s="478"/>
      <c r="E124" s="478"/>
      <c r="F124" s="478"/>
      <c r="G124" s="478"/>
      <c r="I124" s="749"/>
    </row>
    <row r="125" spans="1:14" ht="16.5">
      <c r="A125" s="477"/>
      <c r="B125" s="478"/>
      <c r="C125" s="478"/>
      <c r="D125" s="478"/>
      <c r="E125" s="478"/>
      <c r="F125" s="478"/>
      <c r="G125" s="478"/>
      <c r="I125" s="749"/>
    </row>
    <row r="126" spans="1:14" ht="16.5">
      <c r="A126" s="477"/>
      <c r="B126" s="478"/>
      <c r="C126" s="478"/>
      <c r="D126" s="478"/>
      <c r="E126" s="478"/>
      <c r="F126" s="478"/>
      <c r="G126" s="478"/>
      <c r="I126" s="749"/>
    </row>
    <row r="127" spans="1:14" ht="16.5">
      <c r="A127" s="477"/>
      <c r="B127" s="478"/>
      <c r="C127" s="478"/>
      <c r="D127" s="478"/>
      <c r="E127" s="478"/>
      <c r="F127" s="478"/>
      <c r="G127" s="478"/>
      <c r="I127" s="749"/>
    </row>
    <row r="128" spans="1:14" ht="16.5">
      <c r="A128" s="477"/>
      <c r="B128" s="478"/>
      <c r="C128" s="478"/>
      <c r="D128" s="478"/>
      <c r="E128" s="478"/>
      <c r="F128" s="478"/>
      <c r="G128" s="478"/>
      <c r="I128" s="749"/>
    </row>
    <row r="129" spans="1:9" ht="16.5">
      <c r="A129" s="477"/>
      <c r="B129" s="478"/>
      <c r="C129" s="478"/>
      <c r="D129" s="478"/>
      <c r="E129" s="478"/>
      <c r="F129" s="478"/>
      <c r="G129" s="478"/>
      <c r="I129" s="749"/>
    </row>
    <row r="130" spans="1:9" ht="16.5">
      <c r="A130" s="477"/>
      <c r="B130" s="478"/>
      <c r="C130" s="478"/>
      <c r="D130" s="478"/>
      <c r="E130" s="478"/>
      <c r="F130" s="478"/>
      <c r="G130" s="478"/>
      <c r="I130" s="749"/>
    </row>
    <row r="131" spans="1:9" ht="16.5">
      <c r="A131" s="477"/>
      <c r="B131" s="478"/>
      <c r="C131" s="478"/>
      <c r="D131" s="478"/>
      <c r="E131" s="478"/>
      <c r="F131" s="478"/>
      <c r="G131" s="478"/>
      <c r="I131" s="749"/>
    </row>
    <row r="132" spans="1:9" ht="16.5">
      <c r="A132" s="477"/>
      <c r="B132" s="478"/>
      <c r="C132" s="478"/>
      <c r="D132" s="478"/>
      <c r="E132" s="478"/>
      <c r="F132" s="478"/>
      <c r="G132" s="478"/>
      <c r="I132" s="749"/>
    </row>
    <row r="133" spans="1:9" ht="16.5">
      <c r="A133" s="477"/>
      <c r="B133" s="478"/>
      <c r="C133" s="478"/>
      <c r="D133" s="478"/>
      <c r="E133" s="478"/>
      <c r="F133" s="478"/>
      <c r="G133" s="478"/>
      <c r="I133" s="749"/>
    </row>
    <row r="134" spans="1:9" ht="16.5">
      <c r="A134" s="477"/>
      <c r="B134" s="478"/>
      <c r="C134" s="478"/>
      <c r="D134" s="478"/>
      <c r="E134" s="478"/>
      <c r="F134" s="478"/>
      <c r="G134" s="478"/>
      <c r="I134" s="749"/>
    </row>
    <row r="135" spans="1:9" ht="16.5">
      <c r="A135" s="477"/>
      <c r="B135" s="478"/>
      <c r="C135" s="478"/>
      <c r="D135" s="478"/>
      <c r="E135" s="478"/>
      <c r="F135" s="478"/>
      <c r="G135" s="478"/>
      <c r="I135" s="749"/>
    </row>
    <row r="136" spans="1:9" ht="16.5">
      <c r="A136" s="477"/>
      <c r="B136" s="478"/>
      <c r="C136" s="478"/>
      <c r="D136" s="478"/>
      <c r="E136" s="478"/>
      <c r="F136" s="478"/>
      <c r="G136" s="478"/>
      <c r="I136" s="749"/>
    </row>
    <row r="137" spans="1:9" ht="16.5">
      <c r="A137" s="477"/>
      <c r="B137" s="478"/>
      <c r="C137" s="478"/>
      <c r="D137" s="478"/>
      <c r="E137" s="478"/>
      <c r="F137" s="478"/>
      <c r="G137" s="478"/>
      <c r="I137" s="749"/>
    </row>
    <row r="138" spans="1:9" ht="16.5">
      <c r="A138" s="477"/>
      <c r="B138" s="478"/>
      <c r="C138" s="478"/>
      <c r="D138" s="478"/>
      <c r="E138" s="478"/>
      <c r="F138" s="478"/>
      <c r="G138" s="478"/>
      <c r="I138" s="749"/>
    </row>
    <row r="139" spans="1:9" ht="16.5">
      <c r="A139" s="477"/>
      <c r="B139" s="478"/>
      <c r="C139" s="478"/>
      <c r="D139" s="478"/>
      <c r="E139" s="478"/>
      <c r="F139" s="478"/>
      <c r="G139" s="478"/>
      <c r="I139" s="749"/>
    </row>
  </sheetData>
  <sheetProtection selectLockedCells="1"/>
  <pageMargins left="0.75" right="0.75" top="1" bottom="1" header="0.5" footer="0.5"/>
  <pageSetup paperSize="9" orientation="portrait" horizontalDpi="4294967292" verticalDpi="4294967292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0" tint="-0.499984740745262"/>
  </sheetPr>
  <dimension ref="A1:E24"/>
  <sheetViews>
    <sheetView workbookViewId="0">
      <selection activeCell="J12" sqref="J12"/>
    </sheetView>
  </sheetViews>
  <sheetFormatPr defaultRowHeight="15.75"/>
  <cols>
    <col min="2" max="2" width="18.875" bestFit="1" customWidth="1"/>
    <col min="3" max="3" width="25.75" bestFit="1" customWidth="1"/>
    <col min="4" max="4" width="22.375" customWidth="1"/>
    <col min="5" max="5" width="16.625" customWidth="1"/>
  </cols>
  <sheetData>
    <row r="1" spans="1:5" s="511" customFormat="1">
      <c r="A1" s="511" t="s">
        <v>1171</v>
      </c>
      <c r="B1" s="512"/>
    </row>
    <row r="2" spans="1:5">
      <c r="B2" s="37"/>
      <c r="C2" s="37"/>
      <c r="D2" s="37"/>
      <c r="E2" s="37"/>
    </row>
    <row r="3" spans="1:5">
      <c r="B3" s="585" t="s">
        <v>1174</v>
      </c>
      <c r="C3" s="13" t="s">
        <v>1299</v>
      </c>
      <c r="D3" s="13" t="s">
        <v>1175</v>
      </c>
    </row>
    <row r="4" spans="1:5">
      <c r="B4" s="17" t="s">
        <v>1179</v>
      </c>
      <c r="C4" s="358">
        <v>5.7999999999999996E-3</v>
      </c>
      <c r="D4" s="1126" t="s">
        <v>1686</v>
      </c>
    </row>
    <row r="5" spans="1:5">
      <c r="B5" s="17" t="s">
        <v>1180</v>
      </c>
      <c r="C5" s="358"/>
      <c r="D5" s="1126"/>
    </row>
    <row r="6" spans="1:5">
      <c r="B6" s="17" t="s">
        <v>1181</v>
      </c>
      <c r="C6" s="358"/>
      <c r="D6" s="1126"/>
    </row>
    <row r="7" spans="1:5">
      <c r="B7" s="17" t="s">
        <v>1182</v>
      </c>
      <c r="C7" s="358">
        <v>3</v>
      </c>
      <c r="D7" s="1126" t="s">
        <v>1686</v>
      </c>
    </row>
    <row r="8" spans="1:5" s="1351" customFormat="1">
      <c r="B8" s="17" t="s">
        <v>1868</v>
      </c>
      <c r="C8" s="358"/>
      <c r="D8" s="1350"/>
    </row>
    <row r="9" spans="1:5">
      <c r="B9" s="17" t="s">
        <v>1871</v>
      </c>
      <c r="C9" s="358"/>
      <c r="D9" s="1126"/>
    </row>
    <row r="10" spans="1:5" s="1351" customFormat="1">
      <c r="B10" s="575" t="s">
        <v>1643</v>
      </c>
      <c r="C10" s="358"/>
      <c r="D10" s="1350"/>
    </row>
    <row r="11" spans="1:5">
      <c r="B11" s="17" t="s">
        <v>1191</v>
      </c>
      <c r="C11" s="358">
        <v>0.35</v>
      </c>
      <c r="D11" s="1126" t="s">
        <v>1686</v>
      </c>
    </row>
    <row r="12" spans="1:5" s="1351" customFormat="1">
      <c r="B12" s="17" t="s">
        <v>1867</v>
      </c>
      <c r="C12" s="358"/>
      <c r="D12" s="1350"/>
    </row>
    <row r="13" spans="1:5">
      <c r="B13" s="17" t="s">
        <v>1872</v>
      </c>
      <c r="C13" s="358"/>
      <c r="D13" s="1126"/>
    </row>
    <row r="14" spans="1:5">
      <c r="B14" s="17" t="s">
        <v>1183</v>
      </c>
      <c r="C14" s="358">
        <v>3.5</v>
      </c>
      <c r="D14" s="1126" t="s">
        <v>1685</v>
      </c>
    </row>
    <row r="15" spans="1:5" s="1127" customFormat="1">
      <c r="B15" s="575" t="s">
        <v>1026</v>
      </c>
      <c r="C15" s="358"/>
      <c r="D15" s="1126" t="s">
        <v>1686</v>
      </c>
    </row>
    <row r="16" spans="1:5" s="1127" customFormat="1">
      <c r="B16" s="575" t="s">
        <v>1029</v>
      </c>
      <c r="C16" s="358"/>
      <c r="D16" s="1126" t="s">
        <v>1686</v>
      </c>
    </row>
    <row r="18" spans="2:3" s="639" customFormat="1">
      <c r="B18" s="639" t="s">
        <v>1221</v>
      </c>
    </row>
    <row r="19" spans="2:3" s="638" customFormat="1">
      <c r="B19" s="638" t="s">
        <v>1222</v>
      </c>
      <c r="C19" s="680">
        <v>52.09</v>
      </c>
    </row>
    <row r="21" spans="2:3" s="511" customFormat="1">
      <c r="B21" s="511" t="s">
        <v>1141</v>
      </c>
    </row>
    <row r="23" spans="2:3">
      <c r="B23" t="s">
        <v>1184</v>
      </c>
      <c r="C23" s="678">
        <v>0.1</v>
      </c>
    </row>
    <row r="24" spans="2:3">
      <c r="B24" t="s">
        <v>1185</v>
      </c>
      <c r="C24" s="679">
        <v>10</v>
      </c>
    </row>
  </sheetData>
  <sheetProtection selectLockedCells="1"/>
  <sortState ref="B3:E38">
    <sortCondition ref="C2"/>
  </sortState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499984740745262"/>
    <pageSetUpPr fitToPage="1"/>
  </sheetPr>
  <dimension ref="A1:AJ261"/>
  <sheetViews>
    <sheetView topLeftCell="A33" zoomScale="70" zoomScaleNormal="70" workbookViewId="0">
      <selection activeCell="A55" sqref="A55:A62"/>
    </sheetView>
  </sheetViews>
  <sheetFormatPr defaultColWidth="11" defaultRowHeight="15.75"/>
  <cols>
    <col min="1" max="1" width="33.375" style="145" customWidth="1"/>
    <col min="2" max="2" width="43" style="145" customWidth="1"/>
    <col min="3" max="3" width="25.125" style="145" customWidth="1"/>
    <col min="4" max="4" width="54.75" style="145" customWidth="1"/>
    <col min="5" max="5" width="21.75" style="145" customWidth="1"/>
    <col min="6" max="6" width="24.625" style="145" customWidth="1"/>
    <col min="7" max="7" width="34.375" style="145" customWidth="1"/>
    <col min="8" max="8" width="23.375" style="145" customWidth="1"/>
    <col min="9" max="9" width="44.75" style="145" customWidth="1"/>
    <col min="10" max="10" width="22" style="145" customWidth="1"/>
    <col min="11" max="12" width="11" style="145" customWidth="1"/>
    <col min="13" max="13" width="13" style="145" customWidth="1"/>
    <col min="14" max="14" width="11" style="227" customWidth="1"/>
    <col min="15" max="15" width="16" style="145" customWidth="1"/>
    <col min="16" max="16" width="10.125" style="145" bestFit="1" customWidth="1"/>
    <col min="17" max="25" width="10.125" style="145" customWidth="1"/>
    <col min="26" max="26" width="11" style="145"/>
    <col min="27" max="27" width="15.375" style="228" bestFit="1" customWidth="1"/>
    <col min="28" max="28" width="11" style="145"/>
    <col min="29" max="29" width="11.375" style="145" bestFit="1" customWidth="1"/>
    <col min="30" max="35" width="11" style="145"/>
    <col min="36" max="36" width="15.375" style="226" bestFit="1" customWidth="1"/>
    <col min="37" max="16384" width="11" style="145"/>
  </cols>
  <sheetData>
    <row r="1" spans="1:36">
      <c r="A1" s="145" t="s">
        <v>79</v>
      </c>
    </row>
    <row r="2" spans="1:36">
      <c r="A2" s="145" t="s">
        <v>69</v>
      </c>
      <c r="I2" s="1068"/>
      <c r="J2" s="1103"/>
      <c r="K2" s="1068"/>
    </row>
    <row r="3" spans="1:36">
      <c r="A3" s="1213" t="s">
        <v>95</v>
      </c>
      <c r="I3" s="1068"/>
      <c r="J3" s="1103"/>
      <c r="K3" s="1068"/>
    </row>
    <row r="4" spans="1:36">
      <c r="A4" s="225" t="s">
        <v>1618</v>
      </c>
      <c r="I4" s="1068"/>
      <c r="J4" s="1103"/>
      <c r="K4" s="1068"/>
    </row>
    <row r="5" spans="1:36">
      <c r="A5" s="225" t="s">
        <v>1791</v>
      </c>
      <c r="I5" s="1068"/>
      <c r="J5" s="1103"/>
      <c r="K5" s="1068"/>
    </row>
    <row r="6" spans="1:36">
      <c r="I6" s="1068"/>
      <c r="J6" s="1103"/>
      <c r="K6" s="1068"/>
    </row>
    <row r="7" spans="1:36">
      <c r="A7" s="145" t="s">
        <v>78</v>
      </c>
      <c r="I7" s="1068"/>
      <c r="J7" s="1103"/>
      <c r="K7" s="1068"/>
    </row>
    <row r="8" spans="1:36">
      <c r="B8" s="228" t="s">
        <v>1618</v>
      </c>
      <c r="C8" s="228" t="s">
        <v>95</v>
      </c>
      <c r="D8" s="228" t="s">
        <v>1791</v>
      </c>
      <c r="H8" s="1068"/>
      <c r="I8" s="1103"/>
      <c r="J8" s="1068"/>
      <c r="M8" s="227"/>
      <c r="N8" s="145"/>
      <c r="Z8" s="228"/>
      <c r="AA8" s="145"/>
      <c r="AI8" s="226"/>
      <c r="AJ8" s="145"/>
    </row>
    <row r="9" spans="1:36">
      <c r="A9" s="1213" t="s">
        <v>1797</v>
      </c>
      <c r="B9" s="225"/>
      <c r="C9" s="225"/>
      <c r="D9" s="225"/>
      <c r="E9" s="1213" t="s">
        <v>77</v>
      </c>
      <c r="F9" s="1213" t="s">
        <v>76</v>
      </c>
      <c r="G9" s="225" t="s">
        <v>69</v>
      </c>
      <c r="H9" s="1068"/>
      <c r="I9" s="1103"/>
      <c r="J9" s="1068"/>
      <c r="M9" s="227"/>
      <c r="N9" s="145"/>
      <c r="Z9" s="228"/>
      <c r="AA9" s="145"/>
      <c r="AI9" s="226"/>
      <c r="AJ9" s="145"/>
    </row>
    <row r="10" spans="1:36">
      <c r="A10" s="1213" t="str">
        <f>'Livestock parameters'!AO20</f>
        <v>Other mature female</v>
      </c>
      <c r="B10" s="225">
        <v>64</v>
      </c>
      <c r="C10" s="1281">
        <v>32</v>
      </c>
      <c r="D10" s="1286">
        <v>50</v>
      </c>
      <c r="E10" s="1213" t="s">
        <v>55</v>
      </c>
      <c r="F10" s="1213" t="s">
        <v>91</v>
      </c>
      <c r="G10" s="1248" t="str">
        <f>INPUTS!$E$3</f>
        <v>AFRICA</v>
      </c>
      <c r="H10" s="1068"/>
      <c r="I10" s="1103"/>
      <c r="J10" s="1068"/>
      <c r="M10" s="227"/>
      <c r="N10" s="145"/>
      <c r="Z10" s="228"/>
      <c r="AA10" s="145"/>
      <c r="AI10" s="226"/>
      <c r="AJ10" s="145"/>
    </row>
    <row r="11" spans="1:36">
      <c r="A11" s="1213" t="str">
        <f>'Livestock parameters'!AO21</f>
        <v>Dairy cattle</v>
      </c>
      <c r="B11" s="225">
        <v>72</v>
      </c>
      <c r="C11" s="1281">
        <v>46</v>
      </c>
      <c r="D11" s="1286">
        <v>68</v>
      </c>
      <c r="E11" s="1213" t="s">
        <v>55</v>
      </c>
      <c r="F11" s="1213" t="s">
        <v>638</v>
      </c>
      <c r="G11" s="1248" t="str">
        <f>INPUTS!$E$3</f>
        <v>AFRICA</v>
      </c>
      <c r="H11" s="1068"/>
      <c r="I11" s="1103"/>
      <c r="J11" s="1068"/>
      <c r="M11" s="227"/>
      <c r="N11" s="145"/>
      <c r="Z11" s="228"/>
      <c r="AA11" s="145"/>
      <c r="AI11" s="226"/>
      <c r="AJ11" s="145"/>
    </row>
    <row r="12" spans="1:36">
      <c r="A12" s="1213" t="str">
        <f>'Livestock parameters'!AO23</f>
        <v>Other draft bull</v>
      </c>
      <c r="B12" s="1212">
        <v>61</v>
      </c>
      <c r="C12" s="1281">
        <v>41</v>
      </c>
      <c r="D12" s="225">
        <v>59</v>
      </c>
      <c r="E12" s="1213" t="s">
        <v>55</v>
      </c>
      <c r="F12" s="1213" t="s">
        <v>91</v>
      </c>
      <c r="G12" s="1248" t="str">
        <f>INPUTS!$E$3</f>
        <v>AFRICA</v>
      </c>
      <c r="H12" s="1068"/>
      <c r="I12" s="1103"/>
      <c r="J12" s="1068"/>
      <c r="M12" s="227"/>
      <c r="N12" s="145"/>
      <c r="Z12" s="228"/>
      <c r="AA12" s="145"/>
      <c r="AI12" s="226"/>
      <c r="AJ12" s="145"/>
    </row>
    <row r="13" spans="1:36">
      <c r="A13" s="1213" t="str">
        <f>'Livestock parameters'!AO24</f>
        <v xml:space="preserve">other Mature female-grazing </v>
      </c>
      <c r="B13" s="1212">
        <v>61</v>
      </c>
      <c r="C13" s="1281">
        <v>41</v>
      </c>
      <c r="D13" s="1281">
        <v>46</v>
      </c>
      <c r="E13" s="1213" t="s">
        <v>55</v>
      </c>
      <c r="F13" s="1213" t="s">
        <v>91</v>
      </c>
      <c r="G13" s="1248" t="str">
        <f>INPUTS!$E$3</f>
        <v>AFRICA</v>
      </c>
      <c r="H13" s="1068"/>
      <c r="I13" s="1103"/>
      <c r="J13" s="1068"/>
      <c r="M13" s="227"/>
      <c r="N13" s="145"/>
      <c r="Z13" s="228"/>
      <c r="AA13" s="145"/>
      <c r="AI13" s="226"/>
      <c r="AJ13" s="145"/>
    </row>
    <row r="14" spans="1:36">
      <c r="A14" s="1213" t="str">
        <f>'Livestock parameters'!AO26</f>
        <v>Other young</v>
      </c>
      <c r="B14" s="1212">
        <v>49</v>
      </c>
      <c r="C14" s="1286">
        <v>16</v>
      </c>
      <c r="D14" s="1281">
        <v>36</v>
      </c>
      <c r="E14" s="1213" t="s">
        <v>55</v>
      </c>
      <c r="F14" s="1213" t="s">
        <v>91</v>
      </c>
      <c r="G14" s="1248" t="str">
        <f>INPUTS!$E$3</f>
        <v>AFRICA</v>
      </c>
      <c r="H14" s="1068"/>
      <c r="I14" s="1103"/>
      <c r="J14" s="1068"/>
      <c r="M14" s="227"/>
      <c r="N14" s="145"/>
      <c r="Z14" s="228"/>
      <c r="AA14" s="145"/>
      <c r="AI14" s="226"/>
      <c r="AJ14" s="145"/>
    </row>
    <row r="15" spans="1:36">
      <c r="A15" s="1213" t="str">
        <f>'Livestock parameters'!AO31</f>
        <v>Goats</v>
      </c>
      <c r="B15" s="1212">
        <v>5</v>
      </c>
      <c r="C15" s="1286">
        <v>5</v>
      </c>
      <c r="D15" s="1281">
        <v>5</v>
      </c>
      <c r="E15" s="1213" t="s">
        <v>55</v>
      </c>
      <c r="F15" s="1213" t="s">
        <v>74</v>
      </c>
      <c r="G15" s="1248" t="str">
        <f>INPUTS!$E$3</f>
        <v>AFRICA</v>
      </c>
      <c r="H15" s="1068"/>
      <c r="I15" s="1068"/>
      <c r="J15" s="1068"/>
      <c r="M15" s="227"/>
      <c r="N15" s="145"/>
      <c r="Z15" s="228"/>
      <c r="AA15" s="145"/>
      <c r="AI15" s="226"/>
      <c r="AJ15" s="145"/>
    </row>
    <row r="16" spans="1:36">
      <c r="A16" s="1213" t="str">
        <f>'Livestock parameters'!AO35</f>
        <v>Pigs</v>
      </c>
      <c r="B16" s="1212">
        <v>1</v>
      </c>
      <c r="C16" s="1286">
        <v>1</v>
      </c>
      <c r="D16" s="1286">
        <v>1</v>
      </c>
      <c r="E16" s="1213" t="s">
        <v>55</v>
      </c>
      <c r="F16" s="1213" t="s">
        <v>74</v>
      </c>
      <c r="G16" s="1248" t="str">
        <f>INPUTS!$E$3</f>
        <v>AFRICA</v>
      </c>
      <c r="H16" s="1243"/>
      <c r="I16" s="1068"/>
      <c r="J16" s="1068"/>
      <c r="M16" s="227"/>
      <c r="N16" s="145"/>
      <c r="Z16" s="228"/>
      <c r="AA16" s="145"/>
      <c r="AI16" s="226"/>
      <c r="AJ16" s="145"/>
    </row>
    <row r="17" spans="1:36" s="1068" customFormat="1">
      <c r="A17" s="1249"/>
      <c r="B17" s="1250"/>
      <c r="C17" s="1251"/>
      <c r="D17" s="1252"/>
      <c r="E17" s="1251"/>
      <c r="F17" s="1251"/>
      <c r="G17" s="1253"/>
      <c r="H17" s="1253"/>
      <c r="M17" s="1254"/>
      <c r="Z17" s="1247"/>
      <c r="AI17" s="1204"/>
    </row>
    <row r="18" spans="1:36">
      <c r="D18" s="1244" t="s">
        <v>1792</v>
      </c>
    </row>
    <row r="19" spans="1:36">
      <c r="D19" s="1247"/>
    </row>
    <row r="20" spans="1:36">
      <c r="A20" s="153" t="s">
        <v>1799</v>
      </c>
      <c r="B20" s="224" t="s">
        <v>280</v>
      </c>
      <c r="M20" s="227"/>
      <c r="N20" s="145"/>
      <c r="Z20" s="228"/>
      <c r="AA20" s="145"/>
      <c r="AI20" s="226"/>
      <c r="AJ20" s="145"/>
    </row>
    <row r="21" spans="1:36">
      <c r="A21" s="1477" t="s">
        <v>1797</v>
      </c>
      <c r="B21" s="1214" t="s">
        <v>357</v>
      </c>
      <c r="M21" s="227"/>
      <c r="N21" s="145"/>
      <c r="Z21" s="228"/>
      <c r="AA21" s="145"/>
      <c r="AI21" s="226"/>
      <c r="AJ21" s="145"/>
    </row>
    <row r="22" spans="1:36">
      <c r="A22" s="1477"/>
      <c r="B22" s="1214" t="s">
        <v>385</v>
      </c>
      <c r="M22" s="227"/>
      <c r="N22" s="145"/>
      <c r="Z22" s="228"/>
      <c r="AA22" s="145"/>
      <c r="AI22" s="226"/>
      <c r="AJ22" s="145"/>
    </row>
    <row r="23" spans="1:36">
      <c r="A23" s="1477"/>
      <c r="B23" s="1213" t="s">
        <v>630</v>
      </c>
      <c r="M23" s="227"/>
      <c r="N23" s="145"/>
      <c r="Z23" s="228"/>
      <c r="AA23" s="145"/>
      <c r="AI23" s="226"/>
      <c r="AJ23" s="145"/>
    </row>
    <row r="24" spans="1:36">
      <c r="A24" s="1214" t="s">
        <v>75</v>
      </c>
      <c r="B24" s="1214">
        <v>6.5</v>
      </c>
      <c r="M24" s="227"/>
      <c r="N24" s="145"/>
      <c r="Z24" s="228"/>
      <c r="AA24" s="145"/>
      <c r="AI24" s="226"/>
      <c r="AJ24" s="145"/>
    </row>
    <row r="25" spans="1:36">
      <c r="A25" s="174" t="s">
        <v>1798</v>
      </c>
      <c r="B25" s="1214">
        <v>6.5</v>
      </c>
      <c r="M25" s="227"/>
      <c r="N25" s="145"/>
      <c r="Z25" s="228"/>
      <c r="AA25" s="145"/>
      <c r="AI25" s="226"/>
      <c r="AJ25" s="145"/>
    </row>
    <row r="26" spans="1:36">
      <c r="A26" s="1214" t="s">
        <v>1800</v>
      </c>
      <c r="B26" s="1214">
        <v>6.5</v>
      </c>
      <c r="M26" s="227"/>
      <c r="N26" s="145"/>
      <c r="Z26" s="228"/>
      <c r="AA26" s="145"/>
      <c r="AI26" s="226"/>
      <c r="AJ26" s="145"/>
    </row>
    <row r="27" spans="1:36">
      <c r="A27" s="1214" t="s">
        <v>629</v>
      </c>
      <c r="B27" s="1214">
        <v>6.5</v>
      </c>
      <c r="M27" s="227"/>
      <c r="N27" s="145"/>
      <c r="Z27" s="228"/>
      <c r="AA27" s="145"/>
      <c r="AI27" s="226"/>
      <c r="AJ27" s="145"/>
    </row>
    <row r="28" spans="1:36">
      <c r="A28" s="1214" t="s">
        <v>628</v>
      </c>
      <c r="B28" s="1214">
        <v>4.5</v>
      </c>
      <c r="M28" s="227"/>
      <c r="N28" s="145"/>
      <c r="Z28" s="228"/>
      <c r="AA28" s="145"/>
      <c r="AI28" s="226"/>
      <c r="AJ28" s="145"/>
    </row>
    <row r="29" spans="1:36">
      <c r="A29" s="1214" t="s">
        <v>1137</v>
      </c>
      <c r="B29" s="1214">
        <v>0</v>
      </c>
      <c r="M29" s="227"/>
      <c r="N29" s="145"/>
      <c r="Z29" s="228"/>
      <c r="AA29" s="145"/>
      <c r="AI29" s="226"/>
      <c r="AJ29" s="145"/>
    </row>
    <row r="30" spans="1:36" ht="31.5">
      <c r="A30" s="1017" t="s">
        <v>1573</v>
      </c>
      <c r="B30" s="1018">
        <v>6.5</v>
      </c>
    </row>
    <row r="32" spans="1:36">
      <c r="A32" s="1213"/>
      <c r="B32" s="225" t="s">
        <v>1618</v>
      </c>
      <c r="C32" s="225" t="s">
        <v>95</v>
      </c>
      <c r="D32" s="225" t="s">
        <v>1791</v>
      </c>
      <c r="K32" s="227"/>
      <c r="N32" s="145"/>
      <c r="X32" s="228"/>
      <c r="AA32" s="145"/>
      <c r="AG32" s="226"/>
      <c r="AJ32" s="145"/>
    </row>
    <row r="33" spans="1:36">
      <c r="A33" s="1214" t="s">
        <v>60</v>
      </c>
      <c r="B33" s="225">
        <v>1</v>
      </c>
      <c r="C33" s="225">
        <v>1</v>
      </c>
      <c r="D33" s="225">
        <v>19</v>
      </c>
      <c r="F33" s="145" t="s">
        <v>73</v>
      </c>
      <c r="N33" s="145"/>
      <c r="X33" s="228"/>
      <c r="AA33" s="145"/>
      <c r="AG33" s="226"/>
      <c r="AJ33" s="145"/>
    </row>
    <row r="34" spans="1:36">
      <c r="A34" s="1214" t="s">
        <v>59</v>
      </c>
      <c r="B34" s="225">
        <v>1</v>
      </c>
      <c r="C34" s="225">
        <v>1</v>
      </c>
      <c r="D34" s="225">
        <v>1</v>
      </c>
      <c r="F34" s="145" t="s">
        <v>72</v>
      </c>
      <c r="N34" s="145"/>
      <c r="X34" s="228"/>
      <c r="AA34" s="145"/>
      <c r="AG34" s="226"/>
      <c r="AJ34" s="145"/>
    </row>
    <row r="35" spans="1:36">
      <c r="A35" s="1283" t="s">
        <v>1790</v>
      </c>
      <c r="B35" s="225">
        <v>1</v>
      </c>
      <c r="C35" s="225">
        <v>1</v>
      </c>
      <c r="D35" s="225">
        <v>2</v>
      </c>
      <c r="F35" s="145" t="s">
        <v>71</v>
      </c>
      <c r="N35" s="145"/>
      <c r="X35" s="228"/>
      <c r="AA35" s="145"/>
      <c r="AG35" s="226"/>
      <c r="AJ35" s="145"/>
    </row>
    <row r="36" spans="1:36">
      <c r="A36" s="225" t="s">
        <v>49</v>
      </c>
      <c r="B36" s="225">
        <v>0.15</v>
      </c>
      <c r="C36" s="225">
        <v>0.15</v>
      </c>
      <c r="D36" s="225">
        <v>0.2</v>
      </c>
      <c r="F36" s="145" t="s">
        <v>55</v>
      </c>
      <c r="N36" s="145"/>
      <c r="X36" s="228"/>
      <c r="AA36" s="145"/>
      <c r="AG36" s="226"/>
      <c r="AJ36" s="145"/>
    </row>
    <row r="37" spans="1:36">
      <c r="A37" s="1283" t="s">
        <v>1637</v>
      </c>
      <c r="B37" s="225">
        <v>1</v>
      </c>
      <c r="C37" s="225">
        <v>1</v>
      </c>
      <c r="D37" s="225">
        <v>4</v>
      </c>
      <c r="I37" s="145" t="s">
        <v>70</v>
      </c>
      <c r="N37" s="145"/>
      <c r="X37" s="228"/>
      <c r="AA37" s="145"/>
      <c r="AG37" s="226"/>
      <c r="AJ37" s="145"/>
    </row>
    <row r="38" spans="1:36">
      <c r="A38" s="1204"/>
      <c r="B38" s="1247"/>
      <c r="C38" s="1247"/>
      <c r="D38" s="1247"/>
      <c r="F38" s="174" t="s">
        <v>69</v>
      </c>
      <c r="G38" s="174" t="s">
        <v>68</v>
      </c>
      <c r="H38" s="1214" t="s">
        <v>67</v>
      </c>
      <c r="I38" s="1518" t="s">
        <v>66</v>
      </c>
      <c r="J38" s="1519"/>
      <c r="K38" s="1519"/>
      <c r="L38" s="1519"/>
      <c r="M38" s="1523"/>
      <c r="N38" s="1216"/>
      <c r="O38" s="1216"/>
      <c r="P38" s="1216"/>
      <c r="Q38" s="1216"/>
      <c r="R38" s="1216" t="s">
        <v>65</v>
      </c>
      <c r="S38" s="1216"/>
      <c r="T38" s="1216"/>
      <c r="U38" s="1216"/>
      <c r="V38" s="1216"/>
      <c r="W38" s="1216"/>
      <c r="X38" s="1099"/>
      <c r="Y38" s="1215" t="s">
        <v>64</v>
      </c>
      <c r="Z38" s="1216"/>
      <c r="AA38" s="1099"/>
      <c r="AG38" s="226"/>
      <c r="AJ38" s="145"/>
    </row>
    <row r="39" spans="1:36" ht="15.6" customHeight="1">
      <c r="A39" s="1204"/>
      <c r="B39" s="1247"/>
      <c r="C39" s="1247"/>
      <c r="D39" s="1247"/>
      <c r="F39" s="1514" t="s">
        <v>95</v>
      </c>
      <c r="G39" s="1524" t="s">
        <v>61</v>
      </c>
      <c r="H39" s="1214"/>
      <c r="I39" s="242" t="s">
        <v>63</v>
      </c>
      <c r="J39" s="1214">
        <v>11</v>
      </c>
      <c r="K39" s="1214">
        <v>12</v>
      </c>
      <c r="L39" s="1214">
        <v>13</v>
      </c>
      <c r="M39" s="1214">
        <v>14</v>
      </c>
      <c r="N39" s="1214">
        <v>15</v>
      </c>
      <c r="O39" s="1214">
        <v>16</v>
      </c>
      <c r="P39" s="1214">
        <v>17</v>
      </c>
      <c r="Q39" s="1214">
        <v>18</v>
      </c>
      <c r="R39" s="1214">
        <v>19</v>
      </c>
      <c r="S39" s="1214">
        <v>20</v>
      </c>
      <c r="T39" s="1214">
        <v>21</v>
      </c>
      <c r="U39" s="1214">
        <v>22</v>
      </c>
      <c r="V39" s="1214">
        <v>23</v>
      </c>
      <c r="W39" s="1214">
        <v>24</v>
      </c>
      <c r="X39" s="1214">
        <v>25</v>
      </c>
      <c r="Y39" s="1214">
        <v>26</v>
      </c>
      <c r="Z39" s="1214">
        <v>27</v>
      </c>
      <c r="AA39" s="242" t="s">
        <v>62</v>
      </c>
      <c r="AG39" s="226"/>
      <c r="AJ39" s="145"/>
    </row>
    <row r="40" spans="1:36" ht="15" customHeight="1">
      <c r="A40" s="1204"/>
      <c r="B40" s="1247"/>
      <c r="C40" s="1247"/>
      <c r="D40" s="1247"/>
      <c r="F40" s="1515"/>
      <c r="G40" s="1525"/>
      <c r="H40" s="1214" t="s">
        <v>60</v>
      </c>
      <c r="I40" s="1245">
        <v>1</v>
      </c>
      <c r="J40" s="1245">
        <v>1</v>
      </c>
      <c r="K40" s="1245">
        <v>1</v>
      </c>
      <c r="L40" s="1245">
        <v>1</v>
      </c>
      <c r="M40" s="1245">
        <v>1</v>
      </c>
      <c r="N40" s="1245">
        <v>1</v>
      </c>
      <c r="O40" s="1245">
        <v>1</v>
      </c>
      <c r="P40" s="1245">
        <v>1</v>
      </c>
      <c r="Q40" s="1245">
        <v>1</v>
      </c>
      <c r="R40" s="1245">
        <v>1</v>
      </c>
      <c r="S40" s="1245">
        <v>1</v>
      </c>
      <c r="T40" s="1245">
        <v>1</v>
      </c>
      <c r="U40" s="1245">
        <v>1</v>
      </c>
      <c r="V40" s="1245">
        <v>1</v>
      </c>
      <c r="W40" s="1245">
        <v>1</v>
      </c>
      <c r="X40" s="1245">
        <v>1</v>
      </c>
      <c r="Y40" s="1245">
        <v>1</v>
      </c>
      <c r="Z40" s="1245">
        <v>1</v>
      </c>
      <c r="AA40" s="1245">
        <v>1</v>
      </c>
      <c r="AG40" s="226"/>
      <c r="AJ40" s="145"/>
    </row>
    <row r="41" spans="1:36">
      <c r="A41" s="1204"/>
      <c r="B41" s="1247"/>
      <c r="C41" s="1247"/>
      <c r="D41" s="1247"/>
      <c r="F41" s="1515"/>
      <c r="G41" s="1525"/>
      <c r="H41" s="1214" t="s">
        <v>59</v>
      </c>
      <c r="I41" s="1245">
        <v>0</v>
      </c>
      <c r="J41" s="1245">
        <v>0</v>
      </c>
      <c r="K41" s="1245">
        <v>0</v>
      </c>
      <c r="L41" s="1245">
        <v>0</v>
      </c>
      <c r="M41" s="1245">
        <v>0</v>
      </c>
      <c r="N41" s="1245">
        <v>1</v>
      </c>
      <c r="O41" s="1245">
        <v>1</v>
      </c>
      <c r="P41" s="1245">
        <v>1</v>
      </c>
      <c r="Q41" s="1245">
        <v>1</v>
      </c>
      <c r="R41" s="1245">
        <v>1</v>
      </c>
      <c r="S41" s="1245">
        <v>1</v>
      </c>
      <c r="T41" s="1245">
        <v>1</v>
      </c>
      <c r="U41" s="1245">
        <v>1</v>
      </c>
      <c r="V41" s="1245">
        <v>1</v>
      </c>
      <c r="W41" s="1245">
        <v>1</v>
      </c>
      <c r="X41" s="1245">
        <v>1</v>
      </c>
      <c r="Y41" s="1245">
        <v>1</v>
      </c>
      <c r="Z41" s="1245">
        <v>1</v>
      </c>
      <c r="AA41" s="1245">
        <v>1</v>
      </c>
      <c r="AG41" s="226"/>
      <c r="AJ41" s="145"/>
    </row>
    <row r="42" spans="1:36">
      <c r="A42" s="1204"/>
      <c r="B42" s="1247"/>
      <c r="C42" s="1247"/>
      <c r="D42" s="1247"/>
      <c r="F42" s="1516"/>
      <c r="G42" s="1526"/>
      <c r="H42" s="1214" t="s">
        <v>1637</v>
      </c>
      <c r="I42" s="1245">
        <v>0</v>
      </c>
      <c r="J42" s="1245">
        <v>0</v>
      </c>
      <c r="K42" s="1245">
        <v>0</v>
      </c>
      <c r="L42" s="1245">
        <v>1</v>
      </c>
      <c r="M42" s="1245">
        <v>1</v>
      </c>
      <c r="N42" s="1245">
        <v>1</v>
      </c>
      <c r="O42" s="1245">
        <v>1</v>
      </c>
      <c r="P42" s="1245">
        <v>1</v>
      </c>
      <c r="Q42" s="1245">
        <v>1</v>
      </c>
      <c r="R42" s="1245">
        <v>1</v>
      </c>
      <c r="S42" s="1245">
        <v>1</v>
      </c>
      <c r="T42" s="1245">
        <v>1</v>
      </c>
      <c r="U42" s="1245">
        <v>1</v>
      </c>
      <c r="V42" s="1245">
        <v>1</v>
      </c>
      <c r="W42" s="1245">
        <v>1</v>
      </c>
      <c r="X42" s="1245">
        <v>1</v>
      </c>
      <c r="Y42" s="1245">
        <v>1</v>
      </c>
      <c r="Z42" s="1245">
        <v>1</v>
      </c>
      <c r="AA42" s="1245">
        <v>2</v>
      </c>
      <c r="AG42" s="226"/>
      <c r="AJ42" s="145"/>
    </row>
    <row r="43" spans="1:36" ht="15.75" customHeight="1">
      <c r="A43" s="1247"/>
      <c r="B43" s="1247"/>
      <c r="C43" s="1247"/>
      <c r="D43" s="1247"/>
      <c r="F43" s="1477" t="s">
        <v>1618</v>
      </c>
      <c r="G43" s="1536" t="s">
        <v>1793</v>
      </c>
      <c r="H43" s="225" t="s">
        <v>60</v>
      </c>
      <c r="I43" s="1246">
        <v>1</v>
      </c>
      <c r="J43" s="1246">
        <v>1</v>
      </c>
      <c r="K43" s="1246">
        <v>1</v>
      </c>
      <c r="L43" s="1246">
        <v>1</v>
      </c>
      <c r="M43" s="1246">
        <v>1</v>
      </c>
      <c r="N43" s="1245">
        <v>1</v>
      </c>
      <c r="O43" s="1245">
        <v>1</v>
      </c>
      <c r="P43" s="1245">
        <v>1</v>
      </c>
      <c r="Q43" s="1245">
        <v>1</v>
      </c>
      <c r="R43" s="1245">
        <v>1</v>
      </c>
      <c r="S43" s="1245">
        <v>1</v>
      </c>
      <c r="T43" s="1245">
        <v>1</v>
      </c>
      <c r="U43" s="1245">
        <v>1</v>
      </c>
      <c r="V43" s="1246">
        <v>1</v>
      </c>
      <c r="W43" s="1246">
        <v>1</v>
      </c>
      <c r="X43" s="1246">
        <v>1</v>
      </c>
      <c r="Y43" s="1245">
        <v>2</v>
      </c>
      <c r="Z43" s="1245">
        <v>2</v>
      </c>
      <c r="AA43" s="1245">
        <v>2</v>
      </c>
      <c r="AG43" s="226"/>
      <c r="AJ43" s="145"/>
    </row>
    <row r="44" spans="1:36">
      <c r="A44" s="1247"/>
      <c r="B44" s="1247"/>
      <c r="C44" s="1247"/>
      <c r="D44" s="1247"/>
      <c r="F44" s="1477"/>
      <c r="G44" s="1537"/>
      <c r="H44" s="225" t="s">
        <v>59</v>
      </c>
      <c r="I44" s="1246">
        <v>1</v>
      </c>
      <c r="J44" s="1246">
        <v>1</v>
      </c>
      <c r="K44" s="1246">
        <v>1</v>
      </c>
      <c r="L44" s="1246">
        <v>1</v>
      </c>
      <c r="M44" s="1246">
        <v>1</v>
      </c>
      <c r="N44" s="1245">
        <v>1</v>
      </c>
      <c r="O44" s="1245">
        <v>1</v>
      </c>
      <c r="P44" s="1245">
        <v>1</v>
      </c>
      <c r="Q44" s="1245">
        <v>1</v>
      </c>
      <c r="R44" s="1245">
        <v>1</v>
      </c>
      <c r="S44" s="1245">
        <v>1</v>
      </c>
      <c r="T44" s="1245">
        <v>1</v>
      </c>
      <c r="U44" s="1245">
        <v>1</v>
      </c>
      <c r="V44" s="1246">
        <v>1</v>
      </c>
      <c r="W44" s="1246">
        <v>1</v>
      </c>
      <c r="X44" s="1246">
        <v>1</v>
      </c>
      <c r="Y44" s="1245">
        <v>1</v>
      </c>
      <c r="Z44" s="1245">
        <v>1</v>
      </c>
      <c r="AA44" s="1245">
        <v>1</v>
      </c>
      <c r="AG44" s="226"/>
      <c r="AJ44" s="145"/>
    </row>
    <row r="45" spans="1:36">
      <c r="A45" s="1247"/>
      <c r="B45" s="1247"/>
      <c r="C45" s="1247"/>
      <c r="D45" s="1247"/>
      <c r="F45" s="1477"/>
      <c r="G45" s="1537"/>
      <c r="H45" s="225" t="s">
        <v>1637</v>
      </c>
      <c r="I45" s="1246">
        <v>1</v>
      </c>
      <c r="J45" s="1246">
        <v>1</v>
      </c>
      <c r="K45" s="1246">
        <v>1</v>
      </c>
      <c r="L45" s="1246">
        <v>1</v>
      </c>
      <c r="M45" s="1246">
        <v>1</v>
      </c>
      <c r="N45" s="1245">
        <v>1</v>
      </c>
      <c r="O45" s="1245">
        <v>1</v>
      </c>
      <c r="P45" s="1245">
        <v>1</v>
      </c>
      <c r="Q45" s="1245">
        <v>1</v>
      </c>
      <c r="R45" s="1245">
        <v>1</v>
      </c>
      <c r="S45" s="1245">
        <v>1</v>
      </c>
      <c r="T45" s="1245">
        <v>1</v>
      </c>
      <c r="U45" s="1245">
        <v>1</v>
      </c>
      <c r="V45" s="1246">
        <v>1</v>
      </c>
      <c r="W45" s="1246">
        <v>1</v>
      </c>
      <c r="X45" s="1246">
        <v>1</v>
      </c>
      <c r="Y45" s="1245">
        <v>2</v>
      </c>
      <c r="Z45" s="1245">
        <v>2</v>
      </c>
      <c r="AA45" s="1245">
        <v>2</v>
      </c>
      <c r="AG45" s="226"/>
      <c r="AJ45" s="145"/>
    </row>
    <row r="46" spans="1:36">
      <c r="A46" s="1247"/>
      <c r="B46" s="1247"/>
      <c r="C46" s="1247"/>
      <c r="D46" s="1247"/>
      <c r="F46" s="1477"/>
      <c r="G46" s="1538"/>
      <c r="H46" s="225" t="s">
        <v>1790</v>
      </c>
      <c r="I46" s="1246">
        <v>1</v>
      </c>
      <c r="J46" s="1246">
        <v>1</v>
      </c>
      <c r="K46" s="1246">
        <v>1</v>
      </c>
      <c r="L46" s="1246">
        <v>1</v>
      </c>
      <c r="M46" s="1246">
        <v>1</v>
      </c>
      <c r="N46" s="1245">
        <v>1</v>
      </c>
      <c r="O46" s="1245">
        <v>1</v>
      </c>
      <c r="P46" s="1245">
        <v>1</v>
      </c>
      <c r="Q46" s="1245">
        <v>1</v>
      </c>
      <c r="R46" s="1245">
        <v>1</v>
      </c>
      <c r="S46" s="1245">
        <v>1</v>
      </c>
      <c r="T46" s="1245">
        <v>1</v>
      </c>
      <c r="U46" s="1245">
        <v>1</v>
      </c>
      <c r="V46" s="1246">
        <v>1</v>
      </c>
      <c r="W46" s="1246">
        <v>1</v>
      </c>
      <c r="X46" s="1246">
        <v>1</v>
      </c>
      <c r="Y46" s="1245">
        <v>2</v>
      </c>
      <c r="Z46" s="1245">
        <v>2</v>
      </c>
      <c r="AA46" s="1245">
        <v>2</v>
      </c>
      <c r="AG46" s="226"/>
      <c r="AJ46" s="145"/>
    </row>
    <row r="47" spans="1:36">
      <c r="A47" s="1204"/>
      <c r="B47" s="1247"/>
      <c r="C47" s="1247"/>
      <c r="D47" s="1247"/>
      <c r="F47" s="1477" t="s">
        <v>1791</v>
      </c>
      <c r="G47" s="1539" t="s">
        <v>1794</v>
      </c>
      <c r="H47" s="225" t="s">
        <v>60</v>
      </c>
      <c r="I47" s="1246">
        <v>9</v>
      </c>
      <c r="J47" s="1246">
        <v>10</v>
      </c>
      <c r="K47" s="1246">
        <v>10</v>
      </c>
      <c r="L47" s="1246">
        <v>11</v>
      </c>
      <c r="M47" s="1246">
        <v>12</v>
      </c>
      <c r="N47" s="1246">
        <v>13</v>
      </c>
      <c r="O47" s="1246">
        <v>14</v>
      </c>
      <c r="P47" s="1246">
        <v>15</v>
      </c>
      <c r="Q47" s="1246">
        <v>16</v>
      </c>
      <c r="R47" s="1246">
        <v>17</v>
      </c>
      <c r="S47" s="1246">
        <v>18</v>
      </c>
      <c r="T47" s="1246">
        <v>20</v>
      </c>
      <c r="U47" s="1246">
        <v>21</v>
      </c>
      <c r="V47" s="1246">
        <v>23</v>
      </c>
      <c r="W47" s="1246">
        <v>24</v>
      </c>
      <c r="X47" s="1246">
        <v>26</v>
      </c>
      <c r="Y47" s="1246">
        <v>28</v>
      </c>
      <c r="Z47" s="1246">
        <v>31</v>
      </c>
      <c r="AA47" s="1246">
        <v>31</v>
      </c>
      <c r="AG47" s="226"/>
      <c r="AJ47" s="145"/>
    </row>
    <row r="48" spans="1:36">
      <c r="A48" s="1204"/>
      <c r="B48" s="1247"/>
      <c r="C48" s="1247"/>
      <c r="D48" s="1247"/>
      <c r="F48" s="1477"/>
      <c r="G48" s="1539"/>
      <c r="H48" s="225" t="s">
        <v>59</v>
      </c>
      <c r="I48" s="1246">
        <v>1</v>
      </c>
      <c r="J48" s="1246">
        <v>1</v>
      </c>
      <c r="K48" s="1246">
        <v>1</v>
      </c>
      <c r="L48" s="1246">
        <v>1</v>
      </c>
      <c r="M48" s="1246">
        <v>1</v>
      </c>
      <c r="N48" s="1246">
        <v>1</v>
      </c>
      <c r="O48" s="1246">
        <v>1</v>
      </c>
      <c r="P48" s="1246">
        <v>1</v>
      </c>
      <c r="Q48" s="1246">
        <v>1</v>
      </c>
      <c r="R48" s="1246">
        <v>1</v>
      </c>
      <c r="S48" s="1246">
        <v>1</v>
      </c>
      <c r="T48" s="1246">
        <v>1</v>
      </c>
      <c r="U48" s="1246">
        <v>1</v>
      </c>
      <c r="V48" s="1246">
        <v>1</v>
      </c>
      <c r="W48" s="1246">
        <v>1</v>
      </c>
      <c r="X48" s="1246">
        <v>1</v>
      </c>
      <c r="Y48" s="1245">
        <v>1</v>
      </c>
      <c r="Z48" s="1245">
        <v>1</v>
      </c>
      <c r="AA48" s="1245">
        <v>1</v>
      </c>
      <c r="AG48" s="226"/>
      <c r="AJ48" s="145"/>
    </row>
    <row r="49" spans="1:36">
      <c r="A49" s="1204"/>
      <c r="B49" s="1247"/>
      <c r="C49" s="1247"/>
      <c r="D49" s="1247"/>
      <c r="F49" s="1477"/>
      <c r="G49" s="1539"/>
      <c r="H49" s="225" t="s">
        <v>1637</v>
      </c>
      <c r="I49" s="1246">
        <v>2</v>
      </c>
      <c r="J49" s="1246">
        <v>2</v>
      </c>
      <c r="K49" s="1246">
        <v>2</v>
      </c>
      <c r="L49" s="1246">
        <v>2</v>
      </c>
      <c r="M49" s="1246">
        <v>2</v>
      </c>
      <c r="N49" s="1246">
        <v>3</v>
      </c>
      <c r="O49" s="1246">
        <v>3</v>
      </c>
      <c r="P49" s="1246">
        <v>3</v>
      </c>
      <c r="Q49" s="1246">
        <v>3</v>
      </c>
      <c r="R49" s="1246">
        <v>4</v>
      </c>
      <c r="S49" s="1246">
        <v>4</v>
      </c>
      <c r="T49" s="1246">
        <v>5</v>
      </c>
      <c r="U49" s="1246">
        <v>5</v>
      </c>
      <c r="V49" s="1246">
        <v>5</v>
      </c>
      <c r="W49" s="1246">
        <v>5</v>
      </c>
      <c r="X49" s="1246">
        <v>6</v>
      </c>
      <c r="Y49" s="1246">
        <v>6</v>
      </c>
      <c r="Z49" s="1246">
        <v>7</v>
      </c>
      <c r="AA49" s="1246">
        <v>7</v>
      </c>
      <c r="AG49" s="226"/>
      <c r="AJ49" s="145"/>
    </row>
    <row r="50" spans="1:36">
      <c r="F50" s="1477"/>
      <c r="G50" s="1539"/>
      <c r="H50" s="225" t="s">
        <v>1790</v>
      </c>
      <c r="I50" s="1246">
        <v>1</v>
      </c>
      <c r="J50" s="1246">
        <v>1</v>
      </c>
      <c r="K50" s="1246">
        <v>1</v>
      </c>
      <c r="L50" s="1246">
        <v>1</v>
      </c>
      <c r="M50" s="1246">
        <v>1</v>
      </c>
      <c r="N50" s="1246">
        <v>2</v>
      </c>
      <c r="O50" s="1246">
        <v>2</v>
      </c>
      <c r="P50" s="1246">
        <v>2</v>
      </c>
      <c r="Q50" s="1246">
        <v>2</v>
      </c>
      <c r="R50" s="1246">
        <v>2</v>
      </c>
      <c r="S50" s="1246">
        <v>2</v>
      </c>
      <c r="T50" s="1246">
        <v>2</v>
      </c>
      <c r="U50" s="1246">
        <v>2</v>
      </c>
      <c r="V50" s="1246">
        <v>2</v>
      </c>
      <c r="W50" s="1246">
        <v>2</v>
      </c>
      <c r="X50" s="1246">
        <v>2</v>
      </c>
      <c r="Y50" s="1246">
        <v>2</v>
      </c>
      <c r="Z50" s="1246">
        <v>2</v>
      </c>
      <c r="AA50" s="1246">
        <v>2</v>
      </c>
      <c r="AG50" s="226"/>
      <c r="AJ50" s="145"/>
    </row>
    <row r="51" spans="1:36">
      <c r="N51" s="145"/>
      <c r="X51" s="228"/>
      <c r="AA51" s="145"/>
      <c r="AG51" s="226"/>
      <c r="AJ51" s="145"/>
    </row>
    <row r="52" spans="1:36" ht="21" customHeight="1">
      <c r="A52" s="145" t="s">
        <v>429</v>
      </c>
      <c r="F52" s="145" t="s">
        <v>58</v>
      </c>
      <c r="N52" s="145"/>
      <c r="X52" s="228"/>
      <c r="AA52" s="145"/>
      <c r="AG52" s="226"/>
      <c r="AJ52" s="145"/>
    </row>
    <row r="53" spans="1:36" ht="63">
      <c r="A53" s="153" t="s">
        <v>425</v>
      </c>
      <c r="B53" s="153" t="s">
        <v>426</v>
      </c>
      <c r="C53" s="153" t="s">
        <v>427</v>
      </c>
      <c r="D53" s="153" t="s">
        <v>428</v>
      </c>
      <c r="F53" s="145" t="s">
        <v>57</v>
      </c>
      <c r="N53" s="145"/>
      <c r="X53" s="228"/>
      <c r="AA53" s="145"/>
      <c r="AG53" s="226"/>
      <c r="AJ53" s="145"/>
    </row>
    <row r="54" spans="1:36">
      <c r="A54" s="174"/>
      <c r="B54" s="224"/>
      <c r="C54" s="224" t="s">
        <v>119</v>
      </c>
      <c r="D54" s="224" t="s">
        <v>357</v>
      </c>
      <c r="F54" s="145" t="s">
        <v>56</v>
      </c>
      <c r="N54" s="145"/>
      <c r="X54" s="228"/>
      <c r="AA54" s="145"/>
      <c r="AG54" s="226"/>
      <c r="AJ54" s="145"/>
    </row>
    <row r="55" spans="1:36">
      <c r="A55" s="1477" t="s">
        <v>430</v>
      </c>
      <c r="B55" s="1000" t="s">
        <v>442</v>
      </c>
      <c r="C55" s="1000" t="s">
        <v>122</v>
      </c>
      <c r="D55" s="224"/>
      <c r="F55" s="145" t="s">
        <v>55</v>
      </c>
      <c r="N55" s="145"/>
      <c r="X55" s="228"/>
      <c r="AA55" s="145"/>
      <c r="AG55" s="226"/>
      <c r="AJ55" s="145"/>
    </row>
    <row r="56" spans="1:36">
      <c r="A56" s="1477"/>
      <c r="B56" s="163" t="s">
        <v>431</v>
      </c>
      <c r="C56" s="222">
        <v>0.28000000000000003</v>
      </c>
      <c r="D56" s="224" t="s">
        <v>433</v>
      </c>
      <c r="F56" s="225"/>
      <c r="G56" s="1533" t="s">
        <v>54</v>
      </c>
      <c r="H56" s="1534"/>
      <c r="I56" s="1535"/>
      <c r="N56" s="145"/>
      <c r="X56" s="228"/>
      <c r="AA56" s="145"/>
      <c r="AG56" s="226"/>
      <c r="AJ56" s="145"/>
    </row>
    <row r="57" spans="1:36">
      <c r="A57" s="1477"/>
      <c r="B57" s="163" t="s">
        <v>633</v>
      </c>
      <c r="C57" s="222">
        <v>0.2</v>
      </c>
      <c r="D57" s="224" t="s">
        <v>434</v>
      </c>
      <c r="F57" s="225" t="s">
        <v>53</v>
      </c>
      <c r="G57" s="225" t="s">
        <v>52</v>
      </c>
      <c r="H57" s="225" t="s">
        <v>51</v>
      </c>
      <c r="I57" s="225" t="s">
        <v>50</v>
      </c>
      <c r="N57" s="145"/>
      <c r="X57" s="228"/>
      <c r="AA57" s="145"/>
      <c r="AG57" s="226"/>
      <c r="AJ57" s="145"/>
    </row>
    <row r="58" spans="1:36">
      <c r="A58" s="1477"/>
      <c r="B58" s="163" t="s">
        <v>457</v>
      </c>
      <c r="C58" s="222">
        <v>0.3</v>
      </c>
      <c r="D58" s="224" t="s">
        <v>433</v>
      </c>
      <c r="F58" s="1530" t="s">
        <v>1795</v>
      </c>
      <c r="G58" s="1531"/>
      <c r="H58" s="1531"/>
      <c r="I58" s="1532"/>
      <c r="N58" s="145"/>
      <c r="X58" s="228"/>
      <c r="AA58" s="145"/>
      <c r="AG58" s="226"/>
      <c r="AJ58" s="145"/>
    </row>
    <row r="59" spans="1:36">
      <c r="A59" s="1477"/>
      <c r="B59" s="163"/>
      <c r="C59" s="222"/>
      <c r="D59" s="224"/>
      <c r="F59" s="225" t="s">
        <v>49</v>
      </c>
      <c r="G59" s="225">
        <v>0.1</v>
      </c>
      <c r="H59" s="225">
        <v>0.15</v>
      </c>
      <c r="I59" s="225">
        <v>0.2</v>
      </c>
      <c r="N59" s="145"/>
      <c r="X59" s="228"/>
      <c r="AA59" s="145"/>
      <c r="AG59" s="226"/>
      <c r="AJ59" s="145"/>
    </row>
    <row r="60" spans="1:36">
      <c r="A60" s="1477"/>
      <c r="B60" s="163"/>
      <c r="C60" s="222"/>
      <c r="D60" s="224"/>
      <c r="F60" s="225" t="s">
        <v>48</v>
      </c>
      <c r="G60" s="225">
        <v>0.11</v>
      </c>
      <c r="H60" s="225">
        <v>0.17</v>
      </c>
      <c r="I60" s="225">
        <v>0.22</v>
      </c>
      <c r="N60" s="145"/>
      <c r="X60" s="228"/>
      <c r="AA60" s="145"/>
      <c r="AG60" s="226"/>
      <c r="AJ60" s="145"/>
    </row>
    <row r="61" spans="1:36">
      <c r="A61" s="1477"/>
      <c r="B61" s="163"/>
      <c r="C61" s="222"/>
      <c r="D61" s="224"/>
      <c r="N61" s="145"/>
      <c r="X61" s="228"/>
      <c r="AA61" s="145"/>
      <c r="AG61" s="226"/>
      <c r="AJ61" s="145"/>
    </row>
    <row r="62" spans="1:36">
      <c r="A62" s="1477"/>
      <c r="B62" s="163" t="s">
        <v>432</v>
      </c>
      <c r="C62" s="222">
        <v>7.0000000000000007E-2</v>
      </c>
      <c r="D62" s="224" t="s">
        <v>435</v>
      </c>
      <c r="F62" s="145" t="s">
        <v>47</v>
      </c>
      <c r="N62" s="145"/>
      <c r="X62" s="228"/>
      <c r="AA62" s="145"/>
      <c r="AG62" s="226"/>
      <c r="AJ62" s="145"/>
    </row>
    <row r="63" spans="1:36">
      <c r="A63" s="1514" t="s">
        <v>436</v>
      </c>
      <c r="B63" s="1010" t="s">
        <v>633</v>
      </c>
      <c r="C63" s="222">
        <v>0.3</v>
      </c>
      <c r="D63" s="224" t="s">
        <v>438</v>
      </c>
      <c r="F63" s="244" t="s">
        <v>697</v>
      </c>
      <c r="N63" s="145"/>
      <c r="X63" s="228"/>
      <c r="AA63" s="145"/>
      <c r="AG63" s="226"/>
      <c r="AJ63" s="145"/>
    </row>
    <row r="64" spans="1:36">
      <c r="A64" s="1515"/>
      <c r="B64" s="1010" t="s">
        <v>457</v>
      </c>
      <c r="C64" s="222">
        <v>0.45</v>
      </c>
      <c r="D64" s="224" t="s">
        <v>439</v>
      </c>
      <c r="F64" s="244"/>
      <c r="N64" s="145"/>
      <c r="X64" s="228"/>
      <c r="AA64" s="145"/>
      <c r="AG64" s="226"/>
      <c r="AJ64" s="145"/>
    </row>
    <row r="65" spans="1:36">
      <c r="A65" s="1516"/>
      <c r="B65" s="1010" t="s">
        <v>437</v>
      </c>
      <c r="C65" s="222">
        <v>0.3</v>
      </c>
      <c r="D65" s="224" t="s">
        <v>440</v>
      </c>
      <c r="F65" s="244"/>
      <c r="N65" s="145"/>
      <c r="X65" s="228"/>
      <c r="AA65" s="145"/>
      <c r="AG65" s="226"/>
      <c r="AJ65" s="145"/>
    </row>
    <row r="66" spans="1:36">
      <c r="A66" s="174" t="s">
        <v>441</v>
      </c>
      <c r="B66" s="174"/>
      <c r="C66" s="243"/>
      <c r="D66" s="174"/>
      <c r="F66" s="244"/>
      <c r="N66" s="145"/>
      <c r="X66" s="228"/>
      <c r="AA66" s="145"/>
      <c r="AG66" s="226"/>
      <c r="AJ66" s="145"/>
    </row>
    <row r="67" spans="1:36">
      <c r="F67" s="244"/>
      <c r="N67" s="145"/>
      <c r="X67" s="228"/>
      <c r="AA67" s="145"/>
      <c r="AG67" s="226"/>
      <c r="AJ67" s="145"/>
    </row>
    <row r="68" spans="1:36">
      <c r="F68" s="244"/>
      <c r="N68" s="145"/>
      <c r="X68" s="228"/>
      <c r="AA68" s="145"/>
      <c r="AG68" s="226"/>
      <c r="AJ68" s="145"/>
    </row>
    <row r="69" spans="1:36">
      <c r="F69" s="244"/>
      <c r="N69" s="145"/>
      <c r="X69" s="228"/>
      <c r="AA69" s="145"/>
      <c r="AG69" s="226"/>
      <c r="AJ69" s="145"/>
    </row>
    <row r="70" spans="1:36">
      <c r="F70" s="244"/>
      <c r="N70" s="145"/>
      <c r="X70" s="228"/>
      <c r="AA70" s="145"/>
      <c r="AG70" s="226"/>
      <c r="AJ70" s="145"/>
    </row>
    <row r="71" spans="1:36">
      <c r="F71" s="244"/>
      <c r="N71" s="145"/>
      <c r="X71" s="228"/>
      <c r="AA71" s="145"/>
      <c r="AG71" s="226"/>
      <c r="AJ71" s="145"/>
    </row>
    <row r="72" spans="1:36">
      <c r="A72" s="163" t="s">
        <v>457</v>
      </c>
      <c r="B72" s="168" t="s">
        <v>632</v>
      </c>
      <c r="F72" s="244"/>
      <c r="N72" s="145"/>
      <c r="X72" s="228"/>
      <c r="AA72" s="145"/>
      <c r="AG72" s="226"/>
      <c r="AJ72" s="145"/>
    </row>
    <row r="73" spans="1:36">
      <c r="A73" s="163" t="s">
        <v>633</v>
      </c>
      <c r="B73" s="168" t="s">
        <v>1785</v>
      </c>
      <c r="F73" s="244"/>
      <c r="N73" s="145"/>
      <c r="X73" s="228"/>
      <c r="AA73" s="145"/>
      <c r="AG73" s="226"/>
      <c r="AJ73" s="145"/>
    </row>
    <row r="74" spans="1:36">
      <c r="A74" s="163" t="s">
        <v>698</v>
      </c>
      <c r="B74" s="168" t="s">
        <v>634</v>
      </c>
      <c r="F74" s="244"/>
      <c r="N74" s="145"/>
      <c r="X74" s="228"/>
      <c r="AA74" s="145"/>
      <c r="AG74" s="226"/>
      <c r="AJ74" s="145"/>
    </row>
    <row r="75" spans="1:36">
      <c r="A75" s="168"/>
      <c r="F75" s="244"/>
      <c r="N75" s="145"/>
      <c r="X75" s="228"/>
      <c r="AA75" s="145"/>
      <c r="AG75" s="226"/>
      <c r="AJ75" s="145"/>
    </row>
    <row r="76" spans="1:36">
      <c r="F76" s="244"/>
      <c r="N76" s="145"/>
      <c r="X76" s="228"/>
      <c r="AA76" s="145"/>
      <c r="AG76" s="226"/>
      <c r="AJ76" s="145"/>
    </row>
    <row r="77" spans="1:36">
      <c r="A77" s="145" t="s">
        <v>444</v>
      </c>
      <c r="AG77" s="226"/>
      <c r="AJ77" s="145"/>
    </row>
    <row r="80" spans="1:36">
      <c r="A80" s="1478" t="s">
        <v>445</v>
      </c>
      <c r="B80" s="1527" t="s">
        <v>449</v>
      </c>
      <c r="C80" s="1528"/>
      <c r="D80" s="1528"/>
      <c r="E80" s="1528"/>
      <c r="F80" s="1528"/>
      <c r="G80" s="1528"/>
      <c r="H80" s="1528"/>
      <c r="I80" s="1528"/>
      <c r="J80" s="1528"/>
      <c r="K80" s="1528"/>
      <c r="L80" s="1528"/>
      <c r="M80" s="1528"/>
      <c r="N80" s="1528"/>
      <c r="O80" s="1528"/>
      <c r="P80" s="1528"/>
      <c r="Q80" s="1528"/>
      <c r="R80" s="1528"/>
      <c r="S80" s="1528"/>
      <c r="T80" s="1528"/>
      <c r="U80" s="1528"/>
      <c r="V80" s="1528"/>
      <c r="W80" s="1528"/>
      <c r="X80" s="1528"/>
      <c r="Y80" s="1528"/>
      <c r="Z80" s="1528"/>
      <c r="AA80" s="1528"/>
      <c r="AB80" s="1528"/>
      <c r="AC80" s="1528"/>
      <c r="AD80" s="1528"/>
      <c r="AE80" s="1529"/>
    </row>
    <row r="81" spans="1:31" s="154" customFormat="1">
      <c r="A81" s="1478"/>
      <c r="B81" s="1478" t="s">
        <v>446</v>
      </c>
      <c r="C81" s="1478"/>
      <c r="D81" s="1478"/>
      <c r="E81" s="1478"/>
      <c r="F81" s="1478"/>
      <c r="G81" s="1477" t="s">
        <v>65</v>
      </c>
      <c r="H81" s="1477"/>
      <c r="I81" s="1477"/>
      <c r="J81" s="1477"/>
      <c r="K81" s="1477"/>
      <c r="L81" s="1477"/>
      <c r="M81" s="1477"/>
      <c r="N81" s="1477"/>
      <c r="O81" s="1477"/>
      <c r="P81" s="1477"/>
      <c r="Q81" s="1477"/>
      <c r="R81" s="1477"/>
      <c r="S81" s="1477"/>
      <c r="T81" s="1477"/>
      <c r="U81" s="1477"/>
      <c r="V81" s="1477"/>
      <c r="W81" s="1477"/>
      <c r="X81" s="1477"/>
      <c r="Y81" s="1477"/>
      <c r="Z81" s="1477"/>
      <c r="AA81" s="1477"/>
      <c r="AB81" s="1477"/>
      <c r="AC81" s="1477" t="s">
        <v>450</v>
      </c>
      <c r="AD81" s="1477"/>
      <c r="AE81" s="1477"/>
    </row>
    <row r="82" spans="1:31">
      <c r="A82" s="1478"/>
      <c r="B82" s="1281" t="s">
        <v>447</v>
      </c>
      <c r="C82" s="1281">
        <v>11</v>
      </c>
      <c r="D82" s="1281">
        <v>12</v>
      </c>
      <c r="E82" s="1281">
        <v>13</v>
      </c>
      <c r="F82" s="1281">
        <v>14</v>
      </c>
      <c r="G82" s="1281">
        <v>15</v>
      </c>
      <c r="H82" s="1283">
        <v>16</v>
      </c>
      <c r="I82" s="1283">
        <v>17</v>
      </c>
      <c r="J82" s="1283">
        <v>18</v>
      </c>
      <c r="K82" s="1283">
        <v>19</v>
      </c>
      <c r="L82" s="1283"/>
      <c r="M82" s="1283"/>
      <c r="N82" s="223">
        <v>20</v>
      </c>
      <c r="O82" s="1283">
        <v>21</v>
      </c>
      <c r="P82" s="1283">
        <v>22</v>
      </c>
      <c r="Q82" s="1283"/>
      <c r="R82" s="1283"/>
      <c r="S82" s="1283"/>
      <c r="T82" s="1283"/>
      <c r="U82" s="1283"/>
      <c r="V82" s="1283"/>
      <c r="W82" s="1283"/>
      <c r="X82" s="1283"/>
      <c r="Y82" s="1283"/>
      <c r="Z82" s="1283">
        <v>23</v>
      </c>
      <c r="AA82" s="1283">
        <v>24</v>
      </c>
      <c r="AB82" s="1283">
        <v>25</v>
      </c>
      <c r="AC82" s="1283">
        <v>26</v>
      </c>
      <c r="AD82" s="1283">
        <v>27</v>
      </c>
      <c r="AE82" s="1283" t="s">
        <v>451</v>
      </c>
    </row>
    <row r="83" spans="1:31">
      <c r="A83" s="1281" t="s">
        <v>448</v>
      </c>
      <c r="B83" s="1499">
        <v>1</v>
      </c>
      <c r="C83" s="1499"/>
      <c r="D83" s="1499"/>
      <c r="E83" s="1499"/>
      <c r="F83" s="1499"/>
      <c r="G83" s="475">
        <v>1.5</v>
      </c>
      <c r="H83" s="475"/>
      <c r="I83" s="475"/>
      <c r="J83" s="475"/>
      <c r="K83" s="475"/>
      <c r="L83" s="475"/>
      <c r="M83" s="475"/>
      <c r="N83" s="475"/>
      <c r="O83" s="475"/>
      <c r="P83" s="475"/>
      <c r="Q83" s="475"/>
      <c r="R83" s="475"/>
      <c r="S83" s="475"/>
      <c r="T83" s="475"/>
      <c r="U83" s="475"/>
      <c r="V83" s="475"/>
      <c r="W83" s="475"/>
      <c r="X83" s="475"/>
      <c r="Y83" s="475"/>
      <c r="Z83" s="475"/>
      <c r="AA83" s="475"/>
      <c r="AB83" s="475"/>
      <c r="AC83" s="1500">
        <v>2</v>
      </c>
      <c r="AD83" s="1500"/>
      <c r="AE83" s="1500"/>
    </row>
    <row r="84" spans="1:31">
      <c r="A84" s="1281" t="s">
        <v>432</v>
      </c>
      <c r="B84" s="1496">
        <v>0.1</v>
      </c>
      <c r="C84" s="1497"/>
      <c r="D84" s="1497"/>
      <c r="E84" s="1497"/>
      <c r="F84" s="1498"/>
      <c r="G84" s="805">
        <v>0.5</v>
      </c>
      <c r="H84" s="809"/>
      <c r="I84" s="809"/>
      <c r="J84" s="809"/>
      <c r="K84" s="809"/>
      <c r="L84" s="809"/>
      <c r="M84" s="809"/>
      <c r="N84" s="809"/>
      <c r="O84" s="809"/>
      <c r="P84" s="809"/>
      <c r="Q84" s="809"/>
      <c r="R84" s="809"/>
      <c r="S84" s="809"/>
      <c r="T84" s="809"/>
      <c r="U84" s="809"/>
      <c r="V84" s="809"/>
      <c r="W84" s="809"/>
      <c r="X84" s="809"/>
      <c r="Y84" s="809"/>
      <c r="Z84" s="809"/>
      <c r="AA84" s="809"/>
      <c r="AB84" s="1019"/>
      <c r="AC84" s="1501">
        <v>1</v>
      </c>
      <c r="AD84" s="1502"/>
      <c r="AE84" s="1503"/>
    </row>
    <row r="85" spans="1:31">
      <c r="A85" s="1281" t="s">
        <v>452</v>
      </c>
      <c r="B85" s="1496">
        <v>2</v>
      </c>
      <c r="C85" s="1497"/>
      <c r="D85" s="1497"/>
      <c r="E85" s="1497"/>
      <c r="F85" s="1498"/>
      <c r="G85" s="805">
        <v>4</v>
      </c>
      <c r="H85" s="809"/>
      <c r="I85" s="809"/>
      <c r="J85" s="809"/>
      <c r="K85" s="809"/>
      <c r="L85" s="809"/>
      <c r="M85" s="809"/>
      <c r="N85" s="809"/>
      <c r="O85" s="809"/>
      <c r="P85" s="809"/>
      <c r="Q85" s="809"/>
      <c r="R85" s="809"/>
      <c r="S85" s="809"/>
      <c r="T85" s="809"/>
      <c r="U85" s="809"/>
      <c r="V85" s="809"/>
      <c r="W85" s="809"/>
      <c r="X85" s="809"/>
      <c r="Y85" s="809"/>
      <c r="Z85" s="809"/>
      <c r="AA85" s="809"/>
      <c r="AB85" s="1019"/>
      <c r="AC85" s="1493">
        <v>5</v>
      </c>
      <c r="AD85" s="1494"/>
      <c r="AE85" s="1495"/>
    </row>
    <row r="86" spans="1:31">
      <c r="A86" s="1281" t="s">
        <v>120</v>
      </c>
      <c r="B86" s="1496">
        <v>1</v>
      </c>
      <c r="C86" s="1497"/>
      <c r="D86" s="1497"/>
      <c r="E86" s="1497"/>
      <c r="F86" s="1498"/>
      <c r="G86" s="805">
        <v>1.5</v>
      </c>
      <c r="H86" s="809"/>
      <c r="I86" s="809"/>
      <c r="J86" s="809"/>
      <c r="K86" s="809"/>
      <c r="L86" s="809"/>
      <c r="M86" s="809"/>
      <c r="N86" s="809"/>
      <c r="O86" s="809"/>
      <c r="P86" s="809"/>
      <c r="Q86" s="809"/>
      <c r="R86" s="809"/>
      <c r="S86" s="809"/>
      <c r="T86" s="809"/>
      <c r="U86" s="809"/>
      <c r="V86" s="809"/>
      <c r="W86" s="809"/>
      <c r="X86" s="809"/>
      <c r="Y86" s="809"/>
      <c r="Z86" s="809"/>
      <c r="AA86" s="809"/>
      <c r="AB86" s="1019"/>
      <c r="AC86" s="1493">
        <v>2</v>
      </c>
      <c r="AD86" s="1494"/>
      <c r="AE86" s="1495"/>
    </row>
    <row r="87" spans="1:31">
      <c r="A87" s="174"/>
      <c r="B87" s="174"/>
    </row>
    <row r="88" spans="1:31">
      <c r="A88" s="1478" t="s">
        <v>445</v>
      </c>
      <c r="B88" s="174" t="s">
        <v>449</v>
      </c>
    </row>
    <row r="89" spans="1:31">
      <c r="A89" s="1478"/>
      <c r="B89" s="174"/>
    </row>
    <row r="90" spans="1:31">
      <c r="A90" s="1478"/>
      <c r="B90" s="174"/>
    </row>
    <row r="91" spans="1:31">
      <c r="A91" s="1281" t="s">
        <v>448</v>
      </c>
      <c r="B91" s="1027">
        <v>1.4999999999999999E-2</v>
      </c>
    </row>
    <row r="92" spans="1:31">
      <c r="A92" s="1281" t="s">
        <v>452</v>
      </c>
      <c r="B92" s="1029">
        <v>0.04</v>
      </c>
    </row>
    <row r="93" spans="1:31">
      <c r="A93" s="1281" t="s">
        <v>120</v>
      </c>
      <c r="B93" s="1028">
        <v>1.4999999999999999E-2</v>
      </c>
    </row>
    <row r="94" spans="1:31">
      <c r="A94" s="154"/>
      <c r="B94" s="186"/>
    </row>
    <row r="95" spans="1:31">
      <c r="A95" s="245" t="s">
        <v>443</v>
      </c>
    </row>
    <row r="96" spans="1:31">
      <c r="A96" s="1281" t="s">
        <v>282</v>
      </c>
    </row>
    <row r="97" spans="1:36" ht="22.5" customHeight="1">
      <c r="A97" s="1281" t="s">
        <v>288</v>
      </c>
      <c r="F97" s="1068"/>
      <c r="G97" s="1068"/>
    </row>
    <row r="98" spans="1:36">
      <c r="A98" s="1280" t="s">
        <v>289</v>
      </c>
      <c r="F98" s="1068"/>
      <c r="G98" s="1068"/>
    </row>
    <row r="99" spans="1:36">
      <c r="A99" s="1281"/>
      <c r="B99" s="225" t="s">
        <v>1618</v>
      </c>
      <c r="C99" s="225" t="s">
        <v>95</v>
      </c>
      <c r="D99" s="225" t="s">
        <v>1791</v>
      </c>
      <c r="H99" s="227"/>
      <c r="N99" s="145"/>
      <c r="U99" s="228"/>
      <c r="AA99" s="145"/>
      <c r="AD99" s="226"/>
      <c r="AJ99" s="145"/>
    </row>
    <row r="100" spans="1:36">
      <c r="A100" s="1283" t="s">
        <v>75</v>
      </c>
      <c r="B100" s="225">
        <v>0.48</v>
      </c>
      <c r="C100" s="225">
        <v>0.6</v>
      </c>
      <c r="D100" s="225">
        <v>0.47</v>
      </c>
      <c r="H100" s="227"/>
      <c r="N100" s="145"/>
      <c r="U100" s="228"/>
      <c r="AA100" s="145"/>
      <c r="AD100" s="226"/>
      <c r="AJ100" s="145"/>
    </row>
    <row r="101" spans="1:36">
      <c r="A101" s="1283" t="s">
        <v>103</v>
      </c>
      <c r="B101" s="225">
        <v>0.37</v>
      </c>
      <c r="C101" s="225">
        <v>0.63</v>
      </c>
      <c r="D101" s="225">
        <v>0.34</v>
      </c>
      <c r="H101" s="227"/>
      <c r="N101" s="145"/>
      <c r="U101" s="228"/>
      <c r="AA101" s="145"/>
      <c r="AD101" s="226"/>
      <c r="AJ101" s="145"/>
    </row>
    <row r="102" spans="1:36">
      <c r="A102" s="1283" t="s">
        <v>629</v>
      </c>
      <c r="B102" s="225">
        <v>1.17</v>
      </c>
      <c r="C102" s="225">
        <v>1.17</v>
      </c>
      <c r="D102" s="225">
        <v>1.17</v>
      </c>
      <c r="H102" s="227"/>
      <c r="N102" s="145"/>
      <c r="U102" s="228"/>
      <c r="AA102" s="145"/>
      <c r="AD102" s="226"/>
      <c r="AJ102" s="145"/>
    </row>
    <row r="103" spans="1:36">
      <c r="A103" s="225" t="s">
        <v>1644</v>
      </c>
      <c r="B103" s="225">
        <v>1.64</v>
      </c>
      <c r="C103" s="225">
        <v>1.64</v>
      </c>
      <c r="D103" s="225">
        <v>0.5</v>
      </c>
      <c r="H103" s="227"/>
      <c r="N103" s="145"/>
      <c r="U103" s="228"/>
      <c r="AA103" s="145"/>
      <c r="AD103" s="226"/>
      <c r="AJ103" s="145"/>
    </row>
    <row r="104" spans="1:36">
      <c r="A104" s="1283"/>
      <c r="B104" s="225"/>
      <c r="C104" s="225"/>
      <c r="D104" s="225"/>
      <c r="H104" s="227"/>
      <c r="N104" s="145"/>
      <c r="U104" s="228"/>
      <c r="AA104" s="145"/>
      <c r="AD104" s="226"/>
      <c r="AJ104" s="145"/>
    </row>
    <row r="105" spans="1:36">
      <c r="H105" s="227"/>
      <c r="N105" s="145"/>
      <c r="U105" s="228"/>
      <c r="AA105" s="145"/>
      <c r="AD105" s="226"/>
      <c r="AJ105" s="145"/>
    </row>
    <row r="106" spans="1:36">
      <c r="A106" s="168" t="s">
        <v>453</v>
      </c>
    </row>
    <row r="107" spans="1:36">
      <c r="A107" s="1475" t="s">
        <v>454</v>
      </c>
      <c r="B107" s="1281" t="s">
        <v>455</v>
      </c>
    </row>
    <row r="108" spans="1:36">
      <c r="A108" s="1479"/>
      <c r="B108" s="1281" t="s">
        <v>456</v>
      </c>
    </row>
    <row r="109" spans="1:36">
      <c r="A109" s="1476"/>
      <c r="B109" s="1281" t="s">
        <v>392</v>
      </c>
    </row>
    <row r="110" spans="1:36">
      <c r="A110" s="1281" t="s">
        <v>448</v>
      </c>
      <c r="B110" s="1021">
        <v>0.01</v>
      </c>
      <c r="D110" s="154"/>
      <c r="E110" s="458"/>
    </row>
    <row r="111" spans="1:36">
      <c r="A111" s="1281" t="s">
        <v>452</v>
      </c>
      <c r="B111" s="246">
        <v>5.0000000000000001E-3</v>
      </c>
      <c r="D111" s="154"/>
      <c r="E111" s="1022"/>
    </row>
    <row r="112" spans="1:36">
      <c r="A112" s="1281" t="s">
        <v>120</v>
      </c>
      <c r="B112" s="246">
        <v>0.02</v>
      </c>
      <c r="D112" s="154"/>
      <c r="E112" s="1022"/>
    </row>
    <row r="115" spans="1:31">
      <c r="A115" s="145" t="s">
        <v>46</v>
      </c>
    </row>
    <row r="116" spans="1:31">
      <c r="A116" s="145" t="s">
        <v>45</v>
      </c>
    </row>
    <row r="117" spans="1:31">
      <c r="A117" s="1"/>
    </row>
    <row r="118" spans="1:31">
      <c r="O118" s="145" t="s">
        <v>44</v>
      </c>
    </row>
    <row r="119" spans="1:31">
      <c r="A119" s="28" t="s">
        <v>43</v>
      </c>
      <c r="B119" s="246" t="s">
        <v>42</v>
      </c>
      <c r="C119" s="246" t="s">
        <v>41</v>
      </c>
      <c r="D119" s="28" t="s">
        <v>40</v>
      </c>
      <c r="E119" s="1281" t="s">
        <v>39</v>
      </c>
      <c r="F119" s="221"/>
      <c r="G119" s="221"/>
      <c r="H119" s="221"/>
      <c r="I119" s="221"/>
      <c r="J119" s="221"/>
      <c r="K119" s="221"/>
      <c r="L119" s="221"/>
      <c r="M119" s="221"/>
      <c r="N119" s="247"/>
      <c r="O119" s="221"/>
      <c r="P119" s="221"/>
      <c r="Q119" s="221"/>
      <c r="R119" s="221"/>
      <c r="S119" s="221"/>
      <c r="T119" s="221"/>
      <c r="U119" s="221"/>
      <c r="V119" s="221"/>
      <c r="W119" s="221"/>
      <c r="X119" s="221"/>
      <c r="Y119" s="221"/>
      <c r="Z119" s="221"/>
      <c r="AA119" s="248"/>
      <c r="AB119" s="221"/>
      <c r="AC119" s="221"/>
      <c r="AD119" s="221"/>
      <c r="AE119" s="221"/>
    </row>
    <row r="120" spans="1:31" ht="31.5">
      <c r="A120" s="1283" t="s">
        <v>38</v>
      </c>
      <c r="B120" s="163" t="s">
        <v>18</v>
      </c>
      <c r="C120" s="246" t="s">
        <v>37</v>
      </c>
      <c r="D120" s="1283">
        <v>0.01</v>
      </c>
      <c r="E120" s="1283" t="s">
        <v>28</v>
      </c>
    </row>
    <row r="121" spans="1:31" ht="63">
      <c r="A121" s="1283" t="s">
        <v>36</v>
      </c>
      <c r="B121" s="163" t="s">
        <v>35</v>
      </c>
      <c r="C121" s="246" t="s">
        <v>34</v>
      </c>
      <c r="D121" s="1283">
        <v>16</v>
      </c>
      <c r="E121" s="1283" t="s">
        <v>33</v>
      </c>
    </row>
    <row r="122" spans="1:31" ht="78.75">
      <c r="A122" s="1283" t="s">
        <v>32</v>
      </c>
      <c r="B122" s="163" t="s">
        <v>18</v>
      </c>
      <c r="C122" s="246" t="s">
        <v>29</v>
      </c>
      <c r="D122" s="1283">
        <v>0.02</v>
      </c>
      <c r="E122" s="1283" t="s">
        <v>31</v>
      </c>
    </row>
    <row r="123" spans="1:31" ht="78.75">
      <c r="A123" s="1283" t="s">
        <v>30</v>
      </c>
      <c r="B123" s="163" t="s">
        <v>18</v>
      </c>
      <c r="C123" s="246" t="s">
        <v>29</v>
      </c>
      <c r="D123" s="1283">
        <v>0.01</v>
      </c>
      <c r="E123" s="1283" t="s">
        <v>28</v>
      </c>
    </row>
    <row r="124" spans="1:31" ht="63">
      <c r="A124" s="1283" t="s">
        <v>27</v>
      </c>
      <c r="B124" s="163" t="s">
        <v>26</v>
      </c>
      <c r="C124" s="246" t="s">
        <v>25</v>
      </c>
      <c r="D124" s="1283">
        <v>0.01</v>
      </c>
      <c r="E124" s="1283" t="s">
        <v>24</v>
      </c>
    </row>
    <row r="125" spans="1:31" ht="47.25">
      <c r="A125" s="1283" t="s">
        <v>23</v>
      </c>
      <c r="B125" s="163" t="s">
        <v>22</v>
      </c>
      <c r="C125" s="246" t="s">
        <v>21</v>
      </c>
      <c r="D125" s="1283">
        <v>7.4999999999999997E-3</v>
      </c>
      <c r="E125" s="1283" t="s">
        <v>20</v>
      </c>
    </row>
    <row r="126" spans="1:31" ht="47.25">
      <c r="A126" s="1283" t="s">
        <v>19</v>
      </c>
      <c r="B126" s="163" t="s">
        <v>18</v>
      </c>
      <c r="C126" s="246" t="s">
        <v>17</v>
      </c>
      <c r="D126" s="1283">
        <v>3.0000000000000001E-3</v>
      </c>
      <c r="E126" s="1283" t="s">
        <v>16</v>
      </c>
    </row>
    <row r="127" spans="1:31">
      <c r="A127" s="1283"/>
      <c r="B127" s="163"/>
      <c r="C127" s="246"/>
      <c r="D127" s="1283"/>
      <c r="E127" s="1283"/>
    </row>
    <row r="128" spans="1:31" ht="47.25">
      <c r="A128" s="1283" t="s">
        <v>15</v>
      </c>
      <c r="B128" s="163" t="s">
        <v>14</v>
      </c>
      <c r="C128" s="246" t="s">
        <v>13</v>
      </c>
      <c r="D128" s="1283">
        <v>0.1</v>
      </c>
      <c r="E128" s="1283" t="s">
        <v>12</v>
      </c>
    </row>
    <row r="129" spans="1:6" ht="94.5">
      <c r="A129" s="1283" t="s">
        <v>11</v>
      </c>
      <c r="B129" s="163" t="s">
        <v>10</v>
      </c>
      <c r="C129" s="246" t="s">
        <v>9</v>
      </c>
      <c r="D129" s="1283">
        <v>0.2</v>
      </c>
      <c r="E129" s="1283" t="s">
        <v>8</v>
      </c>
    </row>
    <row r="130" spans="1:6" ht="94.5">
      <c r="A130" s="1283" t="s">
        <v>7</v>
      </c>
      <c r="B130" s="163" t="s">
        <v>6</v>
      </c>
      <c r="C130" s="246" t="s">
        <v>5</v>
      </c>
      <c r="D130" s="1283">
        <v>0.3</v>
      </c>
      <c r="E130" s="1281" t="s">
        <v>4</v>
      </c>
    </row>
    <row r="131" spans="1:6">
      <c r="A131" s="1283"/>
      <c r="B131" s="163"/>
      <c r="C131" s="163"/>
      <c r="D131" s="1283">
        <v>0</v>
      </c>
      <c r="E131" s="1283" t="s">
        <v>3</v>
      </c>
    </row>
    <row r="132" spans="1:6">
      <c r="A132" s="1287" t="s">
        <v>615</v>
      </c>
    </row>
    <row r="133" spans="1:6">
      <c r="B133" s="145" t="s">
        <v>539</v>
      </c>
      <c r="C133" s="145" t="s">
        <v>547</v>
      </c>
    </row>
    <row r="134" spans="1:6">
      <c r="A134" s="1472" t="s">
        <v>512</v>
      </c>
      <c r="B134" s="1473"/>
      <c r="C134" s="1473"/>
      <c r="D134" s="1473"/>
      <c r="E134" s="1474"/>
    </row>
    <row r="135" spans="1:6" ht="16.5" thickBot="1">
      <c r="A135" s="1280" t="s">
        <v>513</v>
      </c>
      <c r="B135" s="1280" t="s">
        <v>514</v>
      </c>
      <c r="C135" s="1280" t="s">
        <v>517</v>
      </c>
      <c r="D135" s="1280" t="s">
        <v>515</v>
      </c>
      <c r="F135" s="1280" t="s">
        <v>516</v>
      </c>
    </row>
    <row r="136" spans="1:6">
      <c r="A136" s="1481" t="s">
        <v>541</v>
      </c>
      <c r="B136" s="1507" t="s">
        <v>518</v>
      </c>
      <c r="C136" s="229" t="s">
        <v>519</v>
      </c>
      <c r="D136" s="229" t="s">
        <v>522</v>
      </c>
      <c r="E136" s="145" t="s">
        <v>699</v>
      </c>
      <c r="F136" s="230">
        <v>0.8</v>
      </c>
    </row>
    <row r="137" spans="1:6">
      <c r="A137" s="1482"/>
      <c r="B137" s="1479"/>
      <c r="C137" s="1281"/>
      <c r="D137" s="1281" t="s">
        <v>523</v>
      </c>
      <c r="E137" s="145" t="s">
        <v>700</v>
      </c>
      <c r="F137" s="231">
        <v>0.69</v>
      </c>
    </row>
    <row r="138" spans="1:6">
      <c r="A138" s="1482"/>
      <c r="B138" s="1479"/>
      <c r="C138" s="1475" t="s">
        <v>520</v>
      </c>
      <c r="D138" s="1281" t="s">
        <v>522</v>
      </c>
      <c r="E138" s="145" t="s">
        <v>701</v>
      </c>
      <c r="F138" s="231">
        <v>0.57999999999999996</v>
      </c>
    </row>
    <row r="139" spans="1:6">
      <c r="A139" s="1482"/>
      <c r="B139" s="1479"/>
      <c r="C139" s="1476"/>
      <c r="D139" s="1281" t="s">
        <v>524</v>
      </c>
      <c r="E139" s="145" t="s">
        <v>702</v>
      </c>
      <c r="F139" s="231">
        <v>0.48</v>
      </c>
    </row>
    <row r="140" spans="1:6">
      <c r="A140" s="1482"/>
      <c r="B140" s="1476"/>
      <c r="C140" s="1281" t="s">
        <v>521</v>
      </c>
      <c r="D140" s="1281" t="s">
        <v>525</v>
      </c>
      <c r="E140" s="145" t="s">
        <v>703</v>
      </c>
      <c r="F140" s="231">
        <v>0.64</v>
      </c>
    </row>
    <row r="141" spans="1:6">
      <c r="A141" s="1482"/>
      <c r="B141" s="1283" t="s">
        <v>526</v>
      </c>
      <c r="C141" s="1283" t="s">
        <v>527</v>
      </c>
      <c r="D141" s="1281" t="s">
        <v>528</v>
      </c>
      <c r="E141" s="232" t="s">
        <v>526</v>
      </c>
      <c r="F141" s="233">
        <v>1.1000000000000001</v>
      </c>
    </row>
    <row r="142" spans="1:6">
      <c r="A142" s="1482"/>
      <c r="B142" s="1281" t="s">
        <v>529</v>
      </c>
      <c r="C142" s="1281" t="s">
        <v>527</v>
      </c>
      <c r="D142" s="1281" t="s">
        <v>528</v>
      </c>
      <c r="E142" s="232" t="s">
        <v>704</v>
      </c>
      <c r="F142" s="231">
        <v>1</v>
      </c>
    </row>
    <row r="143" spans="1:6" ht="15.6" customHeight="1">
      <c r="A143" s="1482"/>
      <c r="B143" s="1475" t="s">
        <v>530</v>
      </c>
      <c r="C143" s="1478" t="s">
        <v>532</v>
      </c>
      <c r="D143" s="1281" t="s">
        <v>522</v>
      </c>
      <c r="E143" s="145" t="s">
        <v>705</v>
      </c>
      <c r="F143" s="231">
        <v>0.93</v>
      </c>
    </row>
    <row r="144" spans="1:6">
      <c r="A144" s="1482"/>
      <c r="B144" s="1479"/>
      <c r="C144" s="1478"/>
      <c r="D144" s="1281" t="s">
        <v>531</v>
      </c>
      <c r="E144" s="145" t="s">
        <v>706</v>
      </c>
      <c r="F144" s="231">
        <v>0.82</v>
      </c>
    </row>
    <row r="145" spans="1:36" ht="16.5" thickBot="1">
      <c r="A145" s="1482"/>
      <c r="B145" s="1479"/>
      <c r="C145" s="1280" t="s">
        <v>533</v>
      </c>
      <c r="D145" s="1280" t="s">
        <v>525</v>
      </c>
      <c r="E145" s="145" t="s">
        <v>707</v>
      </c>
      <c r="F145" s="234">
        <v>0.88</v>
      </c>
    </row>
    <row r="146" spans="1:36">
      <c r="A146" s="1511" t="s">
        <v>534</v>
      </c>
      <c r="B146" s="1282" t="s">
        <v>535</v>
      </c>
      <c r="C146" s="229" t="s">
        <v>527</v>
      </c>
      <c r="D146" s="229" t="s">
        <v>528</v>
      </c>
      <c r="E146" s="145" t="s">
        <v>535</v>
      </c>
      <c r="F146" s="235">
        <v>1</v>
      </c>
    </row>
    <row r="147" spans="1:36" s="221" customFormat="1">
      <c r="A147" s="1512"/>
      <c r="B147" s="1478" t="s">
        <v>536</v>
      </c>
      <c r="C147" s="1478" t="s">
        <v>537</v>
      </c>
      <c r="D147" s="1281" t="s">
        <v>522</v>
      </c>
      <c r="E147" s="145" t="s">
        <v>708</v>
      </c>
      <c r="F147" s="233">
        <v>1.02</v>
      </c>
      <c r="G147" s="145"/>
      <c r="H147" s="145"/>
      <c r="I147" s="145"/>
      <c r="J147" s="145"/>
      <c r="K147" s="145"/>
      <c r="L147" s="145"/>
      <c r="M147" s="145"/>
      <c r="N147" s="227"/>
      <c r="O147" s="145"/>
      <c r="P147" s="145"/>
      <c r="Q147" s="145"/>
      <c r="R147" s="145"/>
      <c r="S147" s="145"/>
      <c r="T147" s="145"/>
      <c r="U147" s="145"/>
      <c r="V147" s="145"/>
      <c r="W147" s="145"/>
      <c r="X147" s="145"/>
      <c r="Y147" s="145"/>
      <c r="Z147" s="145"/>
      <c r="AA147" s="228"/>
      <c r="AB147" s="145"/>
      <c r="AC147" s="145"/>
      <c r="AD147" s="145"/>
      <c r="AE147" s="145"/>
      <c r="AJ147" s="154"/>
    </row>
    <row r="148" spans="1:36">
      <c r="A148" s="1512"/>
      <c r="B148" s="1478"/>
      <c r="C148" s="1478"/>
      <c r="D148" s="1281" t="s">
        <v>523</v>
      </c>
      <c r="E148" s="145" t="s">
        <v>709</v>
      </c>
      <c r="F148" s="233">
        <v>1.08</v>
      </c>
    </row>
    <row r="149" spans="1:36">
      <c r="A149" s="1512"/>
      <c r="B149" s="1478"/>
      <c r="C149" s="1478" t="s">
        <v>538</v>
      </c>
      <c r="D149" s="1281" t="s">
        <v>522</v>
      </c>
      <c r="E149" s="145" t="s">
        <v>710</v>
      </c>
      <c r="F149" s="233">
        <v>1.0900000000000001</v>
      </c>
    </row>
    <row r="150" spans="1:36">
      <c r="A150" s="1512"/>
      <c r="B150" s="1478"/>
      <c r="C150" s="1478"/>
      <c r="D150" s="1281" t="s">
        <v>524</v>
      </c>
      <c r="E150" s="145" t="s">
        <v>711</v>
      </c>
      <c r="F150" s="233">
        <v>1.1499999999999999</v>
      </c>
    </row>
    <row r="151" spans="1:36">
      <c r="A151" s="1512"/>
      <c r="B151" s="1478"/>
      <c r="C151" s="1281" t="s">
        <v>521</v>
      </c>
      <c r="D151" s="1281" t="s">
        <v>525</v>
      </c>
      <c r="E151" s="145" t="s">
        <v>712</v>
      </c>
      <c r="F151" s="233">
        <v>1.0900000000000001</v>
      </c>
    </row>
    <row r="152" spans="1:36">
      <c r="A152" s="1512"/>
      <c r="B152" s="1478" t="s">
        <v>540</v>
      </c>
      <c r="C152" s="1478" t="s">
        <v>537</v>
      </c>
      <c r="D152" s="1281" t="s">
        <v>522</v>
      </c>
      <c r="E152" s="145" t="s">
        <v>713</v>
      </c>
      <c r="F152" s="233">
        <v>1.1000000000000001</v>
      </c>
    </row>
    <row r="153" spans="1:36">
      <c r="A153" s="1512"/>
      <c r="B153" s="1478"/>
      <c r="C153" s="1478"/>
      <c r="D153" s="1281" t="s">
        <v>523</v>
      </c>
      <c r="E153" s="145" t="s">
        <v>714</v>
      </c>
      <c r="F153" s="233">
        <v>1.1499999999999999</v>
      </c>
    </row>
    <row r="154" spans="1:36">
      <c r="A154" s="1512"/>
      <c r="B154" s="1478"/>
      <c r="C154" s="1478" t="s">
        <v>538</v>
      </c>
      <c r="D154" s="1281" t="s">
        <v>522</v>
      </c>
      <c r="E154" s="145" t="s">
        <v>715</v>
      </c>
      <c r="F154" s="233">
        <v>1.17</v>
      </c>
    </row>
    <row r="155" spans="1:36">
      <c r="A155" s="1512"/>
      <c r="B155" s="1478"/>
      <c r="C155" s="1478"/>
      <c r="D155" s="1281" t="s">
        <v>524</v>
      </c>
      <c r="E155" s="145" t="s">
        <v>716</v>
      </c>
      <c r="F155" s="233">
        <v>1.22</v>
      </c>
    </row>
    <row r="156" spans="1:36" ht="16.5" thickBot="1">
      <c r="A156" s="1513"/>
      <c r="B156" s="1475"/>
      <c r="C156" s="1280" t="s">
        <v>521</v>
      </c>
      <c r="D156" s="1280" t="s">
        <v>525</v>
      </c>
      <c r="E156" s="145" t="s">
        <v>717</v>
      </c>
      <c r="F156" s="236">
        <v>1.1599999999999999</v>
      </c>
    </row>
    <row r="157" spans="1:36">
      <c r="A157" s="1511" t="s">
        <v>542</v>
      </c>
      <c r="B157" s="1508" t="s">
        <v>543</v>
      </c>
      <c r="C157" s="1522" t="s">
        <v>537</v>
      </c>
      <c r="D157" s="229" t="s">
        <v>522</v>
      </c>
      <c r="E157" s="145" t="s">
        <v>718</v>
      </c>
      <c r="F157" s="235">
        <v>0.95</v>
      </c>
    </row>
    <row r="158" spans="1:36">
      <c r="A158" s="1512"/>
      <c r="B158" s="1477"/>
      <c r="C158" s="1474"/>
      <c r="D158" s="1281" t="s">
        <v>523</v>
      </c>
      <c r="E158" s="145" t="s">
        <v>719</v>
      </c>
      <c r="F158" s="233">
        <v>0.92</v>
      </c>
    </row>
    <row r="159" spans="1:36">
      <c r="A159" s="1512"/>
      <c r="B159" s="1477"/>
      <c r="C159" s="1478" t="s">
        <v>538</v>
      </c>
      <c r="D159" s="1281" t="s">
        <v>522</v>
      </c>
      <c r="E159" s="145" t="s">
        <v>720</v>
      </c>
      <c r="F159" s="233">
        <v>0.95</v>
      </c>
    </row>
    <row r="160" spans="1:36">
      <c r="A160" s="1512"/>
      <c r="B160" s="1477"/>
      <c r="C160" s="1478"/>
      <c r="D160" s="1281" t="s">
        <v>524</v>
      </c>
      <c r="E160" s="145" t="s">
        <v>721</v>
      </c>
      <c r="F160" s="233">
        <v>0.92</v>
      </c>
    </row>
    <row r="161" spans="1:8">
      <c r="A161" s="1512"/>
      <c r="B161" s="1477"/>
      <c r="C161" s="1281" t="s">
        <v>521</v>
      </c>
      <c r="D161" s="1281" t="s">
        <v>525</v>
      </c>
      <c r="E161" s="145" t="s">
        <v>722</v>
      </c>
      <c r="F161" s="233">
        <v>0.94</v>
      </c>
    </row>
    <row r="162" spans="1:8" ht="15.6" customHeight="1">
      <c r="A162" s="1512"/>
      <c r="B162" s="1281" t="s">
        <v>544</v>
      </c>
      <c r="C162" s="1283" t="s">
        <v>527</v>
      </c>
      <c r="D162" s="1281" t="s">
        <v>528</v>
      </c>
      <c r="E162" s="145" t="s">
        <v>723</v>
      </c>
      <c r="F162" s="233">
        <v>1</v>
      </c>
    </row>
    <row r="163" spans="1:8" ht="15.95" customHeight="1">
      <c r="A163" s="1512"/>
      <c r="B163" s="1478" t="s">
        <v>545</v>
      </c>
      <c r="C163" s="1478" t="s">
        <v>532</v>
      </c>
      <c r="D163" s="1281" t="s">
        <v>522</v>
      </c>
      <c r="E163" s="145" t="s">
        <v>724</v>
      </c>
      <c r="F163" s="233">
        <v>1.04</v>
      </c>
    </row>
    <row r="164" spans="1:8">
      <c r="A164" s="1512"/>
      <c r="B164" s="1478"/>
      <c r="C164" s="1478"/>
      <c r="D164" s="1281" t="s">
        <v>531</v>
      </c>
      <c r="E164" s="145" t="s">
        <v>725</v>
      </c>
      <c r="F164" s="233">
        <v>1.1100000000000001</v>
      </c>
    </row>
    <row r="165" spans="1:8">
      <c r="A165" s="1512"/>
      <c r="B165" s="1478"/>
      <c r="C165" s="249" t="s">
        <v>533</v>
      </c>
      <c r="D165" s="1280" t="s">
        <v>525</v>
      </c>
      <c r="E165" s="145" t="s">
        <v>726</v>
      </c>
      <c r="F165" s="233">
        <v>1.08</v>
      </c>
    </row>
    <row r="166" spans="1:8" ht="15.6" customHeight="1">
      <c r="A166" s="1512"/>
      <c r="B166" s="1478" t="s">
        <v>546</v>
      </c>
      <c r="C166" s="1474" t="s">
        <v>532</v>
      </c>
      <c r="D166" s="1281" t="s">
        <v>522</v>
      </c>
      <c r="E166" s="145" t="s">
        <v>728</v>
      </c>
      <c r="F166" s="233">
        <v>1.37</v>
      </c>
    </row>
    <row r="167" spans="1:8">
      <c r="A167" s="1512"/>
      <c r="B167" s="1478"/>
      <c r="C167" s="1474"/>
      <c r="D167" s="1281" t="s">
        <v>531</v>
      </c>
      <c r="E167" s="145" t="s">
        <v>727</v>
      </c>
      <c r="F167" s="233">
        <v>1.44</v>
      </c>
    </row>
    <row r="168" spans="1:8" ht="16.5" thickBot="1">
      <c r="A168" s="1520"/>
      <c r="B168" s="1521"/>
      <c r="C168" s="250" t="s">
        <v>533</v>
      </c>
      <c r="D168" s="1285" t="s">
        <v>525</v>
      </c>
      <c r="E168" s="145" t="s">
        <v>729</v>
      </c>
      <c r="F168" s="237">
        <v>1.41</v>
      </c>
    </row>
    <row r="171" spans="1:8">
      <c r="B171" s="145" t="s">
        <v>548</v>
      </c>
      <c r="C171" s="145" t="s">
        <v>549</v>
      </c>
    </row>
    <row r="172" spans="1:8">
      <c r="A172" s="1478" t="s">
        <v>551</v>
      </c>
      <c r="B172" s="1478"/>
      <c r="C172" s="1478"/>
      <c r="D172" s="1478"/>
      <c r="E172" s="1478"/>
      <c r="F172" s="1478"/>
    </row>
    <row r="173" spans="1:8" ht="16.5" thickBot="1">
      <c r="A173" s="1284" t="s">
        <v>553</v>
      </c>
      <c r="B173" s="1284" t="s">
        <v>554</v>
      </c>
      <c r="C173" s="1284" t="s">
        <v>555</v>
      </c>
      <c r="E173" s="1284" t="s">
        <v>556</v>
      </c>
      <c r="G173" s="1484" t="s">
        <v>566</v>
      </c>
      <c r="H173" s="1485"/>
    </row>
    <row r="174" spans="1:8" ht="16.5" thickBot="1">
      <c r="A174" s="251" t="s">
        <v>552</v>
      </c>
      <c r="B174" s="252" t="s">
        <v>527</v>
      </c>
      <c r="C174" s="252" t="s">
        <v>527</v>
      </c>
      <c r="E174" s="253">
        <v>1</v>
      </c>
      <c r="G174" s="1486" t="s">
        <v>558</v>
      </c>
      <c r="H174" s="1487"/>
    </row>
    <row r="175" spans="1:8">
      <c r="A175" s="1481" t="s">
        <v>562</v>
      </c>
      <c r="B175" s="229" t="s">
        <v>563</v>
      </c>
      <c r="C175" s="1282" t="s">
        <v>527</v>
      </c>
      <c r="D175" s="145" t="s">
        <v>731</v>
      </c>
      <c r="E175" s="254">
        <v>1</v>
      </c>
      <c r="G175" s="1488" t="s">
        <v>559</v>
      </c>
      <c r="H175" s="1489"/>
    </row>
    <row r="176" spans="1:8">
      <c r="A176" s="1482"/>
      <c r="B176" s="1478" t="s">
        <v>560</v>
      </c>
      <c r="C176" s="1281" t="s">
        <v>537</v>
      </c>
      <c r="D176" s="145" t="s">
        <v>732</v>
      </c>
      <c r="E176" s="255">
        <v>0.95</v>
      </c>
      <c r="G176" s="1464" t="s">
        <v>564</v>
      </c>
      <c r="H176" s="1465"/>
    </row>
    <row r="177" spans="1:8">
      <c r="A177" s="1482"/>
      <c r="B177" s="1478"/>
      <c r="C177" s="1281" t="s">
        <v>538</v>
      </c>
      <c r="D177" s="145" t="s">
        <v>734</v>
      </c>
      <c r="E177" s="255">
        <v>0.97</v>
      </c>
      <c r="G177" s="1466"/>
      <c r="H177" s="1467"/>
    </row>
    <row r="178" spans="1:8">
      <c r="A178" s="1482"/>
      <c r="B178" s="1478"/>
      <c r="C178" s="1281" t="s">
        <v>521</v>
      </c>
      <c r="D178" s="145" t="s">
        <v>733</v>
      </c>
      <c r="E178" s="222">
        <v>0.96</v>
      </c>
      <c r="G178" s="1490"/>
      <c r="H178" s="1491"/>
    </row>
    <row r="179" spans="1:8">
      <c r="A179" s="1482"/>
      <c r="B179" s="1281" t="s">
        <v>561</v>
      </c>
      <c r="C179" s="1283" t="s">
        <v>527</v>
      </c>
      <c r="D179" s="145" t="s">
        <v>735</v>
      </c>
      <c r="E179" s="222">
        <v>0.7</v>
      </c>
      <c r="G179" s="1472" t="s">
        <v>565</v>
      </c>
      <c r="H179" s="1492"/>
    </row>
    <row r="180" spans="1:8">
      <c r="A180" s="1482"/>
      <c r="B180" s="1475" t="s">
        <v>567</v>
      </c>
      <c r="C180" s="1283" t="s">
        <v>537</v>
      </c>
      <c r="D180" s="145" t="s">
        <v>736</v>
      </c>
      <c r="E180" s="1283">
        <v>1.1399999999999999</v>
      </c>
      <c r="G180" s="1464" t="s">
        <v>569</v>
      </c>
      <c r="H180" s="1465"/>
    </row>
    <row r="181" spans="1:8">
      <c r="A181" s="1482"/>
      <c r="B181" s="1479"/>
      <c r="C181" s="1283" t="s">
        <v>568</v>
      </c>
      <c r="D181" s="145" t="s">
        <v>737</v>
      </c>
      <c r="E181" s="1283">
        <v>1.17</v>
      </c>
      <c r="G181" s="1466"/>
      <c r="H181" s="1467"/>
    </row>
    <row r="182" spans="1:8" ht="16.5" thickBot="1">
      <c r="A182" s="1483"/>
      <c r="B182" s="1480"/>
      <c r="C182" s="238" t="s">
        <v>533</v>
      </c>
      <c r="D182" s="145" t="s">
        <v>739</v>
      </c>
      <c r="E182" s="238">
        <v>1.1599999999999999</v>
      </c>
      <c r="G182" s="1468"/>
      <c r="H182" s="1469"/>
    </row>
    <row r="183" spans="1:8" ht="15.6" customHeight="1">
      <c r="A183" s="1509" t="s">
        <v>570</v>
      </c>
      <c r="B183" s="1282" t="s">
        <v>544</v>
      </c>
      <c r="C183" s="1282" t="s">
        <v>527</v>
      </c>
      <c r="D183" s="145" t="s">
        <v>738</v>
      </c>
      <c r="E183" s="1282">
        <v>1</v>
      </c>
      <c r="G183" s="1470" t="s">
        <v>730</v>
      </c>
      <c r="H183" s="1471"/>
    </row>
    <row r="184" spans="1:8" ht="16.5" thickBot="1">
      <c r="A184" s="1510"/>
      <c r="B184" s="238" t="s">
        <v>571</v>
      </c>
      <c r="C184" s="238" t="s">
        <v>527</v>
      </c>
      <c r="D184" s="145" t="s">
        <v>571</v>
      </c>
      <c r="E184" s="238">
        <v>1.1100000000000001</v>
      </c>
      <c r="G184" s="1468"/>
      <c r="H184" s="1469"/>
    </row>
    <row r="185" spans="1:8">
      <c r="D185" s="145" t="s">
        <v>740</v>
      </c>
      <c r="E185" s="228">
        <v>1</v>
      </c>
    </row>
    <row r="187" spans="1:8">
      <c r="A187" s="245" t="s">
        <v>615</v>
      </c>
    </row>
    <row r="188" spans="1:8">
      <c r="B188" s="145" t="s">
        <v>573</v>
      </c>
    </row>
    <row r="189" spans="1:8">
      <c r="A189" s="1472" t="s">
        <v>574</v>
      </c>
      <c r="B189" s="1473"/>
      <c r="C189" s="1473"/>
      <c r="D189" s="1473"/>
      <c r="E189" s="1474"/>
    </row>
    <row r="190" spans="1:8">
      <c r="A190" s="1283" t="s">
        <v>584</v>
      </c>
      <c r="B190" s="1281" t="s">
        <v>554</v>
      </c>
      <c r="C190" s="1283" t="s">
        <v>575</v>
      </c>
      <c r="D190" s="1283" t="s">
        <v>576</v>
      </c>
      <c r="E190" s="1283" t="s">
        <v>577</v>
      </c>
    </row>
    <row r="191" spans="1:8">
      <c r="A191" s="1477" t="s">
        <v>578</v>
      </c>
      <c r="B191" s="1478" t="s">
        <v>579</v>
      </c>
      <c r="C191" s="1283" t="s">
        <v>557</v>
      </c>
      <c r="D191" s="1283">
        <v>1</v>
      </c>
      <c r="E191" s="1475" t="s">
        <v>582</v>
      </c>
    </row>
    <row r="192" spans="1:8">
      <c r="A192" s="1477"/>
      <c r="B192" s="1478"/>
      <c r="C192" s="1283" t="s">
        <v>568</v>
      </c>
      <c r="D192" s="1283">
        <v>1</v>
      </c>
      <c r="E192" s="1476"/>
    </row>
    <row r="193" spans="1:5">
      <c r="A193" s="1477"/>
      <c r="B193" s="1281" t="s">
        <v>580</v>
      </c>
      <c r="C193" s="1283" t="s">
        <v>520</v>
      </c>
      <c r="D193" s="1283">
        <v>0.64</v>
      </c>
      <c r="E193" s="1475" t="s">
        <v>583</v>
      </c>
    </row>
    <row r="194" spans="1:5">
      <c r="A194" s="1477"/>
      <c r="B194" s="1281" t="s">
        <v>581</v>
      </c>
      <c r="C194" s="1283" t="s">
        <v>520</v>
      </c>
      <c r="D194" s="1283">
        <v>0.8</v>
      </c>
      <c r="E194" s="1476"/>
    </row>
    <row r="196" spans="1:5">
      <c r="A196" s="245" t="s">
        <v>614</v>
      </c>
    </row>
    <row r="197" spans="1:5" ht="15.6" customHeight="1">
      <c r="A197" s="1517" t="s">
        <v>207</v>
      </c>
      <c r="B197" s="1517"/>
      <c r="C197" s="1283">
        <v>1.3</v>
      </c>
    </row>
    <row r="199" spans="1:5">
      <c r="A199" s="145" t="s">
        <v>148</v>
      </c>
      <c r="B199" s="145" t="s">
        <v>184</v>
      </c>
    </row>
    <row r="200" spans="1:5" ht="15.6" customHeight="1">
      <c r="C200" s="174" t="s">
        <v>182</v>
      </c>
      <c r="D200" s="174" t="s">
        <v>183</v>
      </c>
    </row>
    <row r="201" spans="1:5">
      <c r="B201" s="145" t="s">
        <v>663</v>
      </c>
      <c r="C201" s="174" t="s">
        <v>181</v>
      </c>
      <c r="D201" s="174" t="s">
        <v>181</v>
      </c>
    </row>
    <row r="202" spans="1:5">
      <c r="A202" s="1477" t="s">
        <v>173</v>
      </c>
      <c r="B202" s="256" t="s">
        <v>175</v>
      </c>
      <c r="C202" s="1514">
        <v>0.78</v>
      </c>
      <c r="D202" s="225">
        <v>1</v>
      </c>
    </row>
    <row r="203" spans="1:5" ht="15.75" customHeight="1">
      <c r="A203" s="1477"/>
      <c r="B203" s="256" t="s">
        <v>176</v>
      </c>
      <c r="C203" s="1515"/>
      <c r="D203" s="225">
        <v>0.6</v>
      </c>
    </row>
    <row r="204" spans="1:5" ht="15.75" customHeight="1">
      <c r="A204" s="1477"/>
      <c r="B204" s="256" t="s">
        <v>177</v>
      </c>
      <c r="C204" s="1516"/>
      <c r="D204" s="225">
        <v>0.52</v>
      </c>
    </row>
    <row r="205" spans="1:5">
      <c r="A205" s="1478" t="s">
        <v>174</v>
      </c>
      <c r="B205" s="256" t="s">
        <v>178</v>
      </c>
      <c r="C205" s="1514">
        <v>0.27</v>
      </c>
      <c r="D205" s="225">
        <v>0.28000000000000003</v>
      </c>
    </row>
    <row r="206" spans="1:5">
      <c r="A206" s="1478"/>
      <c r="B206" s="256" t="s">
        <v>179</v>
      </c>
      <c r="C206" s="1515"/>
      <c r="D206" s="225">
        <v>0.25</v>
      </c>
    </row>
    <row r="207" spans="1:5" ht="15.75" customHeight="1">
      <c r="A207" s="1478"/>
      <c r="B207" s="256" t="s">
        <v>180</v>
      </c>
      <c r="C207" s="1516"/>
      <c r="D207" s="225">
        <v>0.31</v>
      </c>
    </row>
    <row r="208" spans="1:5" ht="15.75" customHeight="1">
      <c r="A208" s="1518" t="s">
        <v>132</v>
      </c>
      <c r="B208" s="1519"/>
      <c r="C208" s="225">
        <v>0</v>
      </c>
      <c r="D208" s="225">
        <v>0</v>
      </c>
    </row>
    <row r="211" spans="1:4" ht="15.75" customHeight="1">
      <c r="A211" s="145" t="s">
        <v>191</v>
      </c>
    </row>
    <row r="212" spans="1:4">
      <c r="A212" s="145" t="s">
        <v>192</v>
      </c>
      <c r="C212" s="174" t="s">
        <v>182</v>
      </c>
      <c r="D212" s="174" t="s">
        <v>183</v>
      </c>
    </row>
    <row r="213" spans="1:4">
      <c r="B213" s="239" t="s">
        <v>186</v>
      </c>
      <c r="C213" s="174" t="s">
        <v>185</v>
      </c>
      <c r="D213" s="174" t="s">
        <v>185</v>
      </c>
    </row>
    <row r="214" spans="1:4" ht="31.5">
      <c r="B214" s="239" t="s">
        <v>189</v>
      </c>
      <c r="C214" s="1514">
        <v>1.22</v>
      </c>
      <c r="D214" s="1283">
        <v>1</v>
      </c>
    </row>
    <row r="215" spans="1:4" ht="31.5">
      <c r="B215" s="239" t="s">
        <v>190</v>
      </c>
      <c r="C215" s="1515"/>
      <c r="D215" s="1283">
        <v>0.68</v>
      </c>
    </row>
    <row r="216" spans="1:4">
      <c r="B216" s="239" t="s">
        <v>187</v>
      </c>
      <c r="C216" s="1516"/>
      <c r="D216" s="1283">
        <v>1.9</v>
      </c>
    </row>
    <row r="217" spans="1:4" ht="15.6" customHeight="1"/>
    <row r="218" spans="1:4">
      <c r="B218" s="145" t="s">
        <v>188</v>
      </c>
    </row>
    <row r="219" spans="1:4" ht="15.6" customHeight="1"/>
    <row r="220" spans="1:4">
      <c r="A220" s="145" t="s">
        <v>193</v>
      </c>
    </row>
    <row r="221" spans="1:4" ht="15.6" customHeight="1">
      <c r="A221" s="145" t="s">
        <v>194</v>
      </c>
    </row>
    <row r="223" spans="1:4">
      <c r="B223" s="174" t="s">
        <v>201</v>
      </c>
      <c r="C223" s="257" t="s">
        <v>195</v>
      </c>
    </row>
    <row r="224" spans="1:4" ht="31.5">
      <c r="B224" s="239" t="s">
        <v>196</v>
      </c>
      <c r="C224" s="1283">
        <v>1</v>
      </c>
    </row>
    <row r="225" spans="1:31" ht="31.5">
      <c r="B225" s="239" t="s">
        <v>197</v>
      </c>
      <c r="C225" s="1283">
        <v>0.28999999999999998</v>
      </c>
    </row>
    <row r="226" spans="1:31">
      <c r="B226" s="239" t="s">
        <v>198</v>
      </c>
      <c r="C226" s="1283">
        <v>0.05</v>
      </c>
    </row>
    <row r="227" spans="1:31">
      <c r="B227" s="239" t="s">
        <v>199</v>
      </c>
      <c r="C227" s="1283">
        <v>0.14000000000000001</v>
      </c>
    </row>
    <row r="228" spans="1:31">
      <c r="B228" s="174" t="s">
        <v>200</v>
      </c>
      <c r="C228" s="1283">
        <v>0.5</v>
      </c>
    </row>
    <row r="229" spans="1:31">
      <c r="B229" s="239" t="s">
        <v>203</v>
      </c>
      <c r="C229" s="1283">
        <v>0</v>
      </c>
    </row>
    <row r="231" spans="1:31" ht="15.6" customHeight="1">
      <c r="A231" s="1504" t="s">
        <v>783</v>
      </c>
      <c r="B231" s="288" t="s">
        <v>882</v>
      </c>
      <c r="C231" s="289">
        <v>1</v>
      </c>
      <c r="D231" s="286"/>
    </row>
    <row r="232" spans="1:31">
      <c r="A232" s="1505"/>
      <c r="B232" s="288" t="s">
        <v>883</v>
      </c>
      <c r="C232" s="288">
        <v>0.03</v>
      </c>
      <c r="D232" s="286"/>
      <c r="J232" s="11"/>
      <c r="K232" s="11"/>
      <c r="L232" s="11"/>
      <c r="M232" s="11"/>
      <c r="N232" s="262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263"/>
      <c r="AB232" s="11"/>
      <c r="AC232" s="11"/>
      <c r="AD232" s="11"/>
      <c r="AE232" s="11"/>
    </row>
    <row r="233" spans="1:31">
      <c r="A233" s="1506"/>
      <c r="B233" s="290" t="s">
        <v>823</v>
      </c>
      <c r="C233" s="290">
        <v>0.7</v>
      </c>
      <c r="D233" s="286"/>
      <c r="J233" s="11"/>
      <c r="K233" s="11"/>
      <c r="L233" s="11"/>
      <c r="M233" s="11"/>
      <c r="N233" s="262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263"/>
      <c r="AB233" s="11"/>
      <c r="AC233" s="11"/>
      <c r="AD233" s="11"/>
      <c r="AE233" s="11"/>
    </row>
    <row r="234" spans="1:31">
      <c r="A234" s="286"/>
      <c r="B234" s="286"/>
      <c r="C234" s="286"/>
      <c r="D234" s="286"/>
    </row>
    <row r="260" spans="1:36" s="11" customFormat="1">
      <c r="A260" s="145"/>
      <c r="B260" s="145"/>
      <c r="C260" s="145"/>
      <c r="D260" s="145"/>
      <c r="E260" s="145"/>
      <c r="F260" s="145"/>
      <c r="G260" s="145"/>
      <c r="H260" s="145"/>
      <c r="I260" s="145"/>
      <c r="N260" s="262"/>
      <c r="AA260" s="263"/>
      <c r="AJ260" s="264"/>
    </row>
    <row r="261" spans="1:36" s="11" customFormat="1">
      <c r="A261" s="145"/>
      <c r="B261" s="145"/>
      <c r="C261" s="145"/>
      <c r="D261" s="145"/>
      <c r="E261" s="145"/>
      <c r="F261" s="145"/>
      <c r="G261" s="145"/>
      <c r="H261" s="145"/>
      <c r="I261" s="145"/>
      <c r="N261" s="262"/>
      <c r="AA261" s="263"/>
      <c r="AJ261" s="264"/>
    </row>
  </sheetData>
  <mergeCells count="73">
    <mergeCell ref="I38:M38"/>
    <mergeCell ref="G39:G42"/>
    <mergeCell ref="F39:F42"/>
    <mergeCell ref="B80:AE80"/>
    <mergeCell ref="B81:F81"/>
    <mergeCell ref="G81:AB81"/>
    <mergeCell ref="AC81:AE81"/>
    <mergeCell ref="F58:I58"/>
    <mergeCell ref="G56:I56"/>
    <mergeCell ref="F43:F46"/>
    <mergeCell ref="G43:G46"/>
    <mergeCell ref="F47:F50"/>
    <mergeCell ref="G47:G50"/>
    <mergeCell ref="A172:F172"/>
    <mergeCell ref="A21:A23"/>
    <mergeCell ref="A55:A62"/>
    <mergeCell ref="A63:A65"/>
    <mergeCell ref="A80:A82"/>
    <mergeCell ref="C147:C148"/>
    <mergeCell ref="A157:A168"/>
    <mergeCell ref="B166:B168"/>
    <mergeCell ref="C157:C158"/>
    <mergeCell ref="C159:C160"/>
    <mergeCell ref="B147:B151"/>
    <mergeCell ref="C149:C150"/>
    <mergeCell ref="A197:B197"/>
    <mergeCell ref="A202:A204"/>
    <mergeCell ref="A205:A207"/>
    <mergeCell ref="A208:B208"/>
    <mergeCell ref="C202:C204"/>
    <mergeCell ref="C205:C207"/>
    <mergeCell ref="A231:A233"/>
    <mergeCell ref="B136:B140"/>
    <mergeCell ref="C138:C139"/>
    <mergeCell ref="C143:C144"/>
    <mergeCell ref="B143:B145"/>
    <mergeCell ref="A136:A145"/>
    <mergeCell ref="B157:B161"/>
    <mergeCell ref="B163:B165"/>
    <mergeCell ref="C152:C153"/>
    <mergeCell ref="C154:C155"/>
    <mergeCell ref="B152:B156"/>
    <mergeCell ref="A183:A184"/>
    <mergeCell ref="C163:C164"/>
    <mergeCell ref="C166:C167"/>
    <mergeCell ref="A146:A156"/>
    <mergeCell ref="C214:C216"/>
    <mergeCell ref="AC85:AE85"/>
    <mergeCell ref="B86:F86"/>
    <mergeCell ref="AC86:AE86"/>
    <mergeCell ref="A134:E134"/>
    <mergeCell ref="B83:F83"/>
    <mergeCell ref="AC83:AE83"/>
    <mergeCell ref="B84:F84"/>
    <mergeCell ref="AC84:AE84"/>
    <mergeCell ref="B85:F85"/>
    <mergeCell ref="A107:A109"/>
    <mergeCell ref="A88:A90"/>
    <mergeCell ref="G173:H173"/>
    <mergeCell ref="G174:H174"/>
    <mergeCell ref="G175:H175"/>
    <mergeCell ref="G176:H178"/>
    <mergeCell ref="G179:H179"/>
    <mergeCell ref="G180:H182"/>
    <mergeCell ref="G183:H184"/>
    <mergeCell ref="A189:E189"/>
    <mergeCell ref="E191:E192"/>
    <mergeCell ref="E193:E194"/>
    <mergeCell ref="A191:A194"/>
    <mergeCell ref="B191:B192"/>
    <mergeCell ref="B180:B182"/>
    <mergeCell ref="A175:A182"/>
    <mergeCell ref="B176:B178"/>
  </mergeCells>
  <phoneticPr fontId="46" type="noConversion"/>
  <pageMargins left="0.75" right="0.75" top="1" bottom="1" header="0.5" footer="0.5"/>
  <pageSetup paperSize="9" scale="10" orientation="landscape" horizontalDpi="4294967292" verticalDpi="4294967292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0" tint="-0.499984740745262"/>
  </sheetPr>
  <dimension ref="A2:I64"/>
  <sheetViews>
    <sheetView topLeftCell="A52" zoomScale="90" zoomScaleNormal="90" workbookViewId="0">
      <selection activeCell="E73" sqref="E73"/>
    </sheetView>
  </sheetViews>
  <sheetFormatPr defaultRowHeight="15.75"/>
  <cols>
    <col min="1" max="1" width="21.875" customWidth="1"/>
    <col min="2" max="2" width="16.375" customWidth="1"/>
    <col min="3" max="3" width="18.875" customWidth="1"/>
    <col min="4" max="4" width="43.75" customWidth="1"/>
    <col min="5" max="5" width="53.625" customWidth="1"/>
    <col min="9" max="9" width="21.75" customWidth="1"/>
  </cols>
  <sheetData>
    <row r="2" spans="1:7">
      <c r="A2" s="771" t="s">
        <v>615</v>
      </c>
    </row>
    <row r="3" spans="1:7">
      <c r="B3" t="s">
        <v>539</v>
      </c>
      <c r="C3" t="s">
        <v>547</v>
      </c>
    </row>
    <row r="4" spans="1:7">
      <c r="A4" s="1546" t="s">
        <v>512</v>
      </c>
      <c r="B4" s="1547"/>
      <c r="C4" s="1547"/>
      <c r="D4" s="1547"/>
      <c r="E4" s="1548"/>
      <c r="F4" s="30"/>
    </row>
    <row r="5" spans="1:7" ht="32.25" thickBot="1">
      <c r="A5" s="87" t="s">
        <v>513</v>
      </c>
      <c r="B5" s="87" t="s">
        <v>514</v>
      </c>
      <c r="C5" s="87" t="s">
        <v>517</v>
      </c>
      <c r="D5" s="87" t="s">
        <v>515</v>
      </c>
      <c r="G5" s="87" t="s">
        <v>516</v>
      </c>
    </row>
    <row r="6" spans="1:7">
      <c r="A6" s="1556" t="s">
        <v>541</v>
      </c>
      <c r="B6" s="1576" t="s">
        <v>539</v>
      </c>
      <c r="C6" s="421" t="s">
        <v>519</v>
      </c>
      <c r="D6" s="421" t="s">
        <v>522</v>
      </c>
      <c r="E6" t="s">
        <v>699</v>
      </c>
      <c r="G6" s="425">
        <v>0.8</v>
      </c>
    </row>
    <row r="7" spans="1:7">
      <c r="A7" s="1557"/>
      <c r="B7" s="1560"/>
      <c r="C7" s="24"/>
      <c r="D7" s="24" t="s">
        <v>523</v>
      </c>
      <c r="E7" t="s">
        <v>700</v>
      </c>
      <c r="G7" s="772">
        <v>0.69</v>
      </c>
    </row>
    <row r="8" spans="1:7">
      <c r="A8" s="1557"/>
      <c r="B8" s="1560"/>
      <c r="C8" s="1551" t="s">
        <v>520</v>
      </c>
      <c r="D8" s="24" t="s">
        <v>522</v>
      </c>
      <c r="E8" t="s">
        <v>701</v>
      </c>
      <c r="G8" s="772">
        <v>0.57999999999999996</v>
      </c>
    </row>
    <row r="9" spans="1:7">
      <c r="A9" s="1557"/>
      <c r="B9" s="1560"/>
      <c r="C9" s="1552"/>
      <c r="D9" s="24" t="s">
        <v>524</v>
      </c>
      <c r="E9" t="s">
        <v>702</v>
      </c>
      <c r="G9" s="772">
        <v>0.48</v>
      </c>
    </row>
    <row r="10" spans="1:7">
      <c r="A10" s="1557"/>
      <c r="B10" s="1552"/>
      <c r="C10" s="24" t="s">
        <v>521</v>
      </c>
      <c r="D10" s="24" t="s">
        <v>525</v>
      </c>
      <c r="E10" t="s">
        <v>703</v>
      </c>
      <c r="G10" s="772">
        <v>0.64</v>
      </c>
    </row>
    <row r="11" spans="1:7">
      <c r="A11" s="1557"/>
      <c r="B11" s="27" t="s">
        <v>526</v>
      </c>
      <c r="C11" s="27" t="s">
        <v>527</v>
      </c>
      <c r="D11" s="24" t="s">
        <v>528</v>
      </c>
      <c r="E11" s="773" t="s">
        <v>526</v>
      </c>
      <c r="F11" s="773"/>
      <c r="G11" s="774">
        <v>1.1000000000000001</v>
      </c>
    </row>
    <row r="12" spans="1:7" ht="31.5">
      <c r="A12" s="1557"/>
      <c r="B12" s="24" t="s">
        <v>1711</v>
      </c>
      <c r="C12" s="24" t="s">
        <v>527</v>
      </c>
      <c r="D12" s="24" t="s">
        <v>528</v>
      </c>
      <c r="E12" s="773" t="s">
        <v>1367</v>
      </c>
      <c r="F12" s="773"/>
      <c r="G12" s="772">
        <v>1</v>
      </c>
    </row>
    <row r="13" spans="1:7">
      <c r="A13" s="1557"/>
      <c r="B13" s="1551" t="s">
        <v>530</v>
      </c>
      <c r="C13" s="1550" t="s">
        <v>532</v>
      </c>
      <c r="D13" s="24" t="s">
        <v>522</v>
      </c>
      <c r="E13" t="s">
        <v>705</v>
      </c>
      <c r="G13" s="772">
        <v>0.93</v>
      </c>
    </row>
    <row r="14" spans="1:7">
      <c r="A14" s="1557"/>
      <c r="B14" s="1560"/>
      <c r="C14" s="1550"/>
      <c r="D14" s="24" t="s">
        <v>531</v>
      </c>
      <c r="E14" t="s">
        <v>706</v>
      </c>
      <c r="G14" s="772">
        <v>0.82</v>
      </c>
    </row>
    <row r="15" spans="1:7" ht="16.5" thickBot="1">
      <c r="A15" s="1557"/>
      <c r="B15" s="1560"/>
      <c r="C15" s="87" t="s">
        <v>533</v>
      </c>
      <c r="D15" s="87" t="s">
        <v>525</v>
      </c>
      <c r="E15" t="s">
        <v>707</v>
      </c>
      <c r="G15" s="775">
        <v>0.88</v>
      </c>
    </row>
    <row r="16" spans="1:7">
      <c r="A16" s="1568" t="s">
        <v>534</v>
      </c>
      <c r="B16" s="417" t="s">
        <v>535</v>
      </c>
      <c r="C16" s="421" t="s">
        <v>527</v>
      </c>
      <c r="D16" s="421" t="s">
        <v>528</v>
      </c>
      <c r="E16" s="786" t="s">
        <v>535</v>
      </c>
      <c r="F16" s="787"/>
      <c r="G16" s="429">
        <v>1</v>
      </c>
    </row>
    <row r="17" spans="1:7">
      <c r="A17" s="1569"/>
      <c r="B17" s="1550" t="s">
        <v>536</v>
      </c>
      <c r="C17" s="1575" t="s">
        <v>537</v>
      </c>
      <c r="D17" s="113" t="s">
        <v>522</v>
      </c>
      <c r="E17" t="s">
        <v>708</v>
      </c>
      <c r="G17" s="774">
        <v>1.02</v>
      </c>
    </row>
    <row r="18" spans="1:7">
      <c r="A18" s="1569"/>
      <c r="B18" s="1550"/>
      <c r="C18" s="1575"/>
      <c r="D18" s="113" t="s">
        <v>523</v>
      </c>
      <c r="E18" t="s">
        <v>709</v>
      </c>
      <c r="G18" s="774">
        <v>1.08</v>
      </c>
    </row>
    <row r="19" spans="1:7">
      <c r="A19" s="1569"/>
      <c r="B19" s="1550"/>
      <c r="C19" s="1550" t="s">
        <v>538</v>
      </c>
      <c r="D19" s="113" t="s">
        <v>522</v>
      </c>
      <c r="E19" t="s">
        <v>710</v>
      </c>
      <c r="G19" s="774">
        <v>1.0900000000000001</v>
      </c>
    </row>
    <row r="20" spans="1:7">
      <c r="A20" s="1569"/>
      <c r="B20" s="1550"/>
      <c r="C20" s="1550"/>
      <c r="D20" s="113" t="s">
        <v>524</v>
      </c>
      <c r="E20" t="s">
        <v>711</v>
      </c>
      <c r="G20" s="774">
        <v>1.1499999999999999</v>
      </c>
    </row>
    <row r="21" spans="1:7">
      <c r="A21" s="1569"/>
      <c r="B21" s="1550"/>
      <c r="C21" s="24" t="s">
        <v>521</v>
      </c>
      <c r="D21" s="113" t="s">
        <v>525</v>
      </c>
      <c r="E21" t="s">
        <v>712</v>
      </c>
      <c r="G21" s="774">
        <v>1.0900000000000001</v>
      </c>
    </row>
    <row r="22" spans="1:7">
      <c r="A22" s="1569"/>
      <c r="B22" s="1550" t="s">
        <v>540</v>
      </c>
      <c r="C22" s="1575" t="s">
        <v>537</v>
      </c>
      <c r="D22" s="113" t="s">
        <v>522</v>
      </c>
      <c r="E22" t="s">
        <v>713</v>
      </c>
      <c r="G22" s="774">
        <v>1.1000000000000001</v>
      </c>
    </row>
    <row r="23" spans="1:7">
      <c r="A23" s="1569"/>
      <c r="B23" s="1550"/>
      <c r="C23" s="1575"/>
      <c r="D23" s="113" t="s">
        <v>523</v>
      </c>
      <c r="E23" t="s">
        <v>714</v>
      </c>
      <c r="G23" s="774">
        <v>1.1499999999999999</v>
      </c>
    </row>
    <row r="24" spans="1:7">
      <c r="A24" s="1569"/>
      <c r="B24" s="1550"/>
      <c r="C24" s="1550" t="s">
        <v>538</v>
      </c>
      <c r="D24" s="113" t="s">
        <v>522</v>
      </c>
      <c r="E24" t="s">
        <v>715</v>
      </c>
      <c r="G24" s="774">
        <v>1.17</v>
      </c>
    </row>
    <row r="25" spans="1:7">
      <c r="A25" s="1569"/>
      <c r="B25" s="1550"/>
      <c r="C25" s="1550"/>
      <c r="D25" s="113" t="s">
        <v>524</v>
      </c>
      <c r="E25" t="s">
        <v>716</v>
      </c>
      <c r="G25" s="774">
        <v>1.22</v>
      </c>
    </row>
    <row r="26" spans="1:7" ht="16.5" thickBot="1">
      <c r="A26" s="1574"/>
      <c r="B26" s="1551"/>
      <c r="C26" s="87" t="s">
        <v>521</v>
      </c>
      <c r="D26" s="776" t="s">
        <v>525</v>
      </c>
      <c r="E26" t="s">
        <v>717</v>
      </c>
      <c r="G26" s="777">
        <v>1.1599999999999999</v>
      </c>
    </row>
    <row r="27" spans="1:7">
      <c r="A27" s="1568" t="s">
        <v>542</v>
      </c>
      <c r="B27" s="1571" t="s">
        <v>543</v>
      </c>
      <c r="C27" s="1572" t="s">
        <v>537</v>
      </c>
      <c r="D27" s="583" t="s">
        <v>522</v>
      </c>
      <c r="E27" s="786" t="s">
        <v>718</v>
      </c>
      <c r="F27" s="787"/>
      <c r="G27" s="429">
        <v>0.95</v>
      </c>
    </row>
    <row r="28" spans="1:7">
      <c r="A28" s="1569"/>
      <c r="B28" s="1549"/>
      <c r="C28" s="1573"/>
      <c r="D28" s="113" t="s">
        <v>523</v>
      </c>
      <c r="E28" t="s">
        <v>719</v>
      </c>
      <c r="G28" s="774">
        <v>0.92</v>
      </c>
    </row>
    <row r="29" spans="1:7">
      <c r="A29" s="1569"/>
      <c r="B29" s="1549"/>
      <c r="C29" s="1550" t="s">
        <v>538</v>
      </c>
      <c r="D29" s="113" t="s">
        <v>522</v>
      </c>
      <c r="E29" t="s">
        <v>720</v>
      </c>
      <c r="G29" s="774">
        <v>0.95</v>
      </c>
    </row>
    <row r="30" spans="1:7">
      <c r="A30" s="1569"/>
      <c r="B30" s="1549"/>
      <c r="C30" s="1550"/>
      <c r="D30" s="113" t="s">
        <v>524</v>
      </c>
      <c r="E30" t="s">
        <v>721</v>
      </c>
      <c r="G30" s="774">
        <v>0.92</v>
      </c>
    </row>
    <row r="31" spans="1:7">
      <c r="A31" s="1569"/>
      <c r="B31" s="1549"/>
      <c r="C31" s="24" t="s">
        <v>521</v>
      </c>
      <c r="D31" s="113" t="s">
        <v>525</v>
      </c>
      <c r="E31" t="s">
        <v>722</v>
      </c>
      <c r="G31" s="774">
        <v>0.94</v>
      </c>
    </row>
    <row r="32" spans="1:7">
      <c r="A32" s="1569"/>
      <c r="B32" s="24" t="s">
        <v>544</v>
      </c>
      <c r="C32" s="27" t="s">
        <v>527</v>
      </c>
      <c r="D32" s="24" t="s">
        <v>528</v>
      </c>
      <c r="E32" t="s">
        <v>723</v>
      </c>
      <c r="G32" s="774">
        <v>1</v>
      </c>
    </row>
    <row r="33" spans="1:9">
      <c r="A33" s="1569"/>
      <c r="B33" s="1550" t="s">
        <v>545</v>
      </c>
      <c r="C33" s="1550" t="s">
        <v>532</v>
      </c>
      <c r="D33" s="24" t="s">
        <v>522</v>
      </c>
      <c r="E33" t="s">
        <v>724</v>
      </c>
      <c r="G33" s="774">
        <v>1.04</v>
      </c>
    </row>
    <row r="34" spans="1:9">
      <c r="A34" s="1569"/>
      <c r="B34" s="1550"/>
      <c r="C34" s="1550"/>
      <c r="D34" s="24" t="s">
        <v>531</v>
      </c>
      <c r="E34" t="s">
        <v>725</v>
      </c>
      <c r="G34" s="774">
        <v>1.1100000000000001</v>
      </c>
    </row>
    <row r="35" spans="1:9">
      <c r="A35" s="1569"/>
      <c r="B35" s="1550"/>
      <c r="C35" s="778" t="s">
        <v>533</v>
      </c>
      <c r="D35" s="87" t="s">
        <v>525</v>
      </c>
      <c r="E35" t="s">
        <v>726</v>
      </c>
      <c r="G35" s="774">
        <v>1.08</v>
      </c>
    </row>
    <row r="36" spans="1:9">
      <c r="A36" s="1569"/>
      <c r="B36" s="1550" t="s">
        <v>546</v>
      </c>
      <c r="C36" s="1548" t="s">
        <v>532</v>
      </c>
      <c r="D36" s="24" t="s">
        <v>522</v>
      </c>
      <c r="E36" t="s">
        <v>728</v>
      </c>
      <c r="G36" s="774">
        <v>1.37</v>
      </c>
    </row>
    <row r="37" spans="1:9">
      <c r="A37" s="1569"/>
      <c r="B37" s="1550"/>
      <c r="C37" s="1548"/>
      <c r="D37" s="24" t="s">
        <v>531</v>
      </c>
      <c r="E37" t="s">
        <v>727</v>
      </c>
      <c r="G37" s="774">
        <v>1.44</v>
      </c>
    </row>
    <row r="38" spans="1:9" ht="16.5" thickBot="1">
      <c r="A38" s="1570"/>
      <c r="B38" s="1544"/>
      <c r="C38" s="779" t="s">
        <v>533</v>
      </c>
      <c r="D38" s="422" t="s">
        <v>525</v>
      </c>
      <c r="E38" t="s">
        <v>729</v>
      </c>
      <c r="G38" s="780">
        <v>1.41</v>
      </c>
    </row>
    <row r="39" spans="1:9">
      <c r="E39" s="786"/>
      <c r="F39" s="787"/>
    </row>
    <row r="41" spans="1:9">
      <c r="B41" t="s">
        <v>548</v>
      </c>
      <c r="C41" t="s">
        <v>1880</v>
      </c>
    </row>
    <row r="42" spans="1:9">
      <c r="A42" s="1550" t="s">
        <v>551</v>
      </c>
      <c r="B42" s="1550"/>
      <c r="C42" s="1550"/>
      <c r="D42" s="1550"/>
      <c r="E42" s="1550"/>
      <c r="F42" s="1550"/>
      <c r="G42" s="1550"/>
    </row>
    <row r="43" spans="1:9" ht="16.5" thickBot="1">
      <c r="A43" s="125" t="s">
        <v>553</v>
      </c>
      <c r="B43" s="125" t="s">
        <v>554</v>
      </c>
      <c r="C43" s="125" t="s">
        <v>555</v>
      </c>
      <c r="E43" s="125" t="s">
        <v>556</v>
      </c>
      <c r="F43" s="12"/>
      <c r="H43" s="1553" t="s">
        <v>566</v>
      </c>
      <c r="I43" s="1553"/>
    </row>
    <row r="44" spans="1:9" ht="16.5" thickBot="1">
      <c r="A44" s="781" t="s">
        <v>552</v>
      </c>
      <c r="B44" s="782" t="s">
        <v>527</v>
      </c>
      <c r="C44" s="782" t="s">
        <v>527</v>
      </c>
      <c r="E44" s="783">
        <v>1</v>
      </c>
      <c r="F44" s="63"/>
      <c r="H44" s="1554" t="s">
        <v>1368</v>
      </c>
      <c r="I44" s="1555"/>
    </row>
    <row r="45" spans="1:9" ht="31.5">
      <c r="A45" s="1556" t="s">
        <v>562</v>
      </c>
      <c r="B45" s="421" t="s">
        <v>563</v>
      </c>
      <c r="C45" s="417" t="s">
        <v>527</v>
      </c>
      <c r="D45" t="s">
        <v>731</v>
      </c>
      <c r="E45" s="784">
        <v>1</v>
      </c>
      <c r="F45" s="63"/>
      <c r="H45" s="1542" t="s">
        <v>559</v>
      </c>
      <c r="I45" s="1543"/>
    </row>
    <row r="46" spans="1:9">
      <c r="A46" s="1557"/>
      <c r="B46" s="1550" t="s">
        <v>560</v>
      </c>
      <c r="C46" s="113" t="s">
        <v>537</v>
      </c>
      <c r="D46" t="s">
        <v>732</v>
      </c>
      <c r="E46" s="785">
        <v>0.95</v>
      </c>
      <c r="F46" s="63"/>
      <c r="H46" s="1550" t="s">
        <v>564</v>
      </c>
      <c r="I46" s="1559"/>
    </row>
    <row r="47" spans="1:9">
      <c r="A47" s="1557"/>
      <c r="B47" s="1550"/>
      <c r="C47" s="24" t="s">
        <v>538</v>
      </c>
      <c r="D47" t="s">
        <v>734</v>
      </c>
      <c r="E47" s="785">
        <v>0.97</v>
      </c>
      <c r="F47" s="63"/>
      <c r="H47" s="1550"/>
      <c r="I47" s="1559"/>
    </row>
    <row r="48" spans="1:9">
      <c r="A48" s="1557"/>
      <c r="B48" s="1550"/>
      <c r="C48" s="24" t="s">
        <v>521</v>
      </c>
      <c r="D48" t="s">
        <v>733</v>
      </c>
      <c r="E48" s="68">
        <v>0.96</v>
      </c>
      <c r="F48" s="63"/>
      <c r="H48" s="1550"/>
      <c r="I48" s="1559"/>
    </row>
    <row r="49" spans="1:9">
      <c r="A49" s="1557"/>
      <c r="B49" s="24" t="s">
        <v>561</v>
      </c>
      <c r="C49" s="27" t="s">
        <v>527</v>
      </c>
      <c r="D49" t="s">
        <v>735</v>
      </c>
      <c r="E49" s="68">
        <v>0.7</v>
      </c>
      <c r="F49" s="63"/>
      <c r="H49" s="1550" t="s">
        <v>565</v>
      </c>
      <c r="I49" s="1559"/>
    </row>
    <row r="50" spans="1:9">
      <c r="A50" s="1557"/>
      <c r="B50" s="1551" t="s">
        <v>567</v>
      </c>
      <c r="C50" s="27" t="s">
        <v>537</v>
      </c>
      <c r="D50" t="s">
        <v>736</v>
      </c>
      <c r="E50" s="27">
        <v>1.1399999999999999</v>
      </c>
      <c r="F50" s="12"/>
      <c r="H50" s="1562" t="s">
        <v>569</v>
      </c>
      <c r="I50" s="1563"/>
    </row>
    <row r="51" spans="1:9">
      <c r="A51" s="1557"/>
      <c r="B51" s="1560"/>
      <c r="C51" s="27" t="s">
        <v>568</v>
      </c>
      <c r="D51" t="s">
        <v>737</v>
      </c>
      <c r="E51" s="27">
        <v>1.17</v>
      </c>
      <c r="F51" s="12"/>
      <c r="H51" s="1564"/>
      <c r="I51" s="1565"/>
    </row>
    <row r="52" spans="1:9" ht="16.5" thickBot="1">
      <c r="A52" s="1558"/>
      <c r="B52" s="1561"/>
      <c r="C52" s="677" t="s">
        <v>533</v>
      </c>
      <c r="D52" t="s">
        <v>739</v>
      </c>
      <c r="E52" s="677">
        <v>1.1599999999999999</v>
      </c>
      <c r="F52" s="12"/>
      <c r="H52" s="1566"/>
      <c r="I52" s="1567"/>
    </row>
    <row r="53" spans="1:9">
      <c r="A53" s="1540" t="s">
        <v>570</v>
      </c>
      <c r="B53" s="417" t="s">
        <v>544</v>
      </c>
      <c r="C53" s="417" t="s">
        <v>527</v>
      </c>
      <c r="D53" t="s">
        <v>738</v>
      </c>
      <c r="E53" s="417">
        <v>1</v>
      </c>
      <c r="F53" s="12"/>
      <c r="H53" s="1542" t="s">
        <v>730</v>
      </c>
      <c r="I53" s="1543"/>
    </row>
    <row r="54" spans="1:9" ht="16.5" thickBot="1">
      <c r="A54" s="1541"/>
      <c r="B54" s="677" t="s">
        <v>571</v>
      </c>
      <c r="C54" s="677" t="s">
        <v>527</v>
      </c>
      <c r="D54" t="s">
        <v>571</v>
      </c>
      <c r="E54" s="677">
        <v>1.1100000000000001</v>
      </c>
      <c r="F54" s="12"/>
      <c r="H54" s="1544"/>
      <c r="I54" s="1545"/>
    </row>
    <row r="55" spans="1:9">
      <c r="D55" t="s">
        <v>740</v>
      </c>
      <c r="E55" s="790">
        <v>1</v>
      </c>
    </row>
    <row r="57" spans="1:9">
      <c r="A57" s="37" t="s">
        <v>615</v>
      </c>
    </row>
    <row r="58" spans="1:9">
      <c r="B58" t="s">
        <v>573</v>
      </c>
    </row>
    <row r="59" spans="1:9">
      <c r="A59" s="1546" t="s">
        <v>574</v>
      </c>
      <c r="B59" s="1547"/>
      <c r="C59" s="1547"/>
      <c r="D59" s="1547"/>
      <c r="E59" s="1548"/>
      <c r="F59" s="30"/>
    </row>
    <row r="60" spans="1:9">
      <c r="A60" s="27" t="s">
        <v>584</v>
      </c>
      <c r="B60" s="24" t="s">
        <v>554</v>
      </c>
      <c r="C60" s="27" t="s">
        <v>575</v>
      </c>
      <c r="D60" s="27" t="s">
        <v>576</v>
      </c>
      <c r="E60" s="27" t="s">
        <v>577</v>
      </c>
      <c r="F60" s="12"/>
    </row>
    <row r="61" spans="1:9">
      <c r="A61" s="1549" t="s">
        <v>578</v>
      </c>
      <c r="B61" s="1550" t="s">
        <v>579</v>
      </c>
      <c r="C61" s="27" t="s">
        <v>557</v>
      </c>
      <c r="D61" s="27">
        <v>1</v>
      </c>
      <c r="E61" s="1551" t="s">
        <v>582</v>
      </c>
      <c r="F61" s="30"/>
    </row>
    <row r="62" spans="1:9">
      <c r="A62" s="1549"/>
      <c r="B62" s="1550"/>
      <c r="C62" s="27" t="s">
        <v>568</v>
      </c>
      <c r="D62" s="27">
        <v>1</v>
      </c>
      <c r="E62" s="1552"/>
      <c r="F62" s="30"/>
    </row>
    <row r="63" spans="1:9" ht="31.5">
      <c r="A63" s="1549"/>
      <c r="B63" s="24" t="s">
        <v>580</v>
      </c>
      <c r="C63" s="27" t="s">
        <v>520</v>
      </c>
      <c r="D63" s="27">
        <v>0.64</v>
      </c>
      <c r="E63" s="1551" t="s">
        <v>583</v>
      </c>
      <c r="F63" s="30"/>
    </row>
    <row r="64" spans="1:9" ht="31.5">
      <c r="A64" s="1549"/>
      <c r="B64" s="24" t="s">
        <v>581</v>
      </c>
      <c r="C64" s="27" t="s">
        <v>520</v>
      </c>
      <c r="D64" s="27">
        <v>0.8</v>
      </c>
      <c r="E64" s="1552"/>
      <c r="F64" s="30"/>
    </row>
  </sheetData>
  <mergeCells count="38">
    <mergeCell ref="A4:E4"/>
    <mergeCell ref="A6:A15"/>
    <mergeCell ref="B6:B10"/>
    <mergeCell ref="C8:C9"/>
    <mergeCell ref="B13:B15"/>
    <mergeCell ref="C13:C14"/>
    <mergeCell ref="A16:A26"/>
    <mergeCell ref="B17:B21"/>
    <mergeCell ref="C17:C18"/>
    <mergeCell ref="C19:C20"/>
    <mergeCell ref="B22:B26"/>
    <mergeCell ref="C22:C23"/>
    <mergeCell ref="C24:C25"/>
    <mergeCell ref="A27:A38"/>
    <mergeCell ref="B27:B31"/>
    <mergeCell ref="C27:C28"/>
    <mergeCell ref="C29:C30"/>
    <mergeCell ref="B33:B35"/>
    <mergeCell ref="C33:C34"/>
    <mergeCell ref="B36:B38"/>
    <mergeCell ref="C36:C37"/>
    <mergeCell ref="A42:G42"/>
    <mergeCell ref="H43:I43"/>
    <mergeCell ref="H44:I44"/>
    <mergeCell ref="A45:A52"/>
    <mergeCell ref="H45:I45"/>
    <mergeCell ref="B46:B48"/>
    <mergeCell ref="H46:I48"/>
    <mergeCell ref="H49:I49"/>
    <mergeCell ref="B50:B52"/>
    <mergeCell ref="H50:I52"/>
    <mergeCell ref="A53:A54"/>
    <mergeCell ref="H53:I54"/>
    <mergeCell ref="A59:E59"/>
    <mergeCell ref="A61:A64"/>
    <mergeCell ref="B61:B62"/>
    <mergeCell ref="E61:E62"/>
    <mergeCell ref="E63:E64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0" tint="-0.499984740745262"/>
  </sheetPr>
  <dimension ref="A1:AW79"/>
  <sheetViews>
    <sheetView workbookViewId="0">
      <selection activeCell="G1" sqref="G1:G1048576"/>
    </sheetView>
  </sheetViews>
  <sheetFormatPr defaultColWidth="8.875" defaultRowHeight="15.75"/>
  <cols>
    <col min="1" max="1" width="39.875" bestFit="1" customWidth="1"/>
    <col min="2" max="2" width="15" customWidth="1"/>
    <col min="6" max="6" width="32.125" bestFit="1" customWidth="1"/>
  </cols>
  <sheetData>
    <row r="1" spans="1:49" s="11" customFormat="1" ht="24.75" customHeight="1">
      <c r="A1" s="265" t="s">
        <v>839</v>
      </c>
      <c r="B1" s="265"/>
      <c r="C1" s="265"/>
      <c r="D1" s="265"/>
      <c r="E1" s="265"/>
      <c r="F1" s="266"/>
      <c r="N1" s="262"/>
      <c r="R1" s="263"/>
      <c r="AA1" s="264"/>
    </row>
    <row r="2" spans="1:49" s="11" customFormat="1">
      <c r="A2" s="1582" t="s">
        <v>840</v>
      </c>
      <c r="B2" s="175" t="s">
        <v>578</v>
      </c>
      <c r="C2" s="175" t="s">
        <v>830</v>
      </c>
      <c r="D2" s="175" t="s">
        <v>838</v>
      </c>
      <c r="E2" s="175" t="s">
        <v>832</v>
      </c>
      <c r="F2" s="266" t="s">
        <v>963</v>
      </c>
      <c r="G2" s="175" t="s">
        <v>838</v>
      </c>
      <c r="N2" s="262"/>
      <c r="R2" s="263"/>
      <c r="AA2" s="264"/>
    </row>
    <row r="3" spans="1:49" s="11" customFormat="1">
      <c r="A3" s="1582"/>
      <c r="B3" s="174" t="s">
        <v>831</v>
      </c>
      <c r="C3" s="174" t="s">
        <v>829</v>
      </c>
      <c r="D3" s="174">
        <v>0.11</v>
      </c>
      <c r="E3" s="1475" t="s">
        <v>894</v>
      </c>
      <c r="F3" s="145" t="s">
        <v>964</v>
      </c>
      <c r="G3" s="145">
        <v>0.11</v>
      </c>
      <c r="H3" s="145"/>
      <c r="I3" s="145"/>
      <c r="N3" s="262"/>
      <c r="R3" s="263"/>
      <c r="AA3" s="264"/>
    </row>
    <row r="4" spans="1:49" s="11" customFormat="1">
      <c r="A4" s="1582"/>
      <c r="B4" s="174"/>
      <c r="C4" s="176" t="s">
        <v>834</v>
      </c>
      <c r="D4" s="174">
        <v>0.12</v>
      </c>
      <c r="E4" s="1479"/>
      <c r="F4" s="145" t="s">
        <v>965</v>
      </c>
      <c r="G4" s="145">
        <v>0.13</v>
      </c>
      <c r="H4" s="145"/>
      <c r="I4" s="145"/>
      <c r="N4" s="262"/>
      <c r="R4" s="263"/>
      <c r="AA4" s="264"/>
    </row>
    <row r="5" spans="1:49" s="145" customFormat="1">
      <c r="A5" s="1582"/>
      <c r="B5" s="174"/>
      <c r="C5" s="176" t="s">
        <v>835</v>
      </c>
      <c r="D5" s="174">
        <v>0.14000000000000001</v>
      </c>
      <c r="E5" s="1479"/>
      <c r="F5" s="145" t="s">
        <v>966</v>
      </c>
      <c r="G5" s="145">
        <v>0.22</v>
      </c>
      <c r="N5" s="227"/>
      <c r="R5" s="228"/>
      <c r="AA5" s="226"/>
    </row>
    <row r="6" spans="1:49" s="145" customFormat="1">
      <c r="A6" s="1582"/>
      <c r="B6" s="174"/>
      <c r="C6" s="176" t="s">
        <v>833</v>
      </c>
      <c r="D6" s="174">
        <v>0.22</v>
      </c>
      <c r="E6" s="1479"/>
      <c r="F6" s="145" t="s">
        <v>967</v>
      </c>
      <c r="G6" s="145">
        <f>(D7+D8)/2</f>
        <v>0.37</v>
      </c>
      <c r="I6" s="11"/>
      <c r="J6" s="11"/>
      <c r="K6" s="11"/>
      <c r="L6" s="11"/>
      <c r="M6" s="11"/>
      <c r="N6" s="262"/>
      <c r="O6" s="11"/>
      <c r="P6" s="11"/>
      <c r="Q6" s="11"/>
      <c r="R6" s="263"/>
      <c r="S6" s="11"/>
      <c r="T6" s="11"/>
      <c r="U6" s="11"/>
      <c r="V6" s="11"/>
      <c r="W6" s="11"/>
      <c r="X6" s="11"/>
      <c r="Y6" s="11"/>
      <c r="Z6" s="11"/>
      <c r="AA6" s="264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</row>
    <row r="7" spans="1:49" s="145" customFormat="1">
      <c r="A7" s="1582"/>
      <c r="B7" s="174"/>
      <c r="C7" s="176" t="s">
        <v>836</v>
      </c>
      <c r="D7" s="174">
        <v>0.31</v>
      </c>
      <c r="E7" s="1479"/>
      <c r="F7" s="176" t="s">
        <v>923</v>
      </c>
      <c r="G7" s="145">
        <v>1</v>
      </c>
      <c r="I7" s="11"/>
      <c r="J7" s="11"/>
      <c r="K7" s="11"/>
      <c r="L7" s="11"/>
      <c r="M7" s="11"/>
      <c r="N7" s="262"/>
      <c r="O7" s="11"/>
      <c r="P7" s="11"/>
      <c r="Q7" s="11"/>
      <c r="R7" s="263"/>
      <c r="S7" s="11"/>
      <c r="T7" s="11"/>
      <c r="U7" s="11"/>
      <c r="V7" s="11"/>
      <c r="W7" s="11"/>
      <c r="X7" s="11"/>
      <c r="Y7" s="11"/>
      <c r="Z7" s="11"/>
      <c r="AA7" s="264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</row>
    <row r="8" spans="1:49" s="145" customFormat="1">
      <c r="A8" s="1582"/>
      <c r="B8" s="174"/>
      <c r="C8" s="174" t="s">
        <v>837</v>
      </c>
      <c r="D8" s="174">
        <v>0.43</v>
      </c>
      <c r="E8" s="1479"/>
      <c r="I8" s="11"/>
      <c r="J8" s="11"/>
      <c r="K8" s="11"/>
      <c r="L8" s="11"/>
      <c r="M8" s="11"/>
      <c r="N8" s="262"/>
      <c r="O8" s="11"/>
      <c r="P8" s="11"/>
      <c r="Q8" s="11"/>
      <c r="R8" s="263"/>
      <c r="S8" s="11"/>
      <c r="T8" s="11"/>
      <c r="U8" s="11"/>
      <c r="V8" s="11"/>
      <c r="W8" s="11"/>
      <c r="X8" s="11"/>
      <c r="Y8" s="11"/>
      <c r="Z8" s="11"/>
      <c r="AA8" s="264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</row>
    <row r="9" spans="1:49" s="145" customFormat="1">
      <c r="A9" s="1582"/>
      <c r="B9" s="174" t="s">
        <v>853</v>
      </c>
      <c r="C9" s="176" t="s">
        <v>923</v>
      </c>
      <c r="D9" s="174">
        <v>1</v>
      </c>
      <c r="E9" s="1476"/>
      <c r="I9" s="11"/>
      <c r="J9" s="11"/>
      <c r="K9" s="11"/>
      <c r="L9" s="11"/>
      <c r="M9" s="11"/>
      <c r="N9" s="262"/>
      <c r="O9" s="11"/>
      <c r="P9" s="11"/>
      <c r="Q9" s="11"/>
      <c r="R9" s="263"/>
      <c r="S9" s="11"/>
      <c r="T9" s="11"/>
      <c r="U9" s="11"/>
      <c r="V9" s="11"/>
      <c r="W9" s="11"/>
      <c r="X9" s="11"/>
      <c r="Y9" s="11"/>
      <c r="Z9" s="11"/>
      <c r="AA9" s="264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</row>
    <row r="10" spans="1:49" s="145" customFormat="1">
      <c r="I10" s="11"/>
      <c r="J10" s="11"/>
      <c r="K10" s="11"/>
      <c r="L10" s="11"/>
      <c r="M10" s="11"/>
      <c r="N10" s="262"/>
      <c r="O10" s="11"/>
      <c r="P10" s="11"/>
      <c r="Q10" s="11"/>
      <c r="R10" s="263"/>
      <c r="S10" s="11"/>
      <c r="T10" s="11"/>
      <c r="U10" s="11"/>
      <c r="V10" s="11"/>
      <c r="W10" s="11"/>
      <c r="X10" s="11"/>
      <c r="Y10" s="11"/>
      <c r="Z10" s="11"/>
      <c r="AA10" s="264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</row>
    <row r="11" spans="1:49" s="145" customFormat="1">
      <c r="I11" s="11"/>
      <c r="J11" s="11"/>
      <c r="K11" s="11"/>
      <c r="L11" s="11"/>
      <c r="M11" s="11"/>
      <c r="N11" s="262"/>
      <c r="O11" s="11"/>
      <c r="P11" s="11"/>
      <c r="Q11" s="11"/>
      <c r="R11" s="263"/>
      <c r="S11" s="11"/>
      <c r="T11" s="11"/>
      <c r="U11" s="11"/>
      <c r="V11" s="11"/>
      <c r="W11" s="11"/>
      <c r="X11" s="11"/>
      <c r="Y11" s="11"/>
      <c r="Z11" s="11"/>
      <c r="AA11" s="264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</row>
    <row r="12" spans="1:49" s="145" customFormat="1">
      <c r="A12" s="1582" t="s">
        <v>852</v>
      </c>
      <c r="B12" s="175" t="s">
        <v>846</v>
      </c>
      <c r="C12" s="175" t="s">
        <v>841</v>
      </c>
      <c r="D12" s="175" t="s">
        <v>851</v>
      </c>
      <c r="E12" s="1583" t="s">
        <v>832</v>
      </c>
      <c r="F12" s="1583"/>
      <c r="N12" s="227"/>
      <c r="R12" s="228"/>
      <c r="AA12" s="226"/>
    </row>
    <row r="13" spans="1:49" s="145" customFormat="1" ht="15.75" customHeight="1">
      <c r="A13" s="1582"/>
      <c r="B13" s="174" t="s">
        <v>847</v>
      </c>
      <c r="C13" s="174" t="s">
        <v>842</v>
      </c>
      <c r="D13" s="174">
        <v>0.15</v>
      </c>
      <c r="E13" s="1478" t="s">
        <v>981</v>
      </c>
      <c r="F13" s="1478"/>
      <c r="N13" s="227"/>
      <c r="R13" s="228"/>
      <c r="AA13" s="226"/>
    </row>
    <row r="14" spans="1:49" s="145" customFormat="1">
      <c r="A14" s="1582"/>
      <c r="B14" s="174" t="s">
        <v>848</v>
      </c>
      <c r="C14" s="174" t="s">
        <v>843</v>
      </c>
      <c r="D14" s="174">
        <v>0.2</v>
      </c>
      <c r="E14" s="1478"/>
      <c r="F14" s="1478"/>
      <c r="N14" s="227"/>
      <c r="R14" s="228"/>
      <c r="AA14" s="226"/>
    </row>
    <row r="15" spans="1:49" s="145" customFormat="1">
      <c r="A15" s="1582"/>
      <c r="B15" s="174" t="s">
        <v>849</v>
      </c>
      <c r="C15" s="174" t="s">
        <v>844</v>
      </c>
      <c r="D15" s="174">
        <v>0.25</v>
      </c>
      <c r="E15" s="1478"/>
      <c r="F15" s="1478"/>
      <c r="N15" s="227"/>
      <c r="R15" s="228"/>
      <c r="AA15" s="226"/>
    </row>
    <row r="16" spans="1:49" s="145" customFormat="1">
      <c r="A16" s="1582"/>
      <c r="B16" s="174" t="s">
        <v>850</v>
      </c>
      <c r="C16" s="174" t="s">
        <v>845</v>
      </c>
      <c r="D16" s="174">
        <v>0.3</v>
      </c>
      <c r="E16" s="1478"/>
      <c r="F16" s="1478"/>
      <c r="N16" s="227"/>
      <c r="R16" s="228"/>
      <c r="AA16" s="226"/>
    </row>
    <row r="17" spans="1:27" s="145" customFormat="1">
      <c r="A17" s="1582"/>
      <c r="B17" s="174" t="s">
        <v>855</v>
      </c>
      <c r="C17" s="174" t="s">
        <v>842</v>
      </c>
      <c r="D17" s="174">
        <v>0.15</v>
      </c>
      <c r="E17" s="1478"/>
      <c r="F17" s="1478"/>
      <c r="N17" s="227"/>
      <c r="R17" s="228"/>
      <c r="AA17" s="226"/>
    </row>
    <row r="18" spans="1:27" s="145" customFormat="1">
      <c r="A18" s="1582"/>
      <c r="B18" s="174" t="s">
        <v>856</v>
      </c>
      <c r="C18" s="174" t="s">
        <v>843</v>
      </c>
      <c r="D18" s="174">
        <v>0.2</v>
      </c>
      <c r="E18" s="1478"/>
      <c r="F18" s="1478"/>
      <c r="N18" s="227"/>
      <c r="R18" s="228"/>
      <c r="AA18" s="226"/>
    </row>
    <row r="19" spans="1:27" s="145" customFormat="1">
      <c r="A19" s="1582"/>
      <c r="B19" s="174" t="s">
        <v>857</v>
      </c>
      <c r="C19" s="174" t="s">
        <v>844</v>
      </c>
      <c r="D19" s="174">
        <v>0.25</v>
      </c>
      <c r="E19" s="1478"/>
      <c r="F19" s="1478"/>
      <c r="N19" s="227"/>
      <c r="R19" s="228"/>
      <c r="AA19" s="226"/>
    </row>
    <row r="20" spans="1:27" s="145" customFormat="1">
      <c r="A20" s="1582"/>
      <c r="B20" s="174" t="s">
        <v>858</v>
      </c>
      <c r="C20" s="174" t="s">
        <v>845</v>
      </c>
      <c r="D20" s="174">
        <v>0.3</v>
      </c>
      <c r="E20" s="1478"/>
      <c r="F20" s="1478"/>
      <c r="N20" s="227"/>
      <c r="R20" s="228"/>
      <c r="AA20" s="226"/>
    </row>
    <row r="21" spans="1:27" s="145" customFormat="1">
      <c r="N21" s="227"/>
      <c r="R21" s="228"/>
      <c r="AA21" s="226"/>
    </row>
    <row r="22" spans="1:27" s="145" customFormat="1">
      <c r="A22" s="1579" t="s">
        <v>872</v>
      </c>
      <c r="B22" s="175" t="s">
        <v>859</v>
      </c>
      <c r="C22" s="175" t="s">
        <v>860</v>
      </c>
      <c r="D22" s="175" t="s">
        <v>832</v>
      </c>
      <c r="N22" s="227"/>
      <c r="R22" s="228"/>
      <c r="AA22" s="226"/>
    </row>
    <row r="23" spans="1:27" s="145" customFormat="1" ht="15.75" customHeight="1">
      <c r="A23" s="1580"/>
      <c r="B23" s="174" t="s">
        <v>861</v>
      </c>
      <c r="C23" s="174">
        <v>1E-3</v>
      </c>
      <c r="D23" s="1475" t="s">
        <v>981</v>
      </c>
      <c r="N23" s="227"/>
      <c r="R23" s="228"/>
      <c r="AA23" s="226"/>
    </row>
    <row r="24" spans="1:27" s="145" customFormat="1">
      <c r="A24" s="1580"/>
      <c r="B24" s="174" t="s">
        <v>862</v>
      </c>
      <c r="C24" s="174">
        <v>0.05</v>
      </c>
      <c r="D24" s="1479"/>
      <c r="N24" s="227"/>
      <c r="R24" s="228"/>
      <c r="AA24" s="226"/>
    </row>
    <row r="25" spans="1:27" s="145" customFormat="1">
      <c r="A25" s="1580"/>
      <c r="B25" s="174" t="s">
        <v>863</v>
      </c>
      <c r="C25" s="174">
        <v>0.05</v>
      </c>
      <c r="D25" s="1479"/>
      <c r="N25" s="227"/>
      <c r="R25" s="228"/>
      <c r="AA25" s="226"/>
    </row>
    <row r="26" spans="1:27" s="145" customFormat="1">
      <c r="A26" s="1580"/>
      <c r="B26" s="174" t="s">
        <v>864</v>
      </c>
      <c r="C26" s="174">
        <v>0.4</v>
      </c>
      <c r="D26" s="1479"/>
      <c r="N26" s="227"/>
      <c r="R26" s="228"/>
      <c r="AA26" s="226"/>
    </row>
    <row r="27" spans="1:27" s="145" customFormat="1">
      <c r="A27" s="1580"/>
      <c r="B27" s="174" t="s">
        <v>640</v>
      </c>
      <c r="C27" s="174">
        <v>0.1</v>
      </c>
      <c r="D27" s="1479"/>
      <c r="N27" s="227"/>
      <c r="R27" s="228"/>
      <c r="AA27" s="226"/>
    </row>
    <row r="28" spans="1:27" s="145" customFormat="1">
      <c r="A28" s="1580"/>
      <c r="B28" s="174" t="s">
        <v>375</v>
      </c>
      <c r="C28" s="174">
        <v>0.1</v>
      </c>
      <c r="D28" s="1479"/>
      <c r="N28" s="227"/>
      <c r="R28" s="228"/>
      <c r="AA28" s="226"/>
    </row>
    <row r="29" spans="1:27" s="145" customFormat="1">
      <c r="A29" s="1580"/>
      <c r="B29" s="174" t="s">
        <v>865</v>
      </c>
      <c r="C29" s="174">
        <v>0.15</v>
      </c>
      <c r="D29" s="1479"/>
      <c r="N29" s="227"/>
      <c r="R29" s="228"/>
      <c r="AA29" s="226"/>
    </row>
    <row r="30" spans="1:27" s="145" customFormat="1">
      <c r="A30" s="1580"/>
      <c r="B30" s="174" t="s">
        <v>866</v>
      </c>
      <c r="C30" s="174">
        <v>0.15</v>
      </c>
      <c r="D30" s="1479"/>
      <c r="N30" s="227"/>
      <c r="R30" s="228"/>
      <c r="AA30" s="226"/>
    </row>
    <row r="31" spans="1:27" s="145" customFormat="1">
      <c r="A31" s="1580"/>
      <c r="B31" s="174" t="s">
        <v>881</v>
      </c>
      <c r="C31" s="174">
        <v>0.01</v>
      </c>
      <c r="D31" s="1479"/>
      <c r="N31" s="227"/>
      <c r="R31" s="228"/>
      <c r="AA31" s="226"/>
    </row>
    <row r="32" spans="1:27" s="145" customFormat="1">
      <c r="A32" s="1580"/>
      <c r="B32" s="174" t="s">
        <v>867</v>
      </c>
      <c r="C32" s="174">
        <v>0.05</v>
      </c>
      <c r="D32" s="1479"/>
      <c r="N32" s="227"/>
      <c r="R32" s="228"/>
      <c r="AA32" s="226"/>
    </row>
    <row r="33" spans="1:27" s="145" customFormat="1">
      <c r="A33" s="1580"/>
      <c r="B33" s="174" t="s">
        <v>868</v>
      </c>
      <c r="C33" s="174">
        <v>0.05</v>
      </c>
      <c r="D33" s="1479"/>
      <c r="N33" s="227"/>
      <c r="R33" s="228"/>
      <c r="AA33" s="226"/>
    </row>
    <row r="34" spans="1:27" s="145" customFormat="1">
      <c r="A34" s="1580"/>
      <c r="B34" s="174" t="s">
        <v>869</v>
      </c>
      <c r="C34" s="174">
        <v>0.6</v>
      </c>
      <c r="D34" s="1479"/>
      <c r="N34" s="227"/>
      <c r="R34" s="228"/>
      <c r="AA34" s="226"/>
    </row>
    <row r="35" spans="1:27" s="145" customFormat="1">
      <c r="A35" s="1580"/>
      <c r="B35" s="174" t="s">
        <v>870</v>
      </c>
      <c r="C35" s="174">
        <v>0.25</v>
      </c>
      <c r="D35" s="1479"/>
      <c r="N35" s="227"/>
      <c r="R35" s="228"/>
      <c r="AA35" s="226"/>
    </row>
    <row r="36" spans="1:27" s="145" customFormat="1">
      <c r="A36" s="1581"/>
      <c r="B36" s="174" t="s">
        <v>871</v>
      </c>
      <c r="C36" s="174">
        <v>1</v>
      </c>
      <c r="D36" s="1476"/>
      <c r="N36" s="227"/>
      <c r="R36" s="228"/>
      <c r="AA36" s="226"/>
    </row>
    <row r="37" spans="1:27" s="145" customFormat="1">
      <c r="F37" s="11"/>
      <c r="G37" s="11"/>
      <c r="H37" s="11"/>
      <c r="I37" s="11"/>
      <c r="N37" s="227"/>
      <c r="R37" s="228"/>
      <c r="AA37" s="226"/>
    </row>
    <row r="38" spans="1:27" s="145" customFormat="1">
      <c r="A38" s="1582" t="s">
        <v>874</v>
      </c>
      <c r="B38" s="175" t="s">
        <v>873</v>
      </c>
      <c r="C38" s="175" t="s">
        <v>828</v>
      </c>
      <c r="D38" s="174" t="s">
        <v>875</v>
      </c>
      <c r="E38" s="267" t="s">
        <v>832</v>
      </c>
      <c r="F38" s="11"/>
      <c r="G38" s="11"/>
      <c r="H38" s="11"/>
      <c r="I38" s="11"/>
      <c r="N38" s="227"/>
      <c r="R38" s="228"/>
      <c r="AA38" s="226"/>
    </row>
    <row r="39" spans="1:27" s="145" customFormat="1" ht="15" customHeight="1">
      <c r="A39" s="1582"/>
      <c r="B39" s="174" t="s">
        <v>876</v>
      </c>
      <c r="C39" s="174">
        <v>25</v>
      </c>
      <c r="D39" s="174">
        <v>0.32</v>
      </c>
      <c r="E39" s="268" t="s">
        <v>895</v>
      </c>
      <c r="F39" s="11"/>
      <c r="G39" s="11"/>
      <c r="H39" s="11"/>
      <c r="I39" s="11"/>
      <c r="N39" s="227"/>
      <c r="R39" s="228"/>
      <c r="AA39" s="226"/>
    </row>
    <row r="40" spans="1:27" s="145" customFormat="1">
      <c r="A40" s="1582"/>
      <c r="B40" s="174" t="s">
        <v>877</v>
      </c>
      <c r="C40" s="174">
        <v>22</v>
      </c>
      <c r="D40" s="174">
        <v>0.3</v>
      </c>
      <c r="E40" s="268"/>
      <c r="F40" s="11"/>
      <c r="G40" s="11"/>
      <c r="H40" s="11"/>
      <c r="I40" s="11"/>
      <c r="N40" s="227"/>
      <c r="R40" s="228"/>
      <c r="AA40" s="226"/>
    </row>
    <row r="41" spans="1:27" s="145" customFormat="1">
      <c r="A41" s="1582"/>
      <c r="B41" s="174" t="s">
        <v>878</v>
      </c>
      <c r="C41" s="174">
        <v>15</v>
      </c>
      <c r="D41" s="174">
        <v>0.19</v>
      </c>
      <c r="E41" s="268"/>
      <c r="F41" s="11"/>
      <c r="G41" s="11"/>
      <c r="H41" s="11"/>
      <c r="I41" s="11"/>
      <c r="N41" s="227"/>
      <c r="R41" s="228"/>
      <c r="AA41" s="226"/>
    </row>
    <row r="42" spans="1:27" s="145" customFormat="1">
      <c r="F42" s="11"/>
      <c r="G42" s="11"/>
      <c r="H42" s="11"/>
      <c r="I42" s="11"/>
      <c r="N42" s="227"/>
      <c r="R42" s="228"/>
      <c r="AA42" s="226"/>
    </row>
    <row r="43" spans="1:27" s="145" customFormat="1" ht="47.25" customHeight="1">
      <c r="B43" s="174"/>
      <c r="C43" s="1578" t="s">
        <v>973</v>
      </c>
      <c r="D43" s="1578"/>
      <c r="E43" s="1578"/>
      <c r="F43" s="1578"/>
      <c r="G43" s="1578"/>
      <c r="H43" s="1578"/>
      <c r="N43" s="227"/>
      <c r="R43" s="228"/>
      <c r="AA43" s="226"/>
    </row>
    <row r="44" spans="1:27" s="269" customFormat="1" ht="16.5" thickBot="1">
      <c r="B44" s="270"/>
      <c r="C44" s="240">
        <v>1</v>
      </c>
      <c r="D44" s="240">
        <v>3</v>
      </c>
      <c r="E44" s="240">
        <v>5</v>
      </c>
      <c r="F44" s="240">
        <v>15</v>
      </c>
      <c r="G44" s="240">
        <v>30</v>
      </c>
      <c r="H44" s="240">
        <v>90</v>
      </c>
      <c r="I44" s="145"/>
      <c r="J44" s="145"/>
      <c r="K44" s="145"/>
      <c r="L44" s="145"/>
      <c r="M44" s="145"/>
      <c r="N44" s="145"/>
      <c r="O44" s="145"/>
      <c r="P44" s="145"/>
      <c r="Q44" s="145"/>
      <c r="R44" s="145"/>
      <c r="AA44" s="271"/>
    </row>
    <row r="45" spans="1:27" s="145" customFormat="1" ht="16.5" thickBot="1">
      <c r="B45" s="145" t="s">
        <v>964</v>
      </c>
      <c r="C45" s="241">
        <v>0.3</v>
      </c>
      <c r="D45" s="241">
        <v>0.3</v>
      </c>
      <c r="E45" s="241">
        <v>0.3</v>
      </c>
      <c r="F45" s="241">
        <v>0.49</v>
      </c>
      <c r="G45" s="241">
        <v>0.65</v>
      </c>
      <c r="H45" s="241">
        <v>1.01</v>
      </c>
      <c r="L45" s="272"/>
      <c r="AA45" s="226"/>
    </row>
    <row r="46" spans="1:27" s="145" customFormat="1">
      <c r="B46" s="145" t="s">
        <v>965</v>
      </c>
      <c r="C46" s="241">
        <v>0.52</v>
      </c>
      <c r="D46" s="241">
        <v>0.85</v>
      </c>
      <c r="E46" s="241">
        <v>1.06</v>
      </c>
      <c r="F46" s="241">
        <v>2.2200000000000002</v>
      </c>
      <c r="G46" s="241">
        <v>3.4</v>
      </c>
      <c r="H46" s="241">
        <v>6.68</v>
      </c>
      <c r="AA46" s="226"/>
    </row>
    <row r="47" spans="1:27" s="145" customFormat="1">
      <c r="B47" s="145" t="s">
        <v>966</v>
      </c>
      <c r="C47" s="241">
        <v>0.59</v>
      </c>
      <c r="D47" s="241">
        <v>1.1299999999999999</v>
      </c>
      <c r="E47" s="241">
        <v>1.53</v>
      </c>
      <c r="F47" s="241">
        <v>3.39</v>
      </c>
      <c r="G47" s="241">
        <v>5.34</v>
      </c>
      <c r="H47" s="241">
        <v>11.01</v>
      </c>
      <c r="AA47" s="226"/>
    </row>
    <row r="48" spans="1:27" s="145" customFormat="1">
      <c r="B48" s="145" t="s">
        <v>967</v>
      </c>
      <c r="C48" s="241">
        <v>0.65</v>
      </c>
      <c r="D48" s="241">
        <v>1.38</v>
      </c>
      <c r="E48" s="241">
        <v>1.95</v>
      </c>
      <c r="F48" s="241">
        <v>4.45</v>
      </c>
      <c r="G48" s="241">
        <v>7.14</v>
      </c>
      <c r="H48" s="241">
        <v>15.14</v>
      </c>
      <c r="AA48" s="226"/>
    </row>
    <row r="49" spans="2:27" s="145" customFormat="1">
      <c r="N49" s="227"/>
      <c r="R49" s="228"/>
      <c r="AA49" s="226"/>
    </row>
    <row r="50" spans="2:27" s="145" customFormat="1">
      <c r="N50" s="227"/>
      <c r="R50" s="228"/>
      <c r="AA50" s="226"/>
    </row>
    <row r="51" spans="2:27" s="145" customFormat="1">
      <c r="N51" s="227"/>
      <c r="R51" s="228"/>
      <c r="AA51" s="226"/>
    </row>
    <row r="52" spans="2:27" s="145" customFormat="1">
      <c r="N52" s="227"/>
      <c r="R52" s="228"/>
      <c r="AA52" s="226"/>
    </row>
    <row r="53" spans="2:27" s="145" customFormat="1">
      <c r="N53" s="227"/>
      <c r="R53" s="228"/>
      <c r="AA53" s="226"/>
    </row>
    <row r="54" spans="2:27" s="145" customFormat="1">
      <c r="B54" s="1577" t="s">
        <v>969</v>
      </c>
      <c r="C54" s="1577"/>
      <c r="D54" s="1577"/>
      <c r="E54" s="1577"/>
      <c r="F54" s="1577"/>
      <c r="G54" s="1577"/>
      <c r="H54" s="1577"/>
      <c r="I54" s="1577"/>
      <c r="J54" s="1577"/>
      <c r="K54" s="1577"/>
      <c r="L54" s="1577"/>
      <c r="M54" s="1577"/>
      <c r="N54" s="1577"/>
      <c r="O54" s="1577"/>
      <c r="P54" s="1577"/>
      <c r="Q54" s="1577"/>
      <c r="R54" s="1577"/>
      <c r="S54" s="1577"/>
      <c r="AA54" s="226"/>
    </row>
    <row r="55" spans="2:27" s="145" customFormat="1">
      <c r="B55" s="273"/>
      <c r="C55" s="273"/>
      <c r="D55" s="273"/>
      <c r="E55" s="273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273"/>
      <c r="R55" s="273"/>
      <c r="S55" s="273"/>
      <c r="AA55" s="226"/>
    </row>
    <row r="56" spans="2:27" s="145" customFormat="1">
      <c r="B56" s="274"/>
      <c r="C56" s="274"/>
      <c r="D56" s="274"/>
      <c r="E56" s="274"/>
      <c r="F56" s="274"/>
      <c r="G56" s="274"/>
      <c r="H56" s="274"/>
      <c r="I56" s="274"/>
      <c r="J56" s="274"/>
      <c r="K56" s="274"/>
      <c r="L56" s="274"/>
      <c r="M56" s="274"/>
      <c r="N56" s="274"/>
      <c r="O56" s="274"/>
      <c r="P56" s="274"/>
      <c r="Q56" s="274"/>
      <c r="R56" s="274"/>
      <c r="S56" s="274"/>
      <c r="AA56" s="226"/>
    </row>
    <row r="57" spans="2:27" s="228" customFormat="1">
      <c r="B57" s="275" t="s">
        <v>972</v>
      </c>
      <c r="C57" s="276" t="s">
        <v>970</v>
      </c>
      <c r="D57" s="276">
        <v>6</v>
      </c>
      <c r="E57" s="276">
        <v>9</v>
      </c>
      <c r="F57" s="276">
        <v>12</v>
      </c>
      <c r="G57" s="276">
        <v>15</v>
      </c>
      <c r="H57" s="276">
        <v>25</v>
      </c>
      <c r="I57" s="276">
        <v>50</v>
      </c>
      <c r="J57" s="276">
        <v>75</v>
      </c>
      <c r="K57" s="276">
        <v>100</v>
      </c>
      <c r="L57" s="276">
        <v>150</v>
      </c>
      <c r="M57" s="276">
        <v>200</v>
      </c>
      <c r="N57" s="276">
        <v>250</v>
      </c>
      <c r="O57" s="276">
        <v>300</v>
      </c>
      <c r="P57" s="276">
        <v>400</v>
      </c>
      <c r="Q57" s="276">
        <v>600</v>
      </c>
      <c r="R57" s="276">
        <v>800</v>
      </c>
      <c r="S57" s="277">
        <v>1000</v>
      </c>
      <c r="AA57" s="226"/>
    </row>
    <row r="58" spans="2:27" s="269" customFormat="1">
      <c r="B58" s="278" t="s">
        <v>971</v>
      </c>
      <c r="C58" s="278">
        <f>3*0.3048</f>
        <v>0.9144000000000001</v>
      </c>
      <c r="D58" s="278">
        <f t="shared" ref="D58:S58" si="0">D57*0.3048</f>
        <v>1.8288000000000002</v>
      </c>
      <c r="E58" s="278">
        <f t="shared" si="0"/>
        <v>2.7432000000000003</v>
      </c>
      <c r="F58" s="278">
        <f t="shared" si="0"/>
        <v>3.6576000000000004</v>
      </c>
      <c r="G58" s="278">
        <f t="shared" si="0"/>
        <v>4.5720000000000001</v>
      </c>
      <c r="H58" s="278">
        <f t="shared" si="0"/>
        <v>7.62</v>
      </c>
      <c r="I58" s="278">
        <f t="shared" si="0"/>
        <v>15.24</v>
      </c>
      <c r="J58" s="278">
        <f t="shared" si="0"/>
        <v>22.86</v>
      </c>
      <c r="K58" s="278">
        <f t="shared" si="0"/>
        <v>30.48</v>
      </c>
      <c r="L58" s="278">
        <f t="shared" si="0"/>
        <v>45.72</v>
      </c>
      <c r="M58" s="278">
        <f t="shared" si="0"/>
        <v>60.96</v>
      </c>
      <c r="N58" s="278">
        <f t="shared" si="0"/>
        <v>76.2</v>
      </c>
      <c r="O58" s="278">
        <f t="shared" si="0"/>
        <v>91.44</v>
      </c>
      <c r="P58" s="278">
        <f t="shared" si="0"/>
        <v>121.92</v>
      </c>
      <c r="Q58" s="278">
        <f t="shared" si="0"/>
        <v>182.88</v>
      </c>
      <c r="R58" s="278">
        <f t="shared" si="0"/>
        <v>243.84</v>
      </c>
      <c r="S58" s="278">
        <f t="shared" si="0"/>
        <v>304.8</v>
      </c>
      <c r="AA58" s="271"/>
    </row>
    <row r="59" spans="2:27" s="145" customFormat="1">
      <c r="B59" s="279" t="s">
        <v>357</v>
      </c>
      <c r="C59" s="280"/>
      <c r="D59" s="280"/>
      <c r="E59" s="280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280"/>
      <c r="AA59" s="226"/>
    </row>
    <row r="60" spans="2:27" s="145" customFormat="1">
      <c r="B60" s="276">
        <v>0.2</v>
      </c>
      <c r="C60" s="281">
        <v>0.05</v>
      </c>
      <c r="D60" s="281">
        <v>0.05</v>
      </c>
      <c r="E60" s="281">
        <v>0.05</v>
      </c>
      <c r="F60" s="281">
        <v>0.05</v>
      </c>
      <c r="G60" s="281">
        <v>0.05</v>
      </c>
      <c r="H60" s="281">
        <v>0.05</v>
      </c>
      <c r="I60" s="281">
        <v>0.05</v>
      </c>
      <c r="J60" s="281">
        <v>0.05</v>
      </c>
      <c r="K60" s="281">
        <v>0.05</v>
      </c>
      <c r="L60" s="281">
        <v>0.05</v>
      </c>
      <c r="M60" s="281">
        <v>0.05</v>
      </c>
      <c r="N60" s="281">
        <v>0.05</v>
      </c>
      <c r="O60" s="281">
        <v>0.05</v>
      </c>
      <c r="P60" s="281">
        <v>0.05</v>
      </c>
      <c r="Q60" s="281">
        <v>0.06</v>
      </c>
      <c r="R60" s="281">
        <v>0.06</v>
      </c>
      <c r="S60" s="281">
        <v>0.06</v>
      </c>
      <c r="AA60" s="226"/>
    </row>
    <row r="61" spans="2:27" s="145" customFormat="1">
      <c r="B61" s="276">
        <v>0.5</v>
      </c>
      <c r="C61" s="281">
        <v>7.0000000000000007E-2</v>
      </c>
      <c r="D61" s="281">
        <v>7.0000000000000007E-2</v>
      </c>
      <c r="E61" s="281">
        <v>7.0000000000000007E-2</v>
      </c>
      <c r="F61" s="281">
        <v>7.0000000000000007E-2</v>
      </c>
      <c r="G61" s="281">
        <v>7.0000000000000007E-2</v>
      </c>
      <c r="H61" s="281">
        <v>0.08</v>
      </c>
      <c r="I61" s="281">
        <v>0.08</v>
      </c>
      <c r="J61" s="281">
        <v>0.08</v>
      </c>
      <c r="K61" s="281">
        <v>0.09</v>
      </c>
      <c r="L61" s="281">
        <v>0.09</v>
      </c>
      <c r="M61" s="281">
        <v>0.09</v>
      </c>
      <c r="N61" s="281">
        <v>0.09</v>
      </c>
      <c r="O61" s="281">
        <v>0.09</v>
      </c>
      <c r="P61" s="281">
        <v>0.1</v>
      </c>
      <c r="Q61" s="281">
        <v>0.1</v>
      </c>
      <c r="R61" s="281">
        <v>0.1</v>
      </c>
      <c r="S61" s="281">
        <v>0.1</v>
      </c>
      <c r="AA61" s="226"/>
    </row>
    <row r="62" spans="2:27" s="145" customFormat="1">
      <c r="B62" s="276">
        <v>1</v>
      </c>
      <c r="C62" s="281">
        <v>0.11</v>
      </c>
      <c r="D62" s="281">
        <v>0.11</v>
      </c>
      <c r="E62" s="281">
        <v>0.11</v>
      </c>
      <c r="F62" s="281">
        <v>0.11</v>
      </c>
      <c r="G62" s="281">
        <v>0.11</v>
      </c>
      <c r="H62" s="281">
        <v>0.12</v>
      </c>
      <c r="I62" s="281">
        <v>0.13</v>
      </c>
      <c r="J62" s="281">
        <v>0.14000000000000001</v>
      </c>
      <c r="K62" s="281">
        <v>0.14000000000000001</v>
      </c>
      <c r="L62" s="281">
        <v>0.15</v>
      </c>
      <c r="M62" s="281">
        <v>0.16</v>
      </c>
      <c r="N62" s="281">
        <v>0.17</v>
      </c>
      <c r="O62" s="281">
        <v>0.17</v>
      </c>
      <c r="P62" s="281">
        <v>0.18</v>
      </c>
      <c r="Q62" s="281">
        <v>0.19</v>
      </c>
      <c r="R62" s="281">
        <v>0.2</v>
      </c>
      <c r="S62" s="281">
        <v>0.2</v>
      </c>
      <c r="AA62" s="226"/>
    </row>
    <row r="63" spans="2:27" s="145" customFormat="1">
      <c r="B63" s="276">
        <v>2</v>
      </c>
      <c r="C63" s="281">
        <v>0.17</v>
      </c>
      <c r="D63" s="281">
        <v>0.17</v>
      </c>
      <c r="E63" s="281">
        <v>0.17</v>
      </c>
      <c r="F63" s="281">
        <v>0.17</v>
      </c>
      <c r="G63" s="281">
        <v>0.17</v>
      </c>
      <c r="H63" s="281">
        <v>0.19</v>
      </c>
      <c r="I63" s="281">
        <v>0.22</v>
      </c>
      <c r="J63" s="281">
        <v>0.25</v>
      </c>
      <c r="K63" s="281">
        <v>0.27</v>
      </c>
      <c r="L63" s="281">
        <v>0.28999999999999998</v>
      </c>
      <c r="M63" s="281">
        <v>0.31</v>
      </c>
      <c r="N63" s="281">
        <v>0.33</v>
      </c>
      <c r="O63" s="281">
        <v>0.35</v>
      </c>
      <c r="P63" s="281">
        <v>0.37</v>
      </c>
      <c r="Q63" s="281">
        <v>0.41</v>
      </c>
      <c r="R63" s="281">
        <v>0.44</v>
      </c>
      <c r="S63" s="281">
        <v>0.47</v>
      </c>
      <c r="AA63" s="226"/>
    </row>
    <row r="64" spans="2:27" s="145" customFormat="1">
      <c r="B64" s="276">
        <v>3</v>
      </c>
      <c r="C64" s="281">
        <v>0.22</v>
      </c>
      <c r="D64" s="281">
        <v>0.22</v>
      </c>
      <c r="E64" s="281">
        <v>0.22</v>
      </c>
      <c r="F64" s="281">
        <v>0.22</v>
      </c>
      <c r="G64" s="281">
        <v>0.22</v>
      </c>
      <c r="H64" s="281">
        <v>0.25</v>
      </c>
      <c r="I64" s="281">
        <v>0.32</v>
      </c>
      <c r="J64" s="281">
        <v>0.36</v>
      </c>
      <c r="K64" s="281">
        <v>0.39</v>
      </c>
      <c r="L64" s="281">
        <v>0.44</v>
      </c>
      <c r="M64" s="281">
        <v>0.48</v>
      </c>
      <c r="N64" s="281">
        <v>0.52</v>
      </c>
      <c r="O64" s="281">
        <v>0.55000000000000004</v>
      </c>
      <c r="P64" s="281">
        <v>0.6</v>
      </c>
      <c r="Q64" s="281">
        <v>0.68</v>
      </c>
      <c r="R64" s="281">
        <v>0.75</v>
      </c>
      <c r="S64" s="281">
        <v>0.8</v>
      </c>
      <c r="AA64" s="226"/>
    </row>
    <row r="65" spans="2:27" s="145" customFormat="1">
      <c r="B65" s="276">
        <v>4</v>
      </c>
      <c r="C65" s="281">
        <v>0.26</v>
      </c>
      <c r="D65" s="281">
        <v>0.26</v>
      </c>
      <c r="E65" s="281">
        <v>0.26</v>
      </c>
      <c r="F65" s="281">
        <v>0.26</v>
      </c>
      <c r="G65" s="281">
        <v>0.26</v>
      </c>
      <c r="H65" s="281">
        <v>0.31</v>
      </c>
      <c r="I65" s="281">
        <v>0.4</v>
      </c>
      <c r="J65" s="281">
        <v>0.47</v>
      </c>
      <c r="K65" s="281">
        <v>0.52</v>
      </c>
      <c r="L65" s="281">
        <v>0.6</v>
      </c>
      <c r="M65" s="281">
        <v>0.67</v>
      </c>
      <c r="N65" s="281">
        <v>0.72</v>
      </c>
      <c r="O65" s="281">
        <v>0.77</v>
      </c>
      <c r="P65" s="281">
        <v>0.86</v>
      </c>
      <c r="Q65" s="281">
        <v>0.99</v>
      </c>
      <c r="R65" s="281">
        <v>1.1000000000000001</v>
      </c>
      <c r="S65" s="281">
        <v>1.19</v>
      </c>
      <c r="AA65" s="226"/>
    </row>
    <row r="66" spans="2:27" s="145" customFormat="1">
      <c r="B66" s="276">
        <v>5</v>
      </c>
      <c r="C66" s="281">
        <v>0.3</v>
      </c>
      <c r="D66" s="281">
        <v>0.3</v>
      </c>
      <c r="E66" s="281">
        <v>0.3</v>
      </c>
      <c r="F66" s="281">
        <v>0.3</v>
      </c>
      <c r="G66" s="281">
        <v>0.3</v>
      </c>
      <c r="H66" s="281">
        <v>0.37</v>
      </c>
      <c r="I66" s="281">
        <v>0.49</v>
      </c>
      <c r="J66" s="281">
        <v>0.57999999999999996</v>
      </c>
      <c r="K66" s="281">
        <v>0.65</v>
      </c>
      <c r="L66" s="281">
        <v>0.76</v>
      </c>
      <c r="M66" s="281">
        <v>0.85</v>
      </c>
      <c r="N66" s="281">
        <v>0.93</v>
      </c>
      <c r="O66" s="281">
        <v>1.01</v>
      </c>
      <c r="P66" s="281">
        <v>1.1299999999999999</v>
      </c>
      <c r="Q66" s="281">
        <v>1.33</v>
      </c>
      <c r="R66" s="281">
        <v>1.49</v>
      </c>
      <c r="S66" s="281">
        <v>1.63</v>
      </c>
      <c r="AA66" s="226"/>
    </row>
    <row r="67" spans="2:27" s="145" customFormat="1">
      <c r="B67" s="276">
        <v>6</v>
      </c>
      <c r="C67" s="281">
        <v>0.34</v>
      </c>
      <c r="D67" s="281">
        <v>0.34</v>
      </c>
      <c r="E67" s="281">
        <v>0.34</v>
      </c>
      <c r="F67" s="281">
        <v>0.34</v>
      </c>
      <c r="G67" s="281">
        <v>0.34</v>
      </c>
      <c r="H67" s="281">
        <v>0.43</v>
      </c>
      <c r="I67" s="281">
        <v>0.57999999999999996</v>
      </c>
      <c r="J67" s="281">
        <v>0.69</v>
      </c>
      <c r="K67" s="281">
        <v>0.78</v>
      </c>
      <c r="L67" s="281">
        <v>0.93</v>
      </c>
      <c r="M67" s="281">
        <v>1.05</v>
      </c>
      <c r="N67" s="281">
        <v>1.1599999999999999</v>
      </c>
      <c r="O67" s="281">
        <v>1.25</v>
      </c>
      <c r="P67" s="281">
        <v>1.42</v>
      </c>
      <c r="Q67" s="281">
        <v>1.69</v>
      </c>
      <c r="R67" s="281">
        <v>1.91</v>
      </c>
      <c r="S67" s="281">
        <v>2.11</v>
      </c>
      <c r="AA67" s="226"/>
    </row>
    <row r="68" spans="2:27" s="145" customFormat="1">
      <c r="B68" s="276">
        <v>8</v>
      </c>
      <c r="C68" s="281">
        <v>0.42</v>
      </c>
      <c r="D68" s="281">
        <v>0.42</v>
      </c>
      <c r="E68" s="281">
        <v>0.42</v>
      </c>
      <c r="F68" s="281">
        <v>0.42</v>
      </c>
      <c r="G68" s="281">
        <v>0.42</v>
      </c>
      <c r="H68" s="281">
        <v>0.53</v>
      </c>
      <c r="I68" s="281">
        <v>0.74</v>
      </c>
      <c r="J68" s="281">
        <v>0.91</v>
      </c>
      <c r="K68" s="281">
        <v>1.04</v>
      </c>
      <c r="L68" s="281">
        <v>1.26</v>
      </c>
      <c r="M68" s="281">
        <v>1.45</v>
      </c>
      <c r="N68" s="281">
        <v>1.62</v>
      </c>
      <c r="O68" s="281">
        <v>1.77</v>
      </c>
      <c r="P68" s="281">
        <v>2.0299999999999998</v>
      </c>
      <c r="Q68" s="281">
        <v>2.4700000000000002</v>
      </c>
      <c r="R68" s="281">
        <v>2.83</v>
      </c>
      <c r="S68" s="281">
        <v>3.15</v>
      </c>
      <c r="AA68" s="226"/>
    </row>
    <row r="69" spans="2:27" s="145" customFormat="1">
      <c r="B69" s="276">
        <v>10</v>
      </c>
      <c r="C69" s="281">
        <v>0.46</v>
      </c>
      <c r="D69" s="281">
        <v>0.48</v>
      </c>
      <c r="E69" s="281">
        <v>0.5</v>
      </c>
      <c r="F69" s="281">
        <v>0.51</v>
      </c>
      <c r="G69" s="281">
        <v>0.52</v>
      </c>
      <c r="H69" s="281">
        <v>0.67</v>
      </c>
      <c r="I69" s="281">
        <v>0.97</v>
      </c>
      <c r="J69" s="281">
        <v>1.19</v>
      </c>
      <c r="K69" s="281">
        <v>1.38</v>
      </c>
      <c r="L69" s="281">
        <v>1.71</v>
      </c>
      <c r="M69" s="281">
        <v>1.98</v>
      </c>
      <c r="N69" s="281">
        <v>2.2200000000000002</v>
      </c>
      <c r="O69" s="281">
        <v>2.44</v>
      </c>
      <c r="P69" s="281">
        <v>2.84</v>
      </c>
      <c r="Q69" s="281">
        <v>3.5</v>
      </c>
      <c r="R69" s="281">
        <v>4.0599999999999996</v>
      </c>
      <c r="S69" s="281">
        <v>4.5599999999999996</v>
      </c>
      <c r="AA69" s="226"/>
    </row>
    <row r="70" spans="2:27" s="145" customFormat="1">
      <c r="B70" s="276">
        <v>12</v>
      </c>
      <c r="C70" s="281">
        <v>0.47</v>
      </c>
      <c r="D70" s="281">
        <v>0.53</v>
      </c>
      <c r="E70" s="281">
        <v>0.57999999999999996</v>
      </c>
      <c r="F70" s="281">
        <v>0.61</v>
      </c>
      <c r="G70" s="281">
        <v>0.64</v>
      </c>
      <c r="H70" s="281">
        <v>0.84</v>
      </c>
      <c r="I70" s="281">
        <v>1.23</v>
      </c>
      <c r="J70" s="281">
        <v>1.53</v>
      </c>
      <c r="K70" s="281">
        <v>1.79</v>
      </c>
      <c r="L70" s="281">
        <v>2.23</v>
      </c>
      <c r="M70" s="281">
        <v>2.61</v>
      </c>
      <c r="N70" s="281">
        <v>2.95</v>
      </c>
      <c r="O70" s="281">
        <v>3.26</v>
      </c>
      <c r="P70" s="281">
        <v>3.81</v>
      </c>
      <c r="Q70" s="281">
        <v>4.75</v>
      </c>
      <c r="R70" s="281">
        <v>5.56</v>
      </c>
      <c r="S70" s="281">
        <v>6.28</v>
      </c>
      <c r="AA70" s="226"/>
    </row>
    <row r="71" spans="2:27" s="145" customFormat="1">
      <c r="B71" s="276">
        <v>14</v>
      </c>
      <c r="C71" s="281">
        <v>0.48</v>
      </c>
      <c r="D71" s="281">
        <v>0.57999999999999996</v>
      </c>
      <c r="E71" s="281">
        <v>0.65</v>
      </c>
      <c r="F71" s="281">
        <v>0.7</v>
      </c>
      <c r="G71" s="281">
        <v>0.75</v>
      </c>
      <c r="H71" s="281">
        <v>1</v>
      </c>
      <c r="I71" s="281">
        <v>1.48</v>
      </c>
      <c r="J71" s="281">
        <v>1.86</v>
      </c>
      <c r="K71" s="281">
        <v>2.19</v>
      </c>
      <c r="L71" s="281">
        <v>2.76</v>
      </c>
      <c r="M71" s="281">
        <v>3.25</v>
      </c>
      <c r="N71" s="281">
        <v>3.69</v>
      </c>
      <c r="O71" s="281">
        <v>4.09</v>
      </c>
      <c r="P71" s="281">
        <v>4.82</v>
      </c>
      <c r="Q71" s="281">
        <v>6.07</v>
      </c>
      <c r="R71" s="281">
        <v>7.15</v>
      </c>
      <c r="S71" s="281">
        <v>8.11</v>
      </c>
      <c r="AA71" s="226"/>
    </row>
    <row r="72" spans="2:27" s="145" customFormat="1">
      <c r="B72" s="276">
        <v>16</v>
      </c>
      <c r="C72" s="281">
        <v>0.49</v>
      </c>
      <c r="D72" s="281">
        <v>0.63</v>
      </c>
      <c r="E72" s="281">
        <v>0.72</v>
      </c>
      <c r="F72" s="281">
        <v>0.79</v>
      </c>
      <c r="G72" s="281">
        <v>0.85</v>
      </c>
      <c r="H72" s="281">
        <v>1.1499999999999999</v>
      </c>
      <c r="I72" s="281">
        <v>1.73</v>
      </c>
      <c r="J72" s="281">
        <v>2.2000000000000002</v>
      </c>
      <c r="K72" s="281">
        <v>2.6</v>
      </c>
      <c r="L72" s="281">
        <v>3.3</v>
      </c>
      <c r="M72" s="281">
        <v>3.9</v>
      </c>
      <c r="N72" s="281">
        <v>4.45</v>
      </c>
      <c r="O72" s="281">
        <v>4.95</v>
      </c>
      <c r="P72" s="281">
        <v>5.86</v>
      </c>
      <c r="Q72" s="281">
        <v>7.43</v>
      </c>
      <c r="R72" s="281">
        <v>8.7899999999999991</v>
      </c>
      <c r="S72" s="281">
        <v>10.02</v>
      </c>
      <c r="AA72" s="226"/>
    </row>
    <row r="73" spans="2:27" s="145" customFormat="1">
      <c r="B73" s="276">
        <v>20</v>
      </c>
      <c r="C73" s="281">
        <v>0.52</v>
      </c>
      <c r="D73" s="281">
        <v>0.71</v>
      </c>
      <c r="E73" s="281">
        <v>0.85</v>
      </c>
      <c r="F73" s="281">
        <v>0.96</v>
      </c>
      <c r="G73" s="281">
        <v>1.06</v>
      </c>
      <c r="H73" s="281">
        <v>1.45</v>
      </c>
      <c r="I73" s="281">
        <v>2.2200000000000002</v>
      </c>
      <c r="J73" s="281">
        <v>2.85</v>
      </c>
      <c r="K73" s="281">
        <v>3.4</v>
      </c>
      <c r="L73" s="281">
        <v>4.3600000000000003</v>
      </c>
      <c r="M73" s="281">
        <v>5.21</v>
      </c>
      <c r="N73" s="281">
        <v>5.97</v>
      </c>
      <c r="O73" s="281">
        <v>6.68</v>
      </c>
      <c r="P73" s="281">
        <v>7.97</v>
      </c>
      <c r="Q73" s="281">
        <v>10.23</v>
      </c>
      <c r="R73" s="281">
        <v>12.2</v>
      </c>
      <c r="S73" s="281">
        <v>13.99</v>
      </c>
      <c r="AA73" s="226"/>
    </row>
    <row r="74" spans="2:27" s="145" customFormat="1">
      <c r="B74" s="276">
        <v>25</v>
      </c>
      <c r="C74" s="281">
        <v>0.56000000000000005</v>
      </c>
      <c r="D74" s="281">
        <v>0.8</v>
      </c>
      <c r="E74" s="281">
        <v>1</v>
      </c>
      <c r="F74" s="281">
        <v>1.1599999999999999</v>
      </c>
      <c r="G74" s="281">
        <v>1.3</v>
      </c>
      <c r="H74" s="281">
        <v>1.81</v>
      </c>
      <c r="I74" s="281">
        <v>2.82</v>
      </c>
      <c r="J74" s="281">
        <v>3.65</v>
      </c>
      <c r="K74" s="281">
        <v>4.3899999999999997</v>
      </c>
      <c r="L74" s="281">
        <v>5.69</v>
      </c>
      <c r="M74" s="281">
        <v>6.83</v>
      </c>
      <c r="N74" s="281">
        <v>7.88</v>
      </c>
      <c r="O74" s="281">
        <v>8.86</v>
      </c>
      <c r="P74" s="281">
        <v>10.65</v>
      </c>
      <c r="Q74" s="281">
        <v>13.8</v>
      </c>
      <c r="R74" s="281">
        <v>16.579999999999998</v>
      </c>
      <c r="S74" s="281">
        <v>19.13</v>
      </c>
      <c r="AA74" s="226"/>
    </row>
    <row r="75" spans="2:27" s="145" customFormat="1">
      <c r="B75" s="276">
        <v>30</v>
      </c>
      <c r="C75" s="281">
        <v>0.59</v>
      </c>
      <c r="D75" s="281">
        <v>0.89</v>
      </c>
      <c r="E75" s="281">
        <v>1.1299999999999999</v>
      </c>
      <c r="F75" s="281">
        <v>1.34</v>
      </c>
      <c r="G75" s="281">
        <v>1.53</v>
      </c>
      <c r="H75" s="281">
        <v>2.15</v>
      </c>
      <c r="I75" s="281">
        <v>3.39</v>
      </c>
      <c r="J75" s="281">
        <v>4.42</v>
      </c>
      <c r="K75" s="281">
        <v>5.34</v>
      </c>
      <c r="L75" s="281">
        <v>6.98</v>
      </c>
      <c r="M75" s="281">
        <v>8.43</v>
      </c>
      <c r="N75" s="281">
        <v>9.76</v>
      </c>
      <c r="O75" s="281">
        <v>11.01</v>
      </c>
      <c r="P75" s="281">
        <v>13.3</v>
      </c>
      <c r="Q75" s="281">
        <v>17.37</v>
      </c>
      <c r="R75" s="281">
        <v>20.99</v>
      </c>
      <c r="S75" s="281">
        <v>24.31</v>
      </c>
      <c r="AA75" s="226"/>
    </row>
    <row r="76" spans="2:27" s="145" customFormat="1">
      <c r="B76" s="276">
        <v>40</v>
      </c>
      <c r="C76" s="281">
        <v>0.65</v>
      </c>
      <c r="D76" s="281">
        <v>1.05</v>
      </c>
      <c r="E76" s="281">
        <v>1.38</v>
      </c>
      <c r="F76" s="281">
        <v>1.68</v>
      </c>
      <c r="G76" s="281">
        <v>1.95</v>
      </c>
      <c r="H76" s="281">
        <v>2.77</v>
      </c>
      <c r="I76" s="281">
        <v>4.45</v>
      </c>
      <c r="J76" s="281">
        <v>5.87</v>
      </c>
      <c r="K76" s="281">
        <v>7.14</v>
      </c>
      <c r="L76" s="281">
        <v>9.43</v>
      </c>
      <c r="M76" s="281">
        <v>11.47</v>
      </c>
      <c r="N76" s="281">
        <v>13.37</v>
      </c>
      <c r="O76" s="281">
        <v>15.14</v>
      </c>
      <c r="P76" s="281">
        <v>18.43</v>
      </c>
      <c r="Q76" s="281">
        <v>24.32</v>
      </c>
      <c r="R76" s="281">
        <v>29.6</v>
      </c>
      <c r="S76" s="281">
        <v>34.479999999999997</v>
      </c>
      <c r="AA76" s="226"/>
    </row>
    <row r="77" spans="2:27" s="145" customFormat="1">
      <c r="B77" s="276">
        <v>50</v>
      </c>
      <c r="C77" s="281">
        <v>0.71</v>
      </c>
      <c r="D77" s="281">
        <v>1.18</v>
      </c>
      <c r="E77" s="281">
        <v>1.59</v>
      </c>
      <c r="F77" s="281">
        <v>1.97</v>
      </c>
      <c r="G77" s="281">
        <v>2.3199999999999998</v>
      </c>
      <c r="H77" s="281">
        <v>3.32</v>
      </c>
      <c r="I77" s="281">
        <v>5.4</v>
      </c>
      <c r="J77" s="281">
        <v>7.17</v>
      </c>
      <c r="K77" s="281">
        <v>8.7799999999999994</v>
      </c>
      <c r="L77" s="281">
        <v>11.66</v>
      </c>
      <c r="M77" s="281">
        <v>14.26</v>
      </c>
      <c r="N77" s="281">
        <v>16.670000000000002</v>
      </c>
      <c r="O77" s="281">
        <v>18.940000000000001</v>
      </c>
      <c r="P77" s="281">
        <v>23.17</v>
      </c>
      <c r="Q77" s="281">
        <v>30.78</v>
      </c>
      <c r="R77" s="281">
        <v>37.65</v>
      </c>
      <c r="S77" s="281">
        <v>44.02</v>
      </c>
      <c r="AA77" s="226"/>
    </row>
    <row r="78" spans="2:27" s="145" customFormat="1">
      <c r="B78" s="279">
        <v>60</v>
      </c>
      <c r="C78" s="282">
        <v>0.76</v>
      </c>
      <c r="D78" s="282">
        <v>1.3</v>
      </c>
      <c r="E78" s="282">
        <v>1.78</v>
      </c>
      <c r="F78" s="282">
        <v>2.23</v>
      </c>
      <c r="G78" s="282">
        <v>2.65</v>
      </c>
      <c r="H78" s="282">
        <v>3.81</v>
      </c>
      <c r="I78" s="282">
        <v>6.24</v>
      </c>
      <c r="J78" s="282">
        <v>8.33</v>
      </c>
      <c r="K78" s="282">
        <v>10.23</v>
      </c>
      <c r="L78" s="282">
        <v>13.65</v>
      </c>
      <c r="M78" s="282">
        <v>16.760000000000002</v>
      </c>
      <c r="N78" s="282">
        <v>19.64</v>
      </c>
      <c r="O78" s="282">
        <v>22.36</v>
      </c>
      <c r="P78" s="282">
        <v>27.45</v>
      </c>
      <c r="Q78" s="282">
        <v>36.630000000000003</v>
      </c>
      <c r="R78" s="282">
        <v>44.96</v>
      </c>
      <c r="S78" s="282">
        <v>52.7</v>
      </c>
      <c r="AA78" s="226"/>
    </row>
    <row r="79" spans="2:27" s="145" customFormat="1">
      <c r="N79" s="227"/>
      <c r="R79" s="228"/>
      <c r="AA79" s="226"/>
    </row>
  </sheetData>
  <sheetProtection selectLockedCells="1" selectUnlockedCells="1"/>
  <mergeCells count="10">
    <mergeCell ref="B54:S54"/>
    <mergeCell ref="C43:H43"/>
    <mergeCell ref="A22:A36"/>
    <mergeCell ref="A38:A41"/>
    <mergeCell ref="A2:A9"/>
    <mergeCell ref="E3:E9"/>
    <mergeCell ref="A12:A20"/>
    <mergeCell ref="D23:D36"/>
    <mergeCell ref="E13:F20"/>
    <mergeCell ref="E12:F12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00B050"/>
  </sheetPr>
  <dimension ref="A1:AL291"/>
  <sheetViews>
    <sheetView topLeftCell="O154" zoomScale="70" zoomScaleNormal="70" workbookViewId="0">
      <selection activeCell="U171" sqref="U171"/>
    </sheetView>
  </sheetViews>
  <sheetFormatPr defaultColWidth="11" defaultRowHeight="15.75"/>
  <cols>
    <col min="1" max="1" width="24.125" style="1325" customWidth="1"/>
    <col min="2" max="2" width="25.375" style="1325" customWidth="1"/>
    <col min="3" max="3" width="22.625" style="1325" customWidth="1"/>
    <col min="4" max="4" width="22" style="1325" bestFit="1" customWidth="1"/>
    <col min="5" max="5" width="23.125" style="1325" customWidth="1"/>
    <col min="6" max="6" width="19.75" style="1325" customWidth="1"/>
    <col min="7" max="7" width="23" style="1325" customWidth="1"/>
    <col min="8" max="8" width="23.5" style="1325" customWidth="1"/>
    <col min="9" max="9" width="21.875" style="1325" customWidth="1"/>
    <col min="10" max="10" width="21.125" style="1325" customWidth="1"/>
    <col min="11" max="11" width="20.625" style="1325" customWidth="1"/>
    <col min="12" max="12" width="14.25" style="1325" customWidth="1"/>
    <col min="13" max="13" width="15.5" style="1325" bestFit="1" customWidth="1"/>
    <col min="14" max="14" width="14.125" style="1325" customWidth="1"/>
    <col min="15" max="15" width="11" style="1325"/>
    <col min="16" max="16" width="17.875" style="1325" bestFit="1" customWidth="1"/>
    <col min="17" max="21" width="11" style="1325"/>
    <col min="22" max="22" width="15" style="562" customWidth="1"/>
    <col min="23" max="16384" width="11" style="1325"/>
  </cols>
  <sheetData>
    <row r="1" spans="1:38">
      <c r="A1" s="145"/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558"/>
      <c r="W1" s="145"/>
      <c r="X1" s="145"/>
      <c r="Y1" s="145"/>
      <c r="Z1" s="145"/>
      <c r="AA1" s="145"/>
      <c r="AB1" s="145"/>
      <c r="AC1" s="145"/>
      <c r="AD1" s="145"/>
      <c r="AE1" s="145"/>
      <c r="AF1" s="145"/>
      <c r="AG1" s="145"/>
      <c r="AH1" s="145"/>
      <c r="AI1" s="145"/>
      <c r="AJ1" s="145"/>
      <c r="AK1" s="145"/>
      <c r="AL1" s="145"/>
    </row>
    <row r="2" spans="1:38" ht="16.5" thickBot="1">
      <c r="A2" s="360" t="s">
        <v>1104</v>
      </c>
      <c r="B2" s="360"/>
      <c r="C2" s="360"/>
      <c r="D2" s="360"/>
      <c r="E2" s="360"/>
      <c r="F2" s="360"/>
      <c r="G2" s="360"/>
      <c r="H2" s="360"/>
      <c r="I2" s="360"/>
      <c r="J2" s="360"/>
      <c r="K2" s="360"/>
      <c r="L2" s="360"/>
      <c r="M2" s="360"/>
      <c r="N2" s="360"/>
      <c r="O2" s="360"/>
      <c r="P2" s="360"/>
      <c r="Q2" s="360"/>
      <c r="R2" s="360"/>
      <c r="S2" s="360"/>
      <c r="T2" s="360"/>
      <c r="U2" s="360"/>
      <c r="V2" s="558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</row>
    <row r="3" spans="1:38" s="154" customFormat="1" ht="63.75" thickBot="1">
      <c r="A3" s="504"/>
      <c r="B3" s="505"/>
      <c r="C3" s="505"/>
      <c r="D3" s="505"/>
      <c r="E3" s="505"/>
      <c r="F3" s="506" t="s">
        <v>1848</v>
      </c>
      <c r="G3" s="507">
        <f>INPUTS!D10/365</f>
        <v>0.60821917808219184</v>
      </c>
      <c r="H3" s="508"/>
      <c r="I3" s="505"/>
      <c r="J3" s="505"/>
      <c r="K3" s="505"/>
      <c r="L3" s="509"/>
      <c r="M3" s="505"/>
      <c r="N3" s="510"/>
      <c r="O3" s="506" t="s">
        <v>1849</v>
      </c>
      <c r="P3" s="507">
        <f>INPUTS!D11/365</f>
        <v>0.39178082191780822</v>
      </c>
      <c r="Q3" s="505"/>
      <c r="R3" s="505"/>
      <c r="S3" s="505"/>
      <c r="T3" s="505"/>
      <c r="U3" s="1310"/>
      <c r="V3" s="560"/>
      <c r="X3" s="506" t="s">
        <v>1850</v>
      </c>
      <c r="Y3" s="507">
        <f>INPUTS!D12/365</f>
        <v>0</v>
      </c>
    </row>
    <row r="4" spans="1:38" s="145" customFormat="1" ht="16.5" thickBot="1">
      <c r="H4" s="227"/>
      <c r="L4" s="228"/>
      <c r="U4" s="226"/>
      <c r="V4" s="558"/>
    </row>
    <row r="5" spans="1:38" s="145" customFormat="1" ht="32.25" thickBot="1">
      <c r="B5" s="260"/>
      <c r="C5" s="260"/>
      <c r="D5" s="260"/>
      <c r="E5" s="361" t="s">
        <v>1813</v>
      </c>
      <c r="F5" s="362"/>
      <c r="G5" s="362"/>
      <c r="H5" s="362"/>
      <c r="I5" s="362"/>
      <c r="J5" s="362"/>
      <c r="K5" s="362"/>
      <c r="L5" s="363"/>
      <c r="M5" s="371"/>
      <c r="N5" s="362" t="s">
        <v>815</v>
      </c>
      <c r="O5" s="362"/>
      <c r="P5" s="362"/>
      <c r="Q5" s="362"/>
      <c r="R5" s="362"/>
      <c r="S5" s="362"/>
      <c r="T5" s="362"/>
      <c r="U5" s="363"/>
      <c r="V5" s="371"/>
      <c r="W5" s="362" t="s">
        <v>1812</v>
      </c>
      <c r="X5" s="362"/>
      <c r="Y5" s="362"/>
      <c r="Z5" s="362"/>
      <c r="AA5" s="362"/>
      <c r="AB5" s="362"/>
      <c r="AC5" s="362"/>
      <c r="AD5" s="363"/>
      <c r="AE5" s="565" t="s">
        <v>1814</v>
      </c>
    </row>
    <row r="6" spans="1:38" s="145" customFormat="1" ht="78.75">
      <c r="B6" s="492"/>
      <c r="C6" s="513"/>
      <c r="D6" s="493"/>
      <c r="E6" s="736" t="str">
        <f>INPUTS!B56</f>
        <v>Concentrate (commercial)</v>
      </c>
      <c r="F6" s="903" t="str">
        <f>INPUTS!B57</f>
        <v xml:space="preserve">Naturally occuring pasture - green fodder </v>
      </c>
      <c r="G6" s="903" t="str">
        <f>INPUTS!B58</f>
        <v>Maize (Zea mays) - stover</v>
      </c>
      <c r="H6" s="1329" t="str">
        <f>INPUTS!B59</f>
        <v>N/A</v>
      </c>
      <c r="I6" s="903" t="str">
        <f>INPUTS!B60</f>
        <v>N/A</v>
      </c>
      <c r="J6" s="903" t="str">
        <f>INPUTS!B61</f>
        <v>N/A</v>
      </c>
      <c r="K6" s="903" t="str">
        <f>INPUTS!B62</f>
        <v>N/A</v>
      </c>
      <c r="L6" s="609" t="s">
        <v>810</v>
      </c>
      <c r="M6" s="366"/>
      <c r="N6" s="903" t="str">
        <f>E6</f>
        <v>Concentrate (commercial)</v>
      </c>
      <c r="O6" s="903" t="str">
        <f t="shared" ref="O6:T6" si="0">F6</f>
        <v xml:space="preserve">Naturally occuring pasture - green fodder </v>
      </c>
      <c r="P6" s="903" t="str">
        <f t="shared" si="0"/>
        <v>Maize (Zea mays) - stover</v>
      </c>
      <c r="Q6" s="903" t="str">
        <f t="shared" si="0"/>
        <v>N/A</v>
      </c>
      <c r="R6" s="903" t="str">
        <f t="shared" si="0"/>
        <v>N/A</v>
      </c>
      <c r="S6" s="903" t="str">
        <f t="shared" si="0"/>
        <v>N/A</v>
      </c>
      <c r="T6" s="903" t="str">
        <f t="shared" si="0"/>
        <v>N/A</v>
      </c>
      <c r="U6" s="372" t="s">
        <v>810</v>
      </c>
      <c r="V6" s="366"/>
      <c r="W6" s="903" t="str">
        <f>N6</f>
        <v>Concentrate (commercial)</v>
      </c>
      <c r="X6" s="903" t="str">
        <f t="shared" ref="X6:AC6" si="1">O6</f>
        <v xml:space="preserve">Naturally occuring pasture - green fodder </v>
      </c>
      <c r="Y6" s="903" t="str">
        <f t="shared" si="1"/>
        <v>Maize (Zea mays) - stover</v>
      </c>
      <c r="Z6" s="903" t="str">
        <f t="shared" si="1"/>
        <v>N/A</v>
      </c>
      <c r="AA6" s="903" t="str">
        <f t="shared" si="1"/>
        <v>N/A</v>
      </c>
      <c r="AB6" s="903" t="str">
        <f t="shared" si="1"/>
        <v>N/A</v>
      </c>
      <c r="AC6" s="903" t="str">
        <f t="shared" si="1"/>
        <v>N/A</v>
      </c>
      <c r="AD6" s="372" t="s">
        <v>810</v>
      </c>
      <c r="AE6" s="558"/>
    </row>
    <row r="7" spans="1:38" s="291" customFormat="1" ht="32.25" customHeight="1">
      <c r="B7" s="494" t="str">
        <f>INPUTS!C17</f>
        <v>Cows (improved)</v>
      </c>
      <c r="C7" s="514"/>
      <c r="D7" s="495" t="s">
        <v>1164</v>
      </c>
      <c r="E7" s="364">
        <f>INPUTS!C56</f>
        <v>0.05</v>
      </c>
      <c r="F7" s="292">
        <f>INPUTS!C57</f>
        <v>0.52</v>
      </c>
      <c r="G7" s="292">
        <f>INPUTS!C58</f>
        <v>0.43</v>
      </c>
      <c r="H7" s="292">
        <f>INPUTS!C59</f>
        <v>0</v>
      </c>
      <c r="I7" s="292">
        <f>INPUTS!C60</f>
        <v>0</v>
      </c>
      <c r="J7" s="292">
        <f>INPUTS!C61</f>
        <v>0</v>
      </c>
      <c r="K7" s="292">
        <f>INPUTS!C62</f>
        <v>0</v>
      </c>
      <c r="L7" s="365"/>
      <c r="M7" s="556" t="s">
        <v>1164</v>
      </c>
      <c r="N7" s="292">
        <f>INPUTS!C67</f>
        <v>0.05</v>
      </c>
      <c r="O7" s="292">
        <f>INPUTS!C68</f>
        <v>0.52</v>
      </c>
      <c r="P7" s="292">
        <f>INPUTS!C69</f>
        <v>0.43</v>
      </c>
      <c r="Q7" s="292">
        <f>INPUTS!C70</f>
        <v>0</v>
      </c>
      <c r="R7" s="292">
        <f>INPUTS!C71</f>
        <v>0</v>
      </c>
      <c r="S7" s="292">
        <f>INPUTS!C72</f>
        <v>0</v>
      </c>
      <c r="T7" s="292">
        <f>INPUTS!C73</f>
        <v>0</v>
      </c>
      <c r="U7" s="373"/>
      <c r="V7" s="556" t="s">
        <v>1164</v>
      </c>
      <c r="W7" s="292">
        <f>INPUTS!C78</f>
        <v>0</v>
      </c>
      <c r="X7" s="292">
        <f>INPUTS!C79</f>
        <v>0</v>
      </c>
      <c r="Y7" s="292">
        <f>INPUTS!C80</f>
        <v>0</v>
      </c>
      <c r="Z7" s="292">
        <f>INPUTS!C81</f>
        <v>0</v>
      </c>
      <c r="AA7" s="292">
        <f>INPUTS!C82</f>
        <v>0</v>
      </c>
      <c r="AB7" s="292">
        <f>INPUTS!C83</f>
        <v>0</v>
      </c>
      <c r="AC7" s="292">
        <f>INPUTS!C84</f>
        <v>0</v>
      </c>
      <c r="AD7" s="373"/>
      <c r="AE7" s="561"/>
    </row>
    <row r="8" spans="1:38" s="477" customFormat="1">
      <c r="B8" s="496"/>
      <c r="C8" s="515"/>
      <c r="D8" s="497" t="s">
        <v>811</v>
      </c>
      <c r="E8" s="376">
        <f>VLOOKUP(E6,'Feed parameters'!$A$2:$M$114,6, FALSE)</f>
        <v>14.4</v>
      </c>
      <c r="F8" s="1120">
        <f>VLOOKUP(F6,'Feed parameters'!$A$2:$M$114,6, FALSE)</f>
        <v>2.17875</v>
      </c>
      <c r="G8" s="483">
        <f>VLOOKUP(G6,'Feed parameters'!$A$2:$M$114,6, FALSE)</f>
        <v>3.3930000000000002</v>
      </c>
      <c r="H8" s="483">
        <f>VLOOKUP(H6,'Feed parameters'!$A$2:$M$114,6, FALSE)</f>
        <v>0</v>
      </c>
      <c r="I8" s="483">
        <f>VLOOKUP(I6,'Feed parameters'!$A$2:$M$114,6, FALSE)</f>
        <v>0</v>
      </c>
      <c r="J8" s="483">
        <f>VLOOKUP(J6,'Feed parameters'!$A$2:$M$114,6, FALSE)</f>
        <v>0</v>
      </c>
      <c r="K8" s="483">
        <f>VLOOKUP(K6,'Feed parameters'!$A$2:$M$114,6, FALSE)</f>
        <v>0</v>
      </c>
      <c r="L8" s="484">
        <f>IFERROR(SUMPRODUCT(E7:K7,E8:K8)/ SUM(E7:K7), 0)</f>
        <v>3.3119400000000003</v>
      </c>
      <c r="M8" s="376" t="s">
        <v>811</v>
      </c>
      <c r="N8" s="712">
        <f>VLOOKUP(N6,'Feed parameters'!$A$2:$M$114,6, FALSE)</f>
        <v>14.4</v>
      </c>
      <c r="O8" s="712">
        <f>VLOOKUP(O6,'Feed parameters'!$A$2:$M$114,6, FALSE)</f>
        <v>2.17875</v>
      </c>
      <c r="P8" s="712">
        <f>VLOOKUP(P6,'Feed parameters'!$A$2:$M$114,6, FALSE)</f>
        <v>3.3930000000000002</v>
      </c>
      <c r="Q8" s="712">
        <f>VLOOKUP(Q6,'Feed parameters'!$A$2:$M$114,6, FALSE)</f>
        <v>0</v>
      </c>
      <c r="R8" s="712">
        <f>VLOOKUP(R6,'Feed parameters'!$A$2:$M$114,6, FALSE)</f>
        <v>0</v>
      </c>
      <c r="S8" s="712">
        <f>VLOOKUP(S6,'Feed parameters'!$A$2:$M$114,6, FALSE)</f>
        <v>0</v>
      </c>
      <c r="T8" s="712">
        <f>VLOOKUP(T6,'Feed parameters'!$A$2:$M$114,6, FALSE)</f>
        <v>0</v>
      </c>
      <c r="U8" s="485">
        <f>IFERROR(SUMPRODUCT(N7:T7,N8:T8)/ SUM(N7:T7), 0)</f>
        <v>3.3119400000000003</v>
      </c>
      <c r="V8" s="376" t="s">
        <v>811</v>
      </c>
      <c r="W8" s="712">
        <f>VLOOKUP(W6,'Feed parameters'!$A$2:$M$114,6, FALSE)</f>
        <v>14.4</v>
      </c>
      <c r="X8" s="712">
        <f>VLOOKUP(X6,'Feed parameters'!$A$2:$M$114,6, FALSE)</f>
        <v>2.17875</v>
      </c>
      <c r="Y8" s="712">
        <f>VLOOKUP(Y6,'Feed parameters'!$A$2:$M$114,6, FALSE)</f>
        <v>3.3930000000000002</v>
      </c>
      <c r="Z8" s="712">
        <f>VLOOKUP(Z6,'Feed parameters'!$A$2:$M$114,6, FALSE)</f>
        <v>0</v>
      </c>
      <c r="AA8" s="712">
        <f>VLOOKUP(AA6,'Feed parameters'!$A$2:$M$114,6, FALSE)</f>
        <v>0</v>
      </c>
      <c r="AB8" s="712">
        <f>VLOOKUP(AB6,'Feed parameters'!$A$2:$M$114,6, FALSE)</f>
        <v>0</v>
      </c>
      <c r="AC8" s="712">
        <f>VLOOKUP(AC6,'Feed parameters'!$A$2:$M$114,6, FALSE)</f>
        <v>0</v>
      </c>
      <c r="AD8" s="485">
        <f>IFERROR(SUMPRODUCT(W7:AC7,W8:AC8)/ SUM(W7:AC7), 0)</f>
        <v>0</v>
      </c>
      <c r="AE8" s="564">
        <f>L8*$G$3+U8*$P$3+AD8*$Y$3</f>
        <v>3.3119400000000008</v>
      </c>
      <c r="AF8" s="478">
        <f>IFERROR(L8*$G$3/(L11*0.01),0)+IFERROR(U8*$P$3/(U11*0.01),0)+IFERROR(AD8*$Y$3/(AD11*0.01),0)</f>
        <v>5.8087905149431753</v>
      </c>
    </row>
    <row r="9" spans="1:38" s="145" customFormat="1">
      <c r="B9" s="496"/>
      <c r="C9" s="515"/>
      <c r="D9" s="497" t="s">
        <v>812</v>
      </c>
      <c r="E9" s="366">
        <f>VLOOKUP(E6,'Feed parameters'!$A$2:$M$114,7, FALSE)</f>
        <v>0.79859999999999998</v>
      </c>
      <c r="F9" s="1121">
        <f>VLOOKUP(F6,'Feed parameters'!$A$2:$M$114,7, FALSE)</f>
        <v>0.43229999999999996</v>
      </c>
      <c r="G9" s="261">
        <f>VLOOKUP(G6,'Feed parameters'!$A$2:$M$114,7, FALSE)</f>
        <v>0.45539999999999997</v>
      </c>
      <c r="H9" s="261">
        <f>VLOOKUP(H6,'Feed parameters'!$A$2:$M$114,7, FALSE)</f>
        <v>0</v>
      </c>
      <c r="I9" s="261">
        <f>VLOOKUP(I6,'Feed parameters'!$A$2:$M$114,7, FALSE)</f>
        <v>0</v>
      </c>
      <c r="J9" s="261">
        <f>VLOOKUP(J6,'Feed parameters'!$A$2:$M$114,7, FALSE)</f>
        <v>0</v>
      </c>
      <c r="K9" s="261">
        <f>VLOOKUP(K6,'Feed parameters'!$A$2:$M$114,7, FALSE)</f>
        <v>0</v>
      </c>
      <c r="L9" s="367">
        <f>IFERROR(SUMPRODUCT(E7:K7,E9:K9)/ SUM(E7:K7), 0)</f>
        <v>0.46054800000000001</v>
      </c>
      <c r="M9" s="376" t="s">
        <v>812</v>
      </c>
      <c r="N9" s="712">
        <f>VLOOKUP(N6,'Feed parameters'!$A$2:$M$114,7, FALSE)</f>
        <v>0.79859999999999998</v>
      </c>
      <c r="O9" s="712">
        <f>VLOOKUP(O6,'Feed parameters'!$A$2:$M$114,7, FALSE)</f>
        <v>0.43229999999999996</v>
      </c>
      <c r="P9" s="712">
        <f>VLOOKUP(P6,'Feed parameters'!$A$2:$M$114,7, FALSE)</f>
        <v>0.45539999999999997</v>
      </c>
      <c r="Q9" s="712">
        <f>VLOOKUP(Q6,'Feed parameters'!$A$2:$M$114,7, FALSE)</f>
        <v>0</v>
      </c>
      <c r="R9" s="712">
        <f>VLOOKUP(R6,'Feed parameters'!$A$2:$M$114,7, FALSE)</f>
        <v>0</v>
      </c>
      <c r="S9" s="712">
        <f>VLOOKUP(S6,'Feed parameters'!$A$2:$M$114,7, FALSE)</f>
        <v>0</v>
      </c>
      <c r="T9" s="712">
        <f>VLOOKUP(T6,'Feed parameters'!$A$2:$M$114,7, FALSE)</f>
        <v>0</v>
      </c>
      <c r="U9" s="374">
        <f>IFERROR(SUMPRODUCT(N7:T7,N9:T9)/ SUM(N7:T7), 0)</f>
        <v>0.46054800000000001</v>
      </c>
      <c r="V9" s="376" t="s">
        <v>812</v>
      </c>
      <c r="W9" s="712">
        <f>VLOOKUP(W6,'Feed parameters'!$A$2:$M$114,7, FALSE)</f>
        <v>0.79859999999999998</v>
      </c>
      <c r="X9" s="712">
        <f>VLOOKUP(X6,'Feed parameters'!$A$2:$M$114,7, FALSE)</f>
        <v>0.43229999999999996</v>
      </c>
      <c r="Y9" s="712">
        <f>VLOOKUP(Y6,'Feed parameters'!$A$2:$M$114,7, FALSE)</f>
        <v>0.45539999999999997</v>
      </c>
      <c r="Z9" s="712">
        <f>VLOOKUP(Z6,'Feed parameters'!$A$2:$M$114,7, FALSE)</f>
        <v>0</v>
      </c>
      <c r="AA9" s="712">
        <f>VLOOKUP(AA6,'Feed parameters'!$A$2:$M$114,7, FALSE)</f>
        <v>0</v>
      </c>
      <c r="AB9" s="712">
        <f>VLOOKUP(AB6,'Feed parameters'!$A$2:$M$114,7, FALSE)</f>
        <v>0</v>
      </c>
      <c r="AC9" s="712">
        <f>VLOOKUP(AC6,'Feed parameters'!$A$2:$M$114,7, FALSE)</f>
        <v>0</v>
      </c>
      <c r="AD9" s="374">
        <f>IFERROR(SUMPRODUCT(W7:AC7,W9:AC9)/ SUM(W7:AC7), 0)</f>
        <v>0</v>
      </c>
      <c r="AE9" s="564">
        <f>L9*$G$3+U9*$P$3+AD9*$Y$3</f>
        <v>0.46054800000000001</v>
      </c>
    </row>
    <row r="10" spans="1:38" s="145" customFormat="1">
      <c r="B10" s="496"/>
      <c r="C10" s="515"/>
      <c r="D10" s="497" t="s">
        <v>902</v>
      </c>
      <c r="E10" s="366">
        <f>VLOOKUP(E6,'Feed parameters'!$A$2:$M$114,4, FALSE)</f>
        <v>10.89</v>
      </c>
      <c r="F10" s="1121">
        <f>VLOOKUP(F6,'Feed parameters'!$A$2:$M$114,4, FALSE)</f>
        <v>1.9027750000000001</v>
      </c>
      <c r="G10" s="261">
        <f>VLOOKUP(G6,'Feed parameters'!$A$2:$M$114,4, FALSE)</f>
        <v>6.0030000000000001</v>
      </c>
      <c r="H10" s="261">
        <f>VLOOKUP(H6,'Feed parameters'!$A$2:$M$114,4, FALSE)</f>
        <v>0</v>
      </c>
      <c r="I10" s="261">
        <f>VLOOKUP(I6,'Feed parameters'!$A$2:$M$114,4, FALSE)</f>
        <v>0</v>
      </c>
      <c r="J10" s="261">
        <f>VLOOKUP(J6,'Feed parameters'!$A$2:$M$114,4, FALSE)</f>
        <v>0</v>
      </c>
      <c r="K10" s="261">
        <f>VLOOKUP(K6,'Feed parameters'!$A$2:$M$114,4, FALSE)</f>
        <v>0</v>
      </c>
      <c r="L10" s="367">
        <f>IFERROR(SUMPRODUCT(E7:K7,E10:K10)/ SUM(E7:K7), 0)</f>
        <v>4.1152329999999999</v>
      </c>
      <c r="M10" s="376" t="s">
        <v>902</v>
      </c>
      <c r="N10" s="712">
        <f>VLOOKUP(N6,'Feed parameters'!$A$2:$M$114,4, FALSE)</f>
        <v>10.89</v>
      </c>
      <c r="O10" s="712">
        <f>VLOOKUP(O6,'Feed parameters'!$A$2:$M$114,4, FALSE)</f>
        <v>1.9027750000000001</v>
      </c>
      <c r="P10" s="712">
        <f>VLOOKUP(P6,'Feed parameters'!$A$2:$M$114,4, FALSE)</f>
        <v>6.0030000000000001</v>
      </c>
      <c r="Q10" s="712">
        <f>VLOOKUP(Q6,'Feed parameters'!$A$2:$M$114,4, FALSE)</f>
        <v>0</v>
      </c>
      <c r="R10" s="712">
        <f>VLOOKUP(R6,'Feed parameters'!$A$2:$M$114,4, FALSE)</f>
        <v>0</v>
      </c>
      <c r="S10" s="712">
        <f>VLOOKUP(S6,'Feed parameters'!$A$2:$M$114,4, FALSE)</f>
        <v>0</v>
      </c>
      <c r="T10" s="712">
        <f>VLOOKUP(T6,'Feed parameters'!$A$2:$M$114,4, FALSE)</f>
        <v>0</v>
      </c>
      <c r="U10" s="374">
        <f>IFERROR(SUMPRODUCT(N7:T7,N10:T10)/ SUM(N7:T7), 0)</f>
        <v>4.1152329999999999</v>
      </c>
      <c r="V10" s="376" t="s">
        <v>902</v>
      </c>
      <c r="W10" s="712">
        <f>VLOOKUP(W6,'Feed parameters'!$A$2:$M$114,4, FALSE)</f>
        <v>10.89</v>
      </c>
      <c r="X10" s="712">
        <f>VLOOKUP(X6,'Feed parameters'!$A$2:$M$114,4, FALSE)</f>
        <v>1.9027750000000001</v>
      </c>
      <c r="Y10" s="712">
        <f>VLOOKUP(Y6,'Feed parameters'!$A$2:$M$114,4, FALSE)</f>
        <v>6.0030000000000001</v>
      </c>
      <c r="Z10" s="712">
        <f>VLOOKUP(Z6,'Feed parameters'!$A$2:$M$114,4, FALSE)</f>
        <v>0</v>
      </c>
      <c r="AA10" s="712">
        <f>VLOOKUP(AA6,'Feed parameters'!$A$2:$M$114,4, FALSE)</f>
        <v>0</v>
      </c>
      <c r="AB10" s="712">
        <f>VLOOKUP(AB6,'Feed parameters'!$A$2:$M$114,4, FALSE)</f>
        <v>0</v>
      </c>
      <c r="AC10" s="712">
        <f>VLOOKUP(AC6,'Feed parameters'!$A$2:$M$114,4, FALSE)</f>
        <v>0</v>
      </c>
      <c r="AD10" s="374">
        <f>IFERROR(SUMPRODUCT(W7:AC7,W10:AC10)/ SUM(W7:AC7), 0)</f>
        <v>0</v>
      </c>
      <c r="AE10" s="564"/>
    </row>
    <row r="11" spans="1:38" s="145" customFormat="1">
      <c r="B11" s="496"/>
      <c r="C11" s="515"/>
      <c r="D11" s="497" t="s">
        <v>1147</v>
      </c>
      <c r="E11" s="366">
        <f>VLOOKUP(E6,'Feed parameters'!$A$2:$M$114,2, FALSE)</f>
        <v>90</v>
      </c>
      <c r="F11" s="1121">
        <f>VLOOKUP(F6,'Feed parameters'!$A$2:$M$114,2, FALSE)</f>
        <v>29.05</v>
      </c>
      <c r="G11" s="261">
        <f>VLOOKUP(G6,'Feed parameters'!$A$2:$M$114,2, FALSE)</f>
        <v>87</v>
      </c>
      <c r="H11" s="261">
        <f>VLOOKUP(H6,'Feed parameters'!$A$2:$M$114,2, FALSE)</f>
        <v>0</v>
      </c>
      <c r="I11" s="261">
        <f>VLOOKUP(I6,'Feed parameters'!$A$2:$M$114,2, FALSE)</f>
        <v>0</v>
      </c>
      <c r="J11" s="261">
        <f>VLOOKUP(J6,'Feed parameters'!$A$2:$M$114,2, FALSE)</f>
        <v>0</v>
      </c>
      <c r="K11" s="261">
        <f>VLOOKUP(K6,'Feed parameters'!$A$2:$M$114,2, FALSE)</f>
        <v>0</v>
      </c>
      <c r="L11" s="367">
        <f>IFERROR(SUMPRODUCT(E7:K7,E11:K11)/ SUM(E7:K7), 0)</f>
        <v>57.015999999999998</v>
      </c>
      <c r="M11" s="540" t="s">
        <v>1147</v>
      </c>
      <c r="N11" s="712">
        <f>VLOOKUP(N6,'Feed parameters'!$A$2:$M$114,2, FALSE)</f>
        <v>90</v>
      </c>
      <c r="O11" s="712">
        <f>VLOOKUP(O6,'Feed parameters'!$A$2:$M$114,2, FALSE)</f>
        <v>29.05</v>
      </c>
      <c r="P11" s="712">
        <f>VLOOKUP(P6,'Feed parameters'!$A$2:$M$114,2, FALSE)</f>
        <v>87</v>
      </c>
      <c r="Q11" s="712">
        <f>VLOOKUP(Q6,'Feed parameters'!$A$2:$M$114,2, FALSE)</f>
        <v>0</v>
      </c>
      <c r="R11" s="712">
        <f>VLOOKUP(R6,'Feed parameters'!$A$2:$M$114,2, FALSE)</f>
        <v>0</v>
      </c>
      <c r="S11" s="712">
        <f>VLOOKUP(S6,'Feed parameters'!$A$2:$M$114,2, FALSE)</f>
        <v>0</v>
      </c>
      <c r="T11" s="712">
        <f>VLOOKUP(T6,'Feed parameters'!$A$2:$M$114,2, FALSE)</f>
        <v>0</v>
      </c>
      <c r="U11" s="374">
        <f>IFERROR(SUMPRODUCT(N7:T7,N11:T11)/ SUM(N7:T7), 0)</f>
        <v>57.015999999999998</v>
      </c>
      <c r="V11" s="540" t="s">
        <v>1147</v>
      </c>
      <c r="W11" s="712">
        <f>VLOOKUP(W6,'Feed parameters'!$A$2:$M$114,2, FALSE)</f>
        <v>90</v>
      </c>
      <c r="X11" s="712">
        <f>VLOOKUP(X6,'Feed parameters'!$A$2:$M$114,2, FALSE)</f>
        <v>29.05</v>
      </c>
      <c r="Y11" s="712">
        <f>VLOOKUP(Y6,'Feed parameters'!$A$2:$M$114,2, FALSE)</f>
        <v>87</v>
      </c>
      <c r="Z11" s="712">
        <f>VLOOKUP(Z6,'Feed parameters'!$A$2:$M$114,2, FALSE)</f>
        <v>0</v>
      </c>
      <c r="AA11" s="712">
        <f>VLOOKUP(AA6,'Feed parameters'!$A$2:$M$114,2, FALSE)</f>
        <v>0</v>
      </c>
      <c r="AB11" s="712">
        <f>VLOOKUP(AB6,'Feed parameters'!$A$2:$M$114,2, FALSE)</f>
        <v>0</v>
      </c>
      <c r="AC11" s="712">
        <f>VLOOKUP(AC6,'Feed parameters'!$A$2:$M$114,2, FALSE)</f>
        <v>0</v>
      </c>
      <c r="AD11" s="374">
        <f>IFERROR(SUMPRODUCT(W7:AC7,W11:AC11)/ SUM(W7:AC7), 0)</f>
        <v>0</v>
      </c>
      <c r="AE11" s="564">
        <f>L11*$G$3+U11*$P$3+AD11*$Y$3</f>
        <v>57.016000000000005</v>
      </c>
    </row>
    <row r="12" spans="1:38" s="145" customFormat="1">
      <c r="B12" s="496"/>
      <c r="C12" s="515"/>
      <c r="D12" s="497" t="s">
        <v>1165</v>
      </c>
      <c r="E12" s="366">
        <f t="shared" ref="E12:K12" si="2">IFERROR((E7*E11)/SUMPRODUCT($E7:$K7,$E11:$K11), 0)</f>
        <v>7.8925213975024555E-2</v>
      </c>
      <c r="F12" s="261">
        <f t="shared" si="2"/>
        <v>0.26494317384593802</v>
      </c>
      <c r="G12" s="261">
        <f t="shared" si="2"/>
        <v>0.65613161217903737</v>
      </c>
      <c r="H12" s="261">
        <f t="shared" si="2"/>
        <v>0</v>
      </c>
      <c r="I12" s="261">
        <f t="shared" si="2"/>
        <v>0</v>
      </c>
      <c r="J12" s="261">
        <f t="shared" si="2"/>
        <v>0</v>
      </c>
      <c r="K12" s="261">
        <f t="shared" si="2"/>
        <v>0</v>
      </c>
      <c r="L12" s="367"/>
      <c r="M12" s="540" t="s">
        <v>1165</v>
      </c>
      <c r="N12" s="261">
        <f t="shared" ref="N12:T12" si="3">IFERROR((N7*N11)/SUMPRODUCT($N7:$T7,$N11:$T11), 0)</f>
        <v>7.8925213975024555E-2</v>
      </c>
      <c r="O12" s="261">
        <f t="shared" si="3"/>
        <v>0.26494317384593802</v>
      </c>
      <c r="P12" s="261">
        <f t="shared" si="3"/>
        <v>0.65613161217903737</v>
      </c>
      <c r="Q12" s="261">
        <f t="shared" si="3"/>
        <v>0</v>
      </c>
      <c r="R12" s="261">
        <f t="shared" si="3"/>
        <v>0</v>
      </c>
      <c r="S12" s="261">
        <f t="shared" si="3"/>
        <v>0</v>
      </c>
      <c r="T12" s="261">
        <f t="shared" si="3"/>
        <v>0</v>
      </c>
      <c r="U12" s="374"/>
      <c r="V12" s="540" t="s">
        <v>1165</v>
      </c>
      <c r="W12" s="261">
        <f>IFERROR((W7*W11)/SUMPRODUCT($W7:$AC7,$W11:$AC11), 0)</f>
        <v>0</v>
      </c>
      <c r="X12" s="261">
        <f t="shared" ref="X12:AC12" si="4">IFERROR((X7*X11)/SUMPRODUCT($W7:$AC7,$W11:$AC11), 0)</f>
        <v>0</v>
      </c>
      <c r="Y12" s="261">
        <f t="shared" si="4"/>
        <v>0</v>
      </c>
      <c r="Z12" s="261">
        <f t="shared" si="4"/>
        <v>0</v>
      </c>
      <c r="AA12" s="261">
        <f t="shared" si="4"/>
        <v>0</v>
      </c>
      <c r="AB12" s="261">
        <f t="shared" si="4"/>
        <v>0</v>
      </c>
      <c r="AC12" s="261">
        <f t="shared" si="4"/>
        <v>0</v>
      </c>
      <c r="AD12" s="374"/>
      <c r="AE12" s="564"/>
    </row>
    <row r="13" spans="1:38" s="145" customFormat="1">
      <c r="B13" s="496"/>
      <c r="C13" s="515"/>
      <c r="D13" s="497"/>
      <c r="E13" s="366"/>
      <c r="F13" s="261"/>
      <c r="G13" s="261"/>
      <c r="H13" s="261"/>
      <c r="I13" s="261"/>
      <c r="J13" s="261"/>
      <c r="K13" s="261"/>
      <c r="L13" s="367"/>
      <c r="M13" s="376"/>
      <c r="N13" s="261"/>
      <c r="O13" s="261"/>
      <c r="P13" s="261"/>
      <c r="Q13" s="261"/>
      <c r="R13" s="261"/>
      <c r="S13" s="261"/>
      <c r="T13" s="261"/>
      <c r="U13" s="374"/>
      <c r="V13" s="376"/>
      <c r="W13" s="261"/>
      <c r="X13" s="261"/>
      <c r="Y13" s="261"/>
      <c r="Z13" s="261"/>
      <c r="AA13" s="261"/>
      <c r="AB13" s="261"/>
      <c r="AC13" s="261"/>
      <c r="AD13" s="374"/>
      <c r="AE13" s="564"/>
    </row>
    <row r="14" spans="1:38" s="291" customFormat="1">
      <c r="B14" s="494" t="str">
        <f>INPUTS!C18</f>
        <v>Steers/heifers (improved)</v>
      </c>
      <c r="C14" s="514"/>
      <c r="D14" s="495" t="s">
        <v>1164</v>
      </c>
      <c r="E14" s="364">
        <f>INPUTS!D56</f>
        <v>0.05</v>
      </c>
      <c r="F14" s="292">
        <f>INPUTS!D57</f>
        <v>0.52</v>
      </c>
      <c r="G14" s="292">
        <f>INPUTS!D58</f>
        <v>0.43</v>
      </c>
      <c r="H14" s="292">
        <f>INPUTS!D59</f>
        <v>0</v>
      </c>
      <c r="I14" s="292">
        <f>INPUTS!D60</f>
        <v>0</v>
      </c>
      <c r="J14" s="292">
        <f>INPUTS!D61</f>
        <v>0</v>
      </c>
      <c r="K14" s="292">
        <f>INPUTS!D62</f>
        <v>0</v>
      </c>
      <c r="L14" s="365"/>
      <c r="M14" s="556" t="s">
        <v>1164</v>
      </c>
      <c r="N14" s="292">
        <f>INPUTS!D67</f>
        <v>0.05</v>
      </c>
      <c r="O14" s="292">
        <f>INPUTS!D68</f>
        <v>0.52</v>
      </c>
      <c r="P14" s="292">
        <f>INPUTS!D69</f>
        <v>0.43</v>
      </c>
      <c r="Q14" s="292">
        <f>INPUTS!D70</f>
        <v>0</v>
      </c>
      <c r="R14" s="292">
        <f>INPUTS!D71</f>
        <v>0</v>
      </c>
      <c r="S14" s="292">
        <f>INPUTS!D72</f>
        <v>0</v>
      </c>
      <c r="T14" s="292">
        <f>INPUTS!D73</f>
        <v>0</v>
      </c>
      <c r="U14" s="373"/>
      <c r="V14" s="556" t="s">
        <v>1164</v>
      </c>
      <c r="W14" s="292">
        <f>INPUTS!D78</f>
        <v>0</v>
      </c>
      <c r="X14" s="292">
        <f>INPUTS!D79</f>
        <v>0</v>
      </c>
      <c r="Y14" s="292">
        <f>INPUTS!D80</f>
        <v>0</v>
      </c>
      <c r="Z14" s="292">
        <f>INPUTS!D81</f>
        <v>0</v>
      </c>
      <c r="AA14" s="292">
        <f>INPUTS!D82</f>
        <v>0</v>
      </c>
      <c r="AB14" s="292">
        <f>INPUTS!D83</f>
        <v>0</v>
      </c>
      <c r="AC14" s="292">
        <f>INPUTS!D84</f>
        <v>0</v>
      </c>
      <c r="AD14" s="373"/>
      <c r="AE14" s="563"/>
    </row>
    <row r="15" spans="1:38" s="145" customFormat="1">
      <c r="B15" s="496"/>
      <c r="C15" s="515"/>
      <c r="D15" s="497" t="s">
        <v>811</v>
      </c>
      <c r="E15" s="366">
        <f>VLOOKUP(E6,'Feed parameters'!$A$2:$M$114,6, FALSE)</f>
        <v>14.4</v>
      </c>
      <c r="F15" s="261">
        <f>VLOOKUP(F6,'Feed parameters'!$A$2:$M$114,6, FALSE)</f>
        <v>2.17875</v>
      </c>
      <c r="G15" s="261">
        <f>VLOOKUP(G6,'Feed parameters'!$A$2:$M$114,6, FALSE)</f>
        <v>3.3930000000000002</v>
      </c>
      <c r="H15" s="261">
        <f>VLOOKUP(H6,'Feed parameters'!$A$2:$M$114,6, FALSE)</f>
        <v>0</v>
      </c>
      <c r="I15" s="261">
        <f>VLOOKUP(I6,'Feed parameters'!$A$2:$M$114,6, FALSE)</f>
        <v>0</v>
      </c>
      <c r="J15" s="261">
        <f>VLOOKUP(J6,'Feed parameters'!$A$2:$M$114,6, FALSE)</f>
        <v>0</v>
      </c>
      <c r="K15" s="261">
        <f>VLOOKUP(K6,'Feed parameters'!$A$2:$M$114,6, FALSE)</f>
        <v>0</v>
      </c>
      <c r="L15" s="367">
        <f>IFERROR(SUMPRODUCT(E14:K14,E15:K15)/ SUM(E14:K14), 0)</f>
        <v>3.3119400000000003</v>
      </c>
      <c r="M15" s="376" t="s">
        <v>811</v>
      </c>
      <c r="N15" s="712">
        <f>N8</f>
        <v>14.4</v>
      </c>
      <c r="O15" s="712">
        <f t="shared" ref="O15:T18" si="5">O8</f>
        <v>2.17875</v>
      </c>
      <c r="P15" s="712">
        <f t="shared" si="5"/>
        <v>3.3930000000000002</v>
      </c>
      <c r="Q15" s="712">
        <f t="shared" si="5"/>
        <v>0</v>
      </c>
      <c r="R15" s="712">
        <f t="shared" si="5"/>
        <v>0</v>
      </c>
      <c r="S15" s="712">
        <f t="shared" si="5"/>
        <v>0</v>
      </c>
      <c r="T15" s="712">
        <f t="shared" si="5"/>
        <v>0</v>
      </c>
      <c r="U15" s="374">
        <f>IFERROR(SUMPRODUCT(N14:T14,N15:T15)/ SUM(N14:T14), 0)</f>
        <v>3.3119400000000003</v>
      </c>
      <c r="V15" s="376" t="s">
        <v>811</v>
      </c>
      <c r="W15" s="712">
        <f>W8</f>
        <v>14.4</v>
      </c>
      <c r="X15" s="712">
        <f t="shared" ref="X15:AC15" si="6">X8</f>
        <v>2.17875</v>
      </c>
      <c r="Y15" s="712">
        <f t="shared" si="6"/>
        <v>3.3930000000000002</v>
      </c>
      <c r="Z15" s="712">
        <f t="shared" si="6"/>
        <v>0</v>
      </c>
      <c r="AA15" s="712">
        <f t="shared" si="6"/>
        <v>0</v>
      </c>
      <c r="AB15" s="712">
        <f t="shared" si="6"/>
        <v>0</v>
      </c>
      <c r="AC15" s="712">
        <f t="shared" si="6"/>
        <v>0</v>
      </c>
      <c r="AD15" s="374">
        <f>IFERROR(SUMPRODUCT(W14:AC14,W15:AC15)/ SUM(W14:AC14), 0)</f>
        <v>0</v>
      </c>
      <c r="AE15" s="564">
        <f>L15*$G$3+U15*$P$3+AD15*$Y$3</f>
        <v>3.3119400000000008</v>
      </c>
      <c r="AF15" s="478">
        <f>IFERROR(L15*$G$3/(L18*0.01),0)+IFERROR(U15*$P$3/(U18*0.01),0)+IFERROR(AD15*$Y$3/(AD18*0.01),0)</f>
        <v>5.8087905149431753</v>
      </c>
    </row>
    <row r="16" spans="1:38" s="145" customFormat="1">
      <c r="B16" s="496"/>
      <c r="C16" s="515"/>
      <c r="D16" s="497" t="s">
        <v>812</v>
      </c>
      <c r="E16" s="366">
        <f>VLOOKUP(E6,'Feed parameters'!$A$2:$M$114,7, FALSE)</f>
        <v>0.79859999999999998</v>
      </c>
      <c r="F16" s="261">
        <f>VLOOKUP(F6,'Feed parameters'!$A$2:$M$114,7, FALSE)</f>
        <v>0.43229999999999996</v>
      </c>
      <c r="G16" s="261">
        <f>VLOOKUP(G6,'Feed parameters'!$A$2:$M$114,7, FALSE)</f>
        <v>0.45539999999999997</v>
      </c>
      <c r="H16" s="261">
        <f>VLOOKUP(H6,'Feed parameters'!$A$2:$M$114,7, FALSE)</f>
        <v>0</v>
      </c>
      <c r="I16" s="261">
        <f>VLOOKUP(I6,'Feed parameters'!$A$2:$M$114,7, FALSE)</f>
        <v>0</v>
      </c>
      <c r="J16" s="261">
        <f>VLOOKUP(J6,'Feed parameters'!$A$2:$M$114,7, FALSE)</f>
        <v>0</v>
      </c>
      <c r="K16" s="261">
        <f>VLOOKUP(K6,'Feed parameters'!$A$2:$M$114,7, FALSE)</f>
        <v>0</v>
      </c>
      <c r="L16" s="367">
        <f>IFERROR(SUMPRODUCT(E14:K14,E16:K16)/ SUM(E14:K14), 0)</f>
        <v>0.46054800000000001</v>
      </c>
      <c r="M16" s="376" t="s">
        <v>812</v>
      </c>
      <c r="N16" s="712">
        <f t="shared" ref="N16:N18" si="7">N9</f>
        <v>0.79859999999999998</v>
      </c>
      <c r="O16" s="712">
        <f t="shared" si="5"/>
        <v>0.43229999999999996</v>
      </c>
      <c r="P16" s="712">
        <f t="shared" si="5"/>
        <v>0.45539999999999997</v>
      </c>
      <c r="Q16" s="712">
        <f t="shared" si="5"/>
        <v>0</v>
      </c>
      <c r="R16" s="712">
        <f t="shared" si="5"/>
        <v>0</v>
      </c>
      <c r="S16" s="712">
        <f t="shared" si="5"/>
        <v>0</v>
      </c>
      <c r="T16" s="712">
        <f t="shared" si="5"/>
        <v>0</v>
      </c>
      <c r="U16" s="374">
        <f>IFERROR(SUMPRODUCT(N14:T14,N16:T16)/ SUM(N14:T14), 0)</f>
        <v>0.46054800000000001</v>
      </c>
      <c r="V16" s="376" t="s">
        <v>812</v>
      </c>
      <c r="W16" s="712">
        <f t="shared" ref="W16:AC18" si="8">W9</f>
        <v>0.79859999999999998</v>
      </c>
      <c r="X16" s="712">
        <f t="shared" si="8"/>
        <v>0.43229999999999996</v>
      </c>
      <c r="Y16" s="712">
        <f t="shared" si="8"/>
        <v>0.45539999999999997</v>
      </c>
      <c r="Z16" s="712">
        <f t="shared" si="8"/>
        <v>0</v>
      </c>
      <c r="AA16" s="712">
        <f t="shared" si="8"/>
        <v>0</v>
      </c>
      <c r="AB16" s="712">
        <f t="shared" si="8"/>
        <v>0</v>
      </c>
      <c r="AC16" s="712">
        <f t="shared" si="8"/>
        <v>0</v>
      </c>
      <c r="AD16" s="374">
        <f>IFERROR(SUMPRODUCT(W14:AC14,W16:AC16)/ SUM(W14:AC14), 0)</f>
        <v>0</v>
      </c>
      <c r="AE16" s="564">
        <f>L16*$G$3+U16*$P$3+AD16*$Y$3</f>
        <v>0.46054800000000001</v>
      </c>
    </row>
    <row r="17" spans="1:32" s="145" customFormat="1">
      <c r="B17" s="496"/>
      <c r="C17" s="515"/>
      <c r="D17" s="497" t="s">
        <v>902</v>
      </c>
      <c r="E17" s="366">
        <f>VLOOKUP(E6,'Feed parameters'!$A$2:$M$114,4, FALSE)</f>
        <v>10.89</v>
      </c>
      <c r="F17" s="261">
        <f>VLOOKUP(F6,'Feed parameters'!$A$2:$M$114,4, FALSE)</f>
        <v>1.9027750000000001</v>
      </c>
      <c r="G17" s="261">
        <f>VLOOKUP(G6,'Feed parameters'!$A$2:$M$114,4, FALSE)</f>
        <v>6.0030000000000001</v>
      </c>
      <c r="H17" s="261">
        <f>VLOOKUP(H6,'Feed parameters'!$A$2:$M$114,4, FALSE)</f>
        <v>0</v>
      </c>
      <c r="I17" s="261">
        <f>VLOOKUP(I6,'Feed parameters'!$A$2:$M$114,4, FALSE)</f>
        <v>0</v>
      </c>
      <c r="J17" s="261">
        <f>VLOOKUP(J6,'Feed parameters'!$A$2:$M$114,4, FALSE)</f>
        <v>0</v>
      </c>
      <c r="K17" s="261">
        <f>VLOOKUP(K6,'Feed parameters'!$A$2:$M$114,4, FALSE)</f>
        <v>0</v>
      </c>
      <c r="L17" s="367">
        <f>IFERROR(SUMPRODUCT(E14:K14,E17:K17)/ SUM(E14:K14), 0)</f>
        <v>4.1152329999999999</v>
      </c>
      <c r="M17" s="376" t="s">
        <v>902</v>
      </c>
      <c r="N17" s="712">
        <f t="shared" si="7"/>
        <v>10.89</v>
      </c>
      <c r="O17" s="712">
        <f t="shared" si="5"/>
        <v>1.9027750000000001</v>
      </c>
      <c r="P17" s="712">
        <f t="shared" si="5"/>
        <v>6.0030000000000001</v>
      </c>
      <c r="Q17" s="712">
        <f t="shared" si="5"/>
        <v>0</v>
      </c>
      <c r="R17" s="712">
        <f t="shared" si="5"/>
        <v>0</v>
      </c>
      <c r="S17" s="712">
        <f t="shared" si="5"/>
        <v>0</v>
      </c>
      <c r="T17" s="712">
        <f t="shared" si="5"/>
        <v>0</v>
      </c>
      <c r="U17" s="374">
        <f>IFERROR(SUMPRODUCT(N14:T14,N17:T17)/ SUM(N14:T14), 0)</f>
        <v>4.1152329999999999</v>
      </c>
      <c r="V17" s="376" t="s">
        <v>902</v>
      </c>
      <c r="W17" s="712">
        <f t="shared" si="8"/>
        <v>10.89</v>
      </c>
      <c r="X17" s="712">
        <f t="shared" si="8"/>
        <v>1.9027750000000001</v>
      </c>
      <c r="Y17" s="712">
        <f t="shared" si="8"/>
        <v>6.0030000000000001</v>
      </c>
      <c r="Z17" s="712">
        <f t="shared" si="8"/>
        <v>0</v>
      </c>
      <c r="AA17" s="712">
        <f t="shared" si="8"/>
        <v>0</v>
      </c>
      <c r="AB17" s="712">
        <f t="shared" si="8"/>
        <v>0</v>
      </c>
      <c r="AC17" s="712">
        <f t="shared" si="8"/>
        <v>0</v>
      </c>
      <c r="AD17" s="374">
        <f>IFERROR(SUMPRODUCT(W14:AC14,W17:AC17)/ SUM(W14:AC14), 0)</f>
        <v>0</v>
      </c>
      <c r="AE17" s="564"/>
    </row>
    <row r="18" spans="1:32" s="145" customFormat="1">
      <c r="B18" s="496"/>
      <c r="C18" s="515"/>
      <c r="D18" s="497" t="s">
        <v>1147</v>
      </c>
      <c r="E18" s="366">
        <f>VLOOKUP(E6,'Feed parameters'!$A$2:$M$114,2, FALSE)</f>
        <v>90</v>
      </c>
      <c r="F18" s="261">
        <f>VLOOKUP(F6,'Feed parameters'!$A$2:$M$114,2, FALSE)</f>
        <v>29.05</v>
      </c>
      <c r="G18" s="261">
        <f>VLOOKUP(G6,'Feed parameters'!$A$2:$M$114,2, FALSE)</f>
        <v>87</v>
      </c>
      <c r="H18" s="261">
        <f>VLOOKUP(H6,'Feed parameters'!$A$2:$M$114,2, FALSE)</f>
        <v>0</v>
      </c>
      <c r="I18" s="261">
        <f>VLOOKUP(I6,'Feed parameters'!$A$2:$M$114,2, FALSE)</f>
        <v>0</v>
      </c>
      <c r="J18" s="261">
        <f>VLOOKUP(J6,'Feed parameters'!$A$2:$M$114,2, FALSE)</f>
        <v>0</v>
      </c>
      <c r="K18" s="261">
        <f>VLOOKUP(K6,'Feed parameters'!$A$2:$M$114,2, FALSE)</f>
        <v>0</v>
      </c>
      <c r="L18" s="367">
        <f>IFERROR(SUMPRODUCT(E14:K14,E18:K18)/ SUM(E14:K14), 0)</f>
        <v>57.015999999999998</v>
      </c>
      <c r="M18" s="540" t="s">
        <v>1147</v>
      </c>
      <c r="N18" s="712">
        <f t="shared" si="7"/>
        <v>90</v>
      </c>
      <c r="O18" s="712">
        <f t="shared" si="5"/>
        <v>29.05</v>
      </c>
      <c r="P18" s="712">
        <f t="shared" si="5"/>
        <v>87</v>
      </c>
      <c r="Q18" s="712">
        <f t="shared" si="5"/>
        <v>0</v>
      </c>
      <c r="R18" s="712">
        <f t="shared" si="5"/>
        <v>0</v>
      </c>
      <c r="S18" s="712">
        <f t="shared" si="5"/>
        <v>0</v>
      </c>
      <c r="T18" s="712">
        <f t="shared" si="5"/>
        <v>0</v>
      </c>
      <c r="U18" s="374">
        <f>IFERROR(SUMPRODUCT(N14:T14,N18:T18)/ SUM(N14:T14), 0)</f>
        <v>57.015999999999998</v>
      </c>
      <c r="V18" s="540" t="s">
        <v>1147</v>
      </c>
      <c r="W18" s="712">
        <f t="shared" si="8"/>
        <v>90</v>
      </c>
      <c r="X18" s="712">
        <f t="shared" si="8"/>
        <v>29.05</v>
      </c>
      <c r="Y18" s="712">
        <f t="shared" si="8"/>
        <v>87</v>
      </c>
      <c r="Z18" s="712">
        <f t="shared" si="8"/>
        <v>0</v>
      </c>
      <c r="AA18" s="712">
        <f t="shared" si="8"/>
        <v>0</v>
      </c>
      <c r="AB18" s="712">
        <f t="shared" si="8"/>
        <v>0</v>
      </c>
      <c r="AC18" s="712">
        <f t="shared" si="8"/>
        <v>0</v>
      </c>
      <c r="AD18" s="374">
        <f>IFERROR(SUMPRODUCT(W14:AC14,W18:AC18)/ SUM(W14:AC14), 0)</f>
        <v>0</v>
      </c>
      <c r="AE18" s="564">
        <f>L18*$G$3+U18*$P$3+AD18*$Y$3</f>
        <v>57.016000000000005</v>
      </c>
    </row>
    <row r="19" spans="1:32" s="145" customFormat="1">
      <c r="B19" s="496"/>
      <c r="C19" s="515"/>
      <c r="D19" s="497" t="s">
        <v>1165</v>
      </c>
      <c r="E19" s="366">
        <f t="shared" ref="E19:K19" si="9">IFERROR((E14*E18)/SUMPRODUCT($E14:$K14,$E18:$K18), 0)</f>
        <v>7.8925213975024555E-2</v>
      </c>
      <c r="F19" s="261">
        <f t="shared" si="9"/>
        <v>0.26494317384593802</v>
      </c>
      <c r="G19" s="261">
        <f t="shared" si="9"/>
        <v>0.65613161217903737</v>
      </c>
      <c r="H19" s="261">
        <f t="shared" si="9"/>
        <v>0</v>
      </c>
      <c r="I19" s="261">
        <f t="shared" si="9"/>
        <v>0</v>
      </c>
      <c r="J19" s="261">
        <f t="shared" si="9"/>
        <v>0</v>
      </c>
      <c r="K19" s="261">
        <f t="shared" si="9"/>
        <v>0</v>
      </c>
      <c r="L19" s="367"/>
      <c r="M19" s="540" t="s">
        <v>1165</v>
      </c>
      <c r="N19" s="261">
        <f t="shared" ref="N19:T19" si="10">IFERROR(IFERROR((N14*N18)/SUMPRODUCT($N14:$T14,$N18:$T18), 0), 0)</f>
        <v>7.8925213975024555E-2</v>
      </c>
      <c r="O19" s="261">
        <f t="shared" si="10"/>
        <v>0.26494317384593802</v>
      </c>
      <c r="P19" s="261">
        <f t="shared" si="10"/>
        <v>0.65613161217903737</v>
      </c>
      <c r="Q19" s="261">
        <f t="shared" si="10"/>
        <v>0</v>
      </c>
      <c r="R19" s="261">
        <f t="shared" si="10"/>
        <v>0</v>
      </c>
      <c r="S19" s="261">
        <f t="shared" si="10"/>
        <v>0</v>
      </c>
      <c r="T19" s="261">
        <f t="shared" si="10"/>
        <v>0</v>
      </c>
      <c r="U19" s="374"/>
      <c r="V19" s="540" t="s">
        <v>1165</v>
      </c>
      <c r="W19" s="261">
        <f>IFERROR((W14*W18)/SUMPRODUCT($W14:$AC14,$W18:$AC18), 0)</f>
        <v>0</v>
      </c>
      <c r="X19" s="261">
        <f t="shared" ref="X19:AC19" si="11">IFERROR((X14*X18)/SUMPRODUCT($W14:$AC14,$W18:$AC18), 0)</f>
        <v>0</v>
      </c>
      <c r="Y19" s="261">
        <f t="shared" si="11"/>
        <v>0</v>
      </c>
      <c r="Z19" s="261">
        <f t="shared" si="11"/>
        <v>0</v>
      </c>
      <c r="AA19" s="261">
        <f t="shared" si="11"/>
        <v>0</v>
      </c>
      <c r="AB19" s="261">
        <f t="shared" si="11"/>
        <v>0</v>
      </c>
      <c r="AC19" s="261">
        <f t="shared" si="11"/>
        <v>0</v>
      </c>
      <c r="AD19" s="374"/>
      <c r="AE19" s="564"/>
    </row>
    <row r="20" spans="1:32" s="145" customFormat="1">
      <c r="B20" s="496"/>
      <c r="C20" s="515"/>
      <c r="D20" s="497"/>
      <c r="E20" s="366"/>
      <c r="F20" s="261"/>
      <c r="G20" s="261"/>
      <c r="H20" s="261"/>
      <c r="I20" s="261"/>
      <c r="J20" s="261"/>
      <c r="K20" s="261"/>
      <c r="L20" s="367"/>
      <c r="M20" s="540"/>
      <c r="N20" s="186"/>
      <c r="O20" s="186"/>
      <c r="P20" s="186"/>
      <c r="Q20" s="186"/>
      <c r="R20" s="186"/>
      <c r="S20" s="186"/>
      <c r="T20" s="186"/>
      <c r="U20" s="374"/>
      <c r="V20" s="540"/>
      <c r="W20" s="186"/>
      <c r="X20" s="186"/>
      <c r="Y20" s="186"/>
      <c r="Z20" s="186"/>
      <c r="AA20" s="186"/>
      <c r="AB20" s="186"/>
      <c r="AC20" s="186"/>
      <c r="AD20" s="374"/>
      <c r="AE20" s="564"/>
    </row>
    <row r="21" spans="1:32" s="291" customFormat="1">
      <c r="B21" s="498">
        <f>INPUTS!C19</f>
        <v>0</v>
      </c>
      <c r="C21" s="516"/>
      <c r="D21" s="495" t="s">
        <v>1164</v>
      </c>
      <c r="E21" s="364">
        <f>INPUTS!E56</f>
        <v>0</v>
      </c>
      <c r="F21" s="292">
        <f>INPUTS!E57</f>
        <v>0</v>
      </c>
      <c r="G21" s="292">
        <f>INPUTS!E58</f>
        <v>0</v>
      </c>
      <c r="H21" s="292">
        <f>INPUTS!E59</f>
        <v>0</v>
      </c>
      <c r="I21" s="292">
        <f>INPUTS!E60</f>
        <v>0</v>
      </c>
      <c r="J21" s="292">
        <f>INPUTS!E61</f>
        <v>0</v>
      </c>
      <c r="K21" s="292">
        <f>INPUTS!E62</f>
        <v>0</v>
      </c>
      <c r="L21" s="365"/>
      <c r="M21" s="556" t="s">
        <v>1164</v>
      </c>
      <c r="N21" s="292">
        <f>INPUTS!E67</f>
        <v>0.08</v>
      </c>
      <c r="O21" s="292">
        <f>INPUTS!E68</f>
        <v>0.2</v>
      </c>
      <c r="P21" s="292">
        <f>INPUTS!E69</f>
        <v>0.15</v>
      </c>
      <c r="Q21" s="292">
        <f>INPUTS!E70</f>
        <v>0</v>
      </c>
      <c r="R21" s="292">
        <f>INPUTS!E71</f>
        <v>0</v>
      </c>
      <c r="S21" s="292">
        <f>INPUTS!E72</f>
        <v>0</v>
      </c>
      <c r="T21" s="292">
        <f>INPUTS!E73</f>
        <v>0</v>
      </c>
      <c r="U21" s="373"/>
      <c r="V21" s="556" t="s">
        <v>1164</v>
      </c>
      <c r="W21" s="292">
        <f>INPUTS!E78</f>
        <v>0</v>
      </c>
      <c r="X21" s="292">
        <f>INPUTS!E79</f>
        <v>0</v>
      </c>
      <c r="Y21" s="292">
        <f>INPUTS!E80</f>
        <v>0</v>
      </c>
      <c r="Z21" s="292">
        <f>INPUTS!E81</f>
        <v>0</v>
      </c>
      <c r="AA21" s="292">
        <f>INPUTS!E82</f>
        <v>0</v>
      </c>
      <c r="AB21" s="292">
        <f>INPUTS!E83</f>
        <v>0</v>
      </c>
      <c r="AC21" s="292">
        <f>INPUTS!E84</f>
        <v>0</v>
      </c>
      <c r="AD21" s="373"/>
      <c r="AE21" s="563"/>
    </row>
    <row r="22" spans="1:32" s="145" customFormat="1">
      <c r="B22" s="499"/>
      <c r="C22" s="517"/>
      <c r="D22" s="497" t="s">
        <v>811</v>
      </c>
      <c r="E22" s="368">
        <f>VLOOKUP(E6,'Feed parameters'!$A$2:$M$114,6, FALSE)</f>
        <v>14.4</v>
      </c>
      <c r="F22" s="186">
        <f>VLOOKUP(F6,'Feed parameters'!$A$2:$M$114,6, FALSE)</f>
        <v>2.17875</v>
      </c>
      <c r="G22" s="186">
        <f>VLOOKUP(G6,'Feed parameters'!$A$2:$M$114,6, FALSE)</f>
        <v>3.3930000000000002</v>
      </c>
      <c r="H22" s="186">
        <f>VLOOKUP(H6,'Feed parameters'!$A$2:$M$114,6, FALSE)</f>
        <v>0</v>
      </c>
      <c r="I22" s="186">
        <f>VLOOKUP(I6,'Feed parameters'!$A$2:$M$114,6, FALSE)</f>
        <v>0</v>
      </c>
      <c r="J22" s="186">
        <f>VLOOKUP(J6,'Feed parameters'!$A$2:$M$114,6, FALSE)</f>
        <v>0</v>
      </c>
      <c r="K22" s="186">
        <f>VLOOKUP(K6,'Feed parameters'!$A$2:$M$114,6, FALSE)</f>
        <v>0</v>
      </c>
      <c r="L22" s="369">
        <f>IFERROR(SUMPRODUCT(E21:K21,E22:K22)/ SUM(E21:K21), 0)</f>
        <v>0</v>
      </c>
      <c r="M22" s="376" t="s">
        <v>811</v>
      </c>
      <c r="N22" s="712">
        <f>N15</f>
        <v>14.4</v>
      </c>
      <c r="O22" s="712">
        <f t="shared" ref="O22:T25" si="12">O15</f>
        <v>2.17875</v>
      </c>
      <c r="P22" s="712">
        <f t="shared" si="12"/>
        <v>3.3930000000000002</v>
      </c>
      <c r="Q22" s="712">
        <f t="shared" si="12"/>
        <v>0</v>
      </c>
      <c r="R22" s="712">
        <f t="shared" si="12"/>
        <v>0</v>
      </c>
      <c r="S22" s="712">
        <f t="shared" si="12"/>
        <v>0</v>
      </c>
      <c r="T22" s="712">
        <f t="shared" si="12"/>
        <v>0</v>
      </c>
      <c r="U22" s="375">
        <f>IFERROR(SUMPRODUCT(N21:T21,N22:T22)/ SUM(N21:T21), 0)</f>
        <v>4.8760465116279068</v>
      </c>
      <c r="V22" s="376" t="s">
        <v>811</v>
      </c>
      <c r="W22" s="712">
        <f>W15</f>
        <v>14.4</v>
      </c>
      <c r="X22" s="712">
        <f t="shared" ref="X22:AC22" si="13">X15</f>
        <v>2.17875</v>
      </c>
      <c r="Y22" s="712">
        <f t="shared" si="13"/>
        <v>3.3930000000000002</v>
      </c>
      <c r="Z22" s="712">
        <f t="shared" si="13"/>
        <v>0</v>
      </c>
      <c r="AA22" s="712">
        <f t="shared" si="13"/>
        <v>0</v>
      </c>
      <c r="AB22" s="712">
        <f t="shared" si="13"/>
        <v>0</v>
      </c>
      <c r="AC22" s="712">
        <f t="shared" si="13"/>
        <v>0</v>
      </c>
      <c r="AD22" s="375">
        <f>IFERROR(SUMPRODUCT(W21:AC21,W22:AC22)/ SUM(W21:AC21), 0)</f>
        <v>0</v>
      </c>
      <c r="AE22" s="564">
        <f>L22*$G$3+U22*$P$3+AD22*$Y$3</f>
        <v>1.9103415100350429</v>
      </c>
      <c r="AF22" s="478">
        <f>IFERROR(L22*$G$3/(L25*0.01),0)+IFERROR(U22*$P$3/(U25*0.01),0)+IFERROR(AD22*$Y$3/(AD25*0.01),0)</f>
        <v>3.1521367970647289</v>
      </c>
    </row>
    <row r="23" spans="1:32" s="145" customFormat="1">
      <c r="B23" s="499"/>
      <c r="C23" s="517"/>
      <c r="D23" s="497" t="s">
        <v>812</v>
      </c>
      <c r="E23" s="368">
        <f>VLOOKUP(E6,'Feed parameters'!$A$2:$M$114,7, FALSE)</f>
        <v>0.79859999999999998</v>
      </c>
      <c r="F23" s="186">
        <f>VLOOKUP(F6,'Feed parameters'!$A$2:$M$114,7, FALSE)</f>
        <v>0.43229999999999996</v>
      </c>
      <c r="G23" s="186">
        <f>VLOOKUP(G6,'Feed parameters'!$A$2:$M$114,7, FALSE)</f>
        <v>0.45539999999999997</v>
      </c>
      <c r="H23" s="186">
        <f>VLOOKUP(H6,'Feed parameters'!$A$2:$M$114,7, FALSE)</f>
        <v>0</v>
      </c>
      <c r="I23" s="186">
        <f>VLOOKUP(I6,'Feed parameters'!$A$2:$M$114,7, FALSE)</f>
        <v>0</v>
      </c>
      <c r="J23" s="186">
        <f>VLOOKUP(J6,'Feed parameters'!$A$2:$M$114,7, FALSE)</f>
        <v>0</v>
      </c>
      <c r="K23" s="186">
        <f>VLOOKUP(K6,'Feed parameters'!$A$2:$M$114,7, FALSE)</f>
        <v>0</v>
      </c>
      <c r="L23" s="369">
        <f>IFERROR(SUMPRODUCT(E21:K21,E23:K23)/ SUM(E21:K21), 0)</f>
        <v>0</v>
      </c>
      <c r="M23" s="376" t="s">
        <v>812</v>
      </c>
      <c r="N23" s="712">
        <f t="shared" ref="N23:N25" si="14">N16</f>
        <v>0.79859999999999998</v>
      </c>
      <c r="O23" s="712">
        <f t="shared" si="12"/>
        <v>0.43229999999999996</v>
      </c>
      <c r="P23" s="712">
        <f t="shared" si="12"/>
        <v>0.45539999999999997</v>
      </c>
      <c r="Q23" s="712">
        <f t="shared" si="12"/>
        <v>0</v>
      </c>
      <c r="R23" s="712">
        <f t="shared" si="12"/>
        <v>0</v>
      </c>
      <c r="S23" s="712">
        <f t="shared" si="12"/>
        <v>0</v>
      </c>
      <c r="T23" s="712">
        <f t="shared" si="12"/>
        <v>0</v>
      </c>
      <c r="U23" s="375">
        <f>IFERROR(SUMPRODUCT(N21:T21,N23:T23)/ SUM(N21:T21), 0)</f>
        <v>0.50850697674418588</v>
      </c>
      <c r="V23" s="376" t="s">
        <v>812</v>
      </c>
      <c r="W23" s="712">
        <f t="shared" ref="W23:AC25" si="15">W16</f>
        <v>0.79859999999999998</v>
      </c>
      <c r="X23" s="712">
        <f t="shared" si="15"/>
        <v>0.43229999999999996</v>
      </c>
      <c r="Y23" s="712">
        <f t="shared" si="15"/>
        <v>0.45539999999999997</v>
      </c>
      <c r="Z23" s="712">
        <f t="shared" si="15"/>
        <v>0</v>
      </c>
      <c r="AA23" s="712">
        <f t="shared" si="15"/>
        <v>0</v>
      </c>
      <c r="AB23" s="712">
        <f t="shared" si="15"/>
        <v>0</v>
      </c>
      <c r="AC23" s="712">
        <f t="shared" si="15"/>
        <v>0</v>
      </c>
      <c r="AD23" s="375">
        <f>IFERROR(SUMPRODUCT(W21:AC21,W23:AC23)/ SUM(W21:AC21), 0)</f>
        <v>0</v>
      </c>
      <c r="AE23" s="564">
        <f>L23*$G$3+U23*$P$3+AD23*$Y$3</f>
        <v>0.19922328129977693</v>
      </c>
    </row>
    <row r="24" spans="1:32" s="145" customFormat="1">
      <c r="B24" s="496"/>
      <c r="C24" s="515"/>
      <c r="D24" s="497" t="s">
        <v>902</v>
      </c>
      <c r="E24" s="366">
        <f>VLOOKUP(E6,'Feed parameters'!$A$2:$M$114,4, FALSE)</f>
        <v>10.89</v>
      </c>
      <c r="F24" s="261">
        <f>VLOOKUP(F6,'Feed parameters'!$A$2:$M$114,4, FALSE)</f>
        <v>1.9027750000000001</v>
      </c>
      <c r="G24" s="261">
        <f>VLOOKUP(G6,'Feed parameters'!$A$2:$M$114,4, FALSE)</f>
        <v>6.0030000000000001</v>
      </c>
      <c r="H24" s="261">
        <f>VLOOKUP(H6,'Feed parameters'!$A$2:$M$114,4, FALSE)</f>
        <v>0</v>
      </c>
      <c r="I24" s="261">
        <f>VLOOKUP(I6,'Feed parameters'!$A$2:$M$114,4, FALSE)</f>
        <v>0</v>
      </c>
      <c r="J24" s="261">
        <f>VLOOKUP(J6,'Feed parameters'!$A$2:$M$114,4, FALSE)</f>
        <v>0</v>
      </c>
      <c r="K24" s="261">
        <f>VLOOKUP(K6,'Feed parameters'!$A$2:$M$114,4, FALSE)</f>
        <v>0</v>
      </c>
      <c r="L24" s="367">
        <f>IFERROR(SUMPRODUCT(E21:K21,E24:K24)/ SUM(E21:K21), 0)</f>
        <v>0</v>
      </c>
      <c r="M24" s="376" t="s">
        <v>902</v>
      </c>
      <c r="N24" s="712">
        <f t="shared" si="14"/>
        <v>10.89</v>
      </c>
      <c r="O24" s="712">
        <f t="shared" si="12"/>
        <v>1.9027750000000001</v>
      </c>
      <c r="P24" s="712">
        <f t="shared" si="12"/>
        <v>6.0030000000000001</v>
      </c>
      <c r="Q24" s="712">
        <f t="shared" si="12"/>
        <v>0</v>
      </c>
      <c r="R24" s="712">
        <f t="shared" si="12"/>
        <v>0</v>
      </c>
      <c r="S24" s="712">
        <f t="shared" si="12"/>
        <v>0</v>
      </c>
      <c r="T24" s="712">
        <f t="shared" si="12"/>
        <v>0</v>
      </c>
      <c r="U24" s="374">
        <f>IFERROR(SUMPRODUCT(N21:T21,N24:T24)/ SUM(N21:T21), 0)</f>
        <v>5.0051279069767443</v>
      </c>
      <c r="V24" s="376" t="s">
        <v>902</v>
      </c>
      <c r="W24" s="712">
        <f t="shared" si="15"/>
        <v>10.89</v>
      </c>
      <c r="X24" s="712">
        <f t="shared" si="15"/>
        <v>1.9027750000000001</v>
      </c>
      <c r="Y24" s="712">
        <f t="shared" si="15"/>
        <v>6.0030000000000001</v>
      </c>
      <c r="Z24" s="712">
        <f t="shared" si="15"/>
        <v>0</v>
      </c>
      <c r="AA24" s="712">
        <f t="shared" si="15"/>
        <v>0</v>
      </c>
      <c r="AB24" s="712">
        <f t="shared" si="15"/>
        <v>0</v>
      </c>
      <c r="AC24" s="712">
        <f t="shared" si="15"/>
        <v>0</v>
      </c>
      <c r="AD24" s="374">
        <f>IFERROR(SUMPRODUCT(W21:AC21,W24:AC24)/ SUM(W21:AC21), 0)</f>
        <v>0</v>
      </c>
      <c r="AE24" s="564"/>
    </row>
    <row r="25" spans="1:32" s="145" customFormat="1">
      <c r="B25" s="496"/>
      <c r="C25" s="515"/>
      <c r="D25" s="497" t="s">
        <v>1147</v>
      </c>
      <c r="E25" s="366">
        <f>VLOOKUP(E6,'Feed parameters'!$A$2:$M$114,2, FALSE)</f>
        <v>90</v>
      </c>
      <c r="F25" s="261">
        <f>VLOOKUP(F6,'Feed parameters'!$A$2:$M$114,2, FALSE)</f>
        <v>29.05</v>
      </c>
      <c r="G25" s="261">
        <f>VLOOKUP(G6,'Feed parameters'!$A$2:$M$114,2, FALSE)</f>
        <v>87</v>
      </c>
      <c r="H25" s="261">
        <f>VLOOKUP(H6,'Feed parameters'!$A$2:$M$114,2, FALSE)</f>
        <v>0</v>
      </c>
      <c r="I25" s="261">
        <f>VLOOKUP(I6,'Feed parameters'!$A$2:$M$114,2, FALSE)</f>
        <v>0</v>
      </c>
      <c r="J25" s="261">
        <f>VLOOKUP(J6,'Feed parameters'!$A$2:$M$114,2, FALSE)</f>
        <v>0</v>
      </c>
      <c r="K25" s="261">
        <f>VLOOKUP(K6,'Feed parameters'!$A$2:$M$114,2, FALSE)</f>
        <v>0</v>
      </c>
      <c r="L25" s="367">
        <f>IFERROR(SUMPRODUCT(E21:K21,E25:K25)/ SUM(E21:K21), 0)</f>
        <v>0</v>
      </c>
      <c r="M25" s="540" t="s">
        <v>1147</v>
      </c>
      <c r="N25" s="712">
        <f t="shared" si="14"/>
        <v>90</v>
      </c>
      <c r="O25" s="712">
        <f t="shared" si="12"/>
        <v>29.05</v>
      </c>
      <c r="P25" s="712">
        <f t="shared" si="12"/>
        <v>87</v>
      </c>
      <c r="Q25" s="712">
        <f t="shared" si="12"/>
        <v>0</v>
      </c>
      <c r="R25" s="712">
        <f t="shared" si="12"/>
        <v>0</v>
      </c>
      <c r="S25" s="712">
        <f t="shared" si="12"/>
        <v>0</v>
      </c>
      <c r="T25" s="712">
        <f t="shared" si="12"/>
        <v>0</v>
      </c>
      <c r="U25" s="374">
        <f>IFERROR(SUMPRODUCT(N21:T21,N25:T25)/ SUM(N21:T21), 0)</f>
        <v>60.604651162790695</v>
      </c>
      <c r="V25" s="540" t="s">
        <v>1147</v>
      </c>
      <c r="W25" s="712">
        <f t="shared" si="15"/>
        <v>90</v>
      </c>
      <c r="X25" s="712">
        <f t="shared" si="15"/>
        <v>29.05</v>
      </c>
      <c r="Y25" s="712">
        <f t="shared" si="15"/>
        <v>87</v>
      </c>
      <c r="Z25" s="712">
        <f t="shared" si="15"/>
        <v>0</v>
      </c>
      <c r="AA25" s="712">
        <f t="shared" si="15"/>
        <v>0</v>
      </c>
      <c r="AB25" s="712">
        <f t="shared" si="15"/>
        <v>0</v>
      </c>
      <c r="AC25" s="712">
        <f t="shared" si="15"/>
        <v>0</v>
      </c>
      <c r="AD25" s="374">
        <f>IFERROR(SUMPRODUCT(W21:AC21,W25:AC25)/ SUM(W21:AC21), 0)</f>
        <v>0</v>
      </c>
      <c r="AE25" s="564">
        <f>L25*$G$3+U25*$P$3+AD25*$Y$3</f>
        <v>23.743740044600191</v>
      </c>
    </row>
    <row r="26" spans="1:32" s="145" customFormat="1">
      <c r="B26" s="496"/>
      <c r="C26" s="515"/>
      <c r="D26" s="497" t="s">
        <v>1165</v>
      </c>
      <c r="E26" s="366">
        <f t="shared" ref="E26:K26" si="16">IFERROR((E21*E25)/SUMPRODUCT($E21:$K21,$E25:$K25), 0)</f>
        <v>0</v>
      </c>
      <c r="F26" s="261">
        <f t="shared" si="16"/>
        <v>0</v>
      </c>
      <c r="G26" s="261">
        <f t="shared" si="16"/>
        <v>0</v>
      </c>
      <c r="H26" s="261">
        <f t="shared" si="16"/>
        <v>0</v>
      </c>
      <c r="I26" s="261">
        <f t="shared" si="16"/>
        <v>0</v>
      </c>
      <c r="J26" s="261">
        <f t="shared" si="16"/>
        <v>0</v>
      </c>
      <c r="K26" s="261">
        <f t="shared" si="16"/>
        <v>0</v>
      </c>
      <c r="L26" s="367"/>
      <c r="M26" s="540" t="s">
        <v>1165</v>
      </c>
      <c r="N26" s="261">
        <f t="shared" ref="N26:T26" si="17">IFERROR(IFERROR((N21*N25)/SUMPRODUCT($N21:$T21,$N25:$T25), 0), 0)</f>
        <v>0.27628549501151189</v>
      </c>
      <c r="O26" s="261">
        <f t="shared" si="17"/>
        <v>0.2229470452801228</v>
      </c>
      <c r="P26" s="261">
        <f t="shared" si="17"/>
        <v>0.50076745970836523</v>
      </c>
      <c r="Q26" s="261">
        <f t="shared" si="17"/>
        <v>0</v>
      </c>
      <c r="R26" s="261">
        <f t="shared" si="17"/>
        <v>0</v>
      </c>
      <c r="S26" s="261">
        <f t="shared" si="17"/>
        <v>0</v>
      </c>
      <c r="T26" s="261">
        <f t="shared" si="17"/>
        <v>0</v>
      </c>
      <c r="U26" s="374"/>
      <c r="V26" s="540" t="s">
        <v>1165</v>
      </c>
      <c r="W26" s="261">
        <f>IFERROR((W21*W25)/SUMPRODUCT($W21:$AC21,$W25:$AC25), 0)</f>
        <v>0</v>
      </c>
      <c r="X26" s="261">
        <f t="shared" ref="X26:AC26" si="18">IFERROR((X21*X25)/SUMPRODUCT($W21:$AC21,$W25:$AC25), 0)</f>
        <v>0</v>
      </c>
      <c r="Y26" s="261">
        <f t="shared" si="18"/>
        <v>0</v>
      </c>
      <c r="Z26" s="261">
        <f t="shared" si="18"/>
        <v>0</v>
      </c>
      <c r="AA26" s="261">
        <f t="shared" si="18"/>
        <v>0</v>
      </c>
      <c r="AB26" s="261">
        <f t="shared" si="18"/>
        <v>0</v>
      </c>
      <c r="AC26" s="261">
        <f t="shared" si="18"/>
        <v>0</v>
      </c>
      <c r="AD26" s="374"/>
      <c r="AE26" s="564"/>
    </row>
    <row r="27" spans="1:32" s="145" customFormat="1">
      <c r="B27" s="496"/>
      <c r="C27" s="515"/>
      <c r="D27" s="497"/>
      <c r="E27" s="366"/>
      <c r="F27" s="261"/>
      <c r="G27" s="261"/>
      <c r="H27" s="261"/>
      <c r="I27" s="261"/>
      <c r="J27" s="261"/>
      <c r="K27" s="261"/>
      <c r="L27" s="367"/>
      <c r="M27" s="376"/>
      <c r="N27" s="186"/>
      <c r="O27" s="186"/>
      <c r="P27" s="186"/>
      <c r="Q27" s="186"/>
      <c r="R27" s="186"/>
      <c r="S27" s="186"/>
      <c r="T27" s="186"/>
      <c r="U27" s="374"/>
      <c r="V27" s="376"/>
      <c r="W27" s="186"/>
      <c r="X27" s="186"/>
      <c r="Y27" s="186"/>
      <c r="Z27" s="186"/>
      <c r="AA27" s="186"/>
      <c r="AB27" s="186"/>
      <c r="AC27" s="186"/>
      <c r="AD27" s="374"/>
      <c r="AE27" s="564"/>
    </row>
    <row r="28" spans="1:32" s="291" customFormat="1">
      <c r="B28" s="498">
        <f>INPUTS!C20</f>
        <v>0</v>
      </c>
      <c r="C28" s="516"/>
      <c r="D28" s="495" t="s">
        <v>1164</v>
      </c>
      <c r="E28" s="364">
        <f>INPUTS!F56</f>
        <v>0</v>
      </c>
      <c r="F28" s="292">
        <f>INPUTS!F57</f>
        <v>0</v>
      </c>
      <c r="G28" s="292">
        <f>INPUTS!F58</f>
        <v>0</v>
      </c>
      <c r="H28" s="292">
        <f>INPUTS!F59</f>
        <v>0</v>
      </c>
      <c r="I28" s="292">
        <f>INPUTS!F60</f>
        <v>0</v>
      </c>
      <c r="J28" s="292">
        <f>INPUTS!F61</f>
        <v>0</v>
      </c>
      <c r="K28" s="292">
        <f>INPUTS!F62</f>
        <v>0</v>
      </c>
      <c r="L28" s="365"/>
      <c r="M28" s="556" t="s">
        <v>1164</v>
      </c>
      <c r="N28" s="292">
        <f>INPUTS!F67</f>
        <v>0</v>
      </c>
      <c r="O28" s="292">
        <f>INPUTS!F68</f>
        <v>0</v>
      </c>
      <c r="P28" s="292">
        <f>INPUTS!F69</f>
        <v>0</v>
      </c>
      <c r="Q28" s="292">
        <f>INPUTS!F70</f>
        <v>0</v>
      </c>
      <c r="R28" s="292">
        <f>INPUTS!F71</f>
        <v>0</v>
      </c>
      <c r="S28" s="292">
        <f>INPUTS!F72</f>
        <v>0</v>
      </c>
      <c r="T28" s="292">
        <f>INPUTS!F73</f>
        <v>0</v>
      </c>
      <c r="U28" s="373"/>
      <c r="V28" s="556" t="s">
        <v>1164</v>
      </c>
      <c r="W28" s="292">
        <f>INPUTS!F78</f>
        <v>0</v>
      </c>
      <c r="X28" s="292">
        <f>INPUTS!F79</f>
        <v>0</v>
      </c>
      <c r="Y28" s="292">
        <f>INPUTS!F80</f>
        <v>0</v>
      </c>
      <c r="Z28" s="292">
        <f>INPUTS!F81</f>
        <v>0</v>
      </c>
      <c r="AA28" s="292">
        <f>INPUTS!F82</f>
        <v>0</v>
      </c>
      <c r="AB28" s="292">
        <f>INPUTS!F83</f>
        <v>0</v>
      </c>
      <c r="AC28" s="292">
        <f>INPUTS!F84</f>
        <v>0</v>
      </c>
      <c r="AD28" s="373"/>
      <c r="AE28" s="563"/>
    </row>
    <row r="29" spans="1:32" s="145" customFormat="1">
      <c r="B29" s="499"/>
      <c r="C29" s="517"/>
      <c r="D29" s="497" t="s">
        <v>811</v>
      </c>
      <c r="E29" s="368">
        <f>VLOOKUP(E6,'Feed parameters'!$A$2:$M$114,6, FALSE)</f>
        <v>14.4</v>
      </c>
      <c r="F29" s="186">
        <f>VLOOKUP(F6,'Feed parameters'!$A$2:$M$114,6, FALSE)</f>
        <v>2.17875</v>
      </c>
      <c r="G29" s="186">
        <f>VLOOKUP(G6,'Feed parameters'!$A$2:$M$114,6, FALSE)</f>
        <v>3.3930000000000002</v>
      </c>
      <c r="H29" s="186">
        <f>VLOOKUP(H6,'Feed parameters'!$A$2:$M$114,6, FALSE)</f>
        <v>0</v>
      </c>
      <c r="I29" s="186">
        <f>VLOOKUP(I6,'Feed parameters'!$A$2:$M$114,6, FALSE)</f>
        <v>0</v>
      </c>
      <c r="J29" s="186">
        <f>VLOOKUP(J6,'Feed parameters'!$A$2:$M$114,6, FALSE)</f>
        <v>0</v>
      </c>
      <c r="K29" s="186">
        <f>VLOOKUP(K6,'Feed parameters'!$A$2:$M$114,6, FALSE)</f>
        <v>0</v>
      </c>
      <c r="L29" s="369">
        <f>IFERROR(SUMPRODUCT(E28:K28,E29:K29)/ SUM(E28:K28), 0)</f>
        <v>0</v>
      </c>
      <c r="M29" s="376" t="s">
        <v>811</v>
      </c>
      <c r="N29" s="712">
        <f>N22</f>
        <v>14.4</v>
      </c>
      <c r="O29" s="712">
        <f t="shared" ref="O29:T32" si="19">O22</f>
        <v>2.17875</v>
      </c>
      <c r="P29" s="712">
        <f t="shared" si="19"/>
        <v>3.3930000000000002</v>
      </c>
      <c r="Q29" s="712">
        <f t="shared" si="19"/>
        <v>0</v>
      </c>
      <c r="R29" s="712">
        <f t="shared" si="19"/>
        <v>0</v>
      </c>
      <c r="S29" s="712">
        <f t="shared" si="19"/>
        <v>0</v>
      </c>
      <c r="T29" s="712">
        <f t="shared" si="19"/>
        <v>0</v>
      </c>
      <c r="U29" s="375">
        <f>IFERROR(SUMPRODUCT(N28:T28,N29:T29)/ SUM(N28:T28), 0)</f>
        <v>0</v>
      </c>
      <c r="V29" s="376" t="s">
        <v>811</v>
      </c>
      <c r="W29" s="712">
        <f>W22</f>
        <v>14.4</v>
      </c>
      <c r="X29" s="712">
        <f t="shared" ref="X29:AC29" si="20">X22</f>
        <v>2.17875</v>
      </c>
      <c r="Y29" s="712">
        <f t="shared" si="20"/>
        <v>3.3930000000000002</v>
      </c>
      <c r="Z29" s="712">
        <f t="shared" si="20"/>
        <v>0</v>
      </c>
      <c r="AA29" s="712">
        <f t="shared" si="20"/>
        <v>0</v>
      </c>
      <c r="AB29" s="712">
        <f t="shared" si="20"/>
        <v>0</v>
      </c>
      <c r="AC29" s="712">
        <f t="shared" si="20"/>
        <v>0</v>
      </c>
      <c r="AD29" s="375">
        <f>IFERROR(SUMPRODUCT(W28:AC28,W29:AC29)/ SUM(W28:AC28), 0)</f>
        <v>0</v>
      </c>
      <c r="AE29" s="564">
        <f>L29*$G$3+U29*$P$3+AD29*$Y$3</f>
        <v>0</v>
      </c>
      <c r="AF29" s="478">
        <f>IFERROR(L29*$G$3/(L32*0.01),0)+IFERROR(U29*$P$3/(U32*0.01),0)+IFERROR(AD29*$Y$3/(AD32*0.01),0)</f>
        <v>0</v>
      </c>
    </row>
    <row r="30" spans="1:32">
      <c r="B30" s="500"/>
      <c r="C30" s="518"/>
      <c r="D30" s="497" t="s">
        <v>812</v>
      </c>
      <c r="E30" s="463">
        <f>VLOOKUP(E6,'Feed parameters'!$A$2:$M$114,7, FALSE)</f>
        <v>0.79859999999999998</v>
      </c>
      <c r="F30" s="39">
        <f>VLOOKUP(F6,'Feed parameters'!$A$2:$M$114,7, FALSE)</f>
        <v>0.43229999999999996</v>
      </c>
      <c r="G30" s="39">
        <f>VLOOKUP(G6,'Feed parameters'!$A$2:$M$114,7, FALSE)</f>
        <v>0.45539999999999997</v>
      </c>
      <c r="H30" s="39">
        <f>VLOOKUP(H6,'Feed parameters'!$A$2:$M$114,7, FALSE)</f>
        <v>0</v>
      </c>
      <c r="I30" s="39">
        <f>VLOOKUP(I6,'Feed parameters'!$A$2:$M$114,7, FALSE)</f>
        <v>0</v>
      </c>
      <c r="J30" s="39">
        <f>VLOOKUP(J6,'Feed parameters'!$A$2:$M$114,7, FALSE)</f>
        <v>0</v>
      </c>
      <c r="K30" s="39">
        <f>VLOOKUP(K6,'Feed parameters'!$A$2:$M$114,7, FALSE)</f>
        <v>0</v>
      </c>
      <c r="L30" s="1122">
        <f>IFERROR(SUMPRODUCT(E28:K28,E30:K30)/ SUM(E28:K28), 0)</f>
        <v>0</v>
      </c>
      <c r="M30" s="376" t="s">
        <v>812</v>
      </c>
      <c r="N30" s="712">
        <f t="shared" ref="N30:N32" si="21">N23</f>
        <v>0.79859999999999998</v>
      </c>
      <c r="O30" s="712">
        <f t="shared" si="19"/>
        <v>0.43229999999999996</v>
      </c>
      <c r="P30" s="712">
        <f t="shared" si="19"/>
        <v>0.45539999999999997</v>
      </c>
      <c r="Q30" s="712">
        <f t="shared" si="19"/>
        <v>0</v>
      </c>
      <c r="R30" s="712">
        <f t="shared" si="19"/>
        <v>0</v>
      </c>
      <c r="S30" s="712">
        <f t="shared" si="19"/>
        <v>0</v>
      </c>
      <c r="T30" s="712">
        <f t="shared" si="19"/>
        <v>0</v>
      </c>
      <c r="U30" s="375">
        <f>IFERROR(SUMPRODUCT(N28:T28,N30:T30)/ SUM(N28:T28), 0)</f>
        <v>0</v>
      </c>
      <c r="V30" s="376" t="s">
        <v>812</v>
      </c>
      <c r="W30" s="712">
        <f t="shared" ref="W30:AC32" si="22">W23</f>
        <v>0.79859999999999998</v>
      </c>
      <c r="X30" s="712">
        <f t="shared" si="22"/>
        <v>0.43229999999999996</v>
      </c>
      <c r="Y30" s="712">
        <f t="shared" si="22"/>
        <v>0.45539999999999997</v>
      </c>
      <c r="Z30" s="712">
        <f t="shared" si="22"/>
        <v>0</v>
      </c>
      <c r="AA30" s="712">
        <f t="shared" si="22"/>
        <v>0</v>
      </c>
      <c r="AB30" s="712">
        <f t="shared" si="22"/>
        <v>0</v>
      </c>
      <c r="AC30" s="712">
        <f t="shared" si="22"/>
        <v>0</v>
      </c>
      <c r="AD30" s="375">
        <f>IFERROR(SUMPRODUCT(W28:AC28,W30:AC30)/ SUM(W28:AC28), 0)</f>
        <v>0</v>
      </c>
      <c r="AE30" s="564">
        <f>L30*$G$3+U30*$P$3+AD30*$Y$3</f>
        <v>0</v>
      </c>
      <c r="AF30" s="145"/>
    </row>
    <row r="31" spans="1:32">
      <c r="A31" s="261"/>
      <c r="B31" s="501"/>
      <c r="C31" s="519"/>
      <c r="D31" s="497" t="s">
        <v>902</v>
      </c>
      <c r="E31" s="366">
        <f>VLOOKUP(E6,'Feed parameters'!$A$2:$M$114,4, FALSE)</f>
        <v>10.89</v>
      </c>
      <c r="F31" s="261">
        <f>VLOOKUP(F6,'Feed parameters'!$A$2:$M$114,4, FALSE)</f>
        <v>1.9027750000000001</v>
      </c>
      <c r="G31" s="261">
        <f>VLOOKUP(G6,'Feed parameters'!$A$2:$M$114,4, FALSE)</f>
        <v>6.0030000000000001</v>
      </c>
      <c r="H31" s="261">
        <f>VLOOKUP(H6,'Feed parameters'!$A$2:$M$114,4, FALSE)</f>
        <v>0</v>
      </c>
      <c r="I31" s="261">
        <f>VLOOKUP(I6,'Feed parameters'!$A$2:$M$114,4, FALSE)</f>
        <v>0</v>
      </c>
      <c r="J31" s="261">
        <f>VLOOKUP(J6,'Feed parameters'!$A$2:$M$114,4, FALSE)</f>
        <v>0</v>
      </c>
      <c r="K31" s="261">
        <f>VLOOKUP(K6,'Feed parameters'!$A$2:$M$114,4, FALSE)</f>
        <v>0</v>
      </c>
      <c r="L31" s="374">
        <f>IFERROR(SUMPRODUCT(E28:K28,E31:K31)/ SUM(E28:K28), 0)</f>
        <v>0</v>
      </c>
      <c r="M31" s="376" t="s">
        <v>902</v>
      </c>
      <c r="N31" s="712">
        <f t="shared" si="21"/>
        <v>10.89</v>
      </c>
      <c r="O31" s="712">
        <f t="shared" si="19"/>
        <v>1.9027750000000001</v>
      </c>
      <c r="P31" s="712">
        <f t="shared" si="19"/>
        <v>6.0030000000000001</v>
      </c>
      <c r="Q31" s="712">
        <f t="shared" si="19"/>
        <v>0</v>
      </c>
      <c r="R31" s="712">
        <f t="shared" si="19"/>
        <v>0</v>
      </c>
      <c r="S31" s="712">
        <f t="shared" si="19"/>
        <v>0</v>
      </c>
      <c r="T31" s="712">
        <f t="shared" si="19"/>
        <v>0</v>
      </c>
      <c r="U31" s="367">
        <f>IFERROR(SUMPRODUCT(N28:T28,N31:T31)/ SUM(N28:T28), 0)</f>
        <v>0</v>
      </c>
      <c r="V31" s="376" t="s">
        <v>902</v>
      </c>
      <c r="W31" s="712">
        <f t="shared" si="22"/>
        <v>10.89</v>
      </c>
      <c r="X31" s="712">
        <f t="shared" si="22"/>
        <v>1.9027750000000001</v>
      </c>
      <c r="Y31" s="712">
        <f t="shared" si="22"/>
        <v>6.0030000000000001</v>
      </c>
      <c r="Z31" s="712">
        <f t="shared" si="22"/>
        <v>0</v>
      </c>
      <c r="AA31" s="712">
        <f t="shared" si="22"/>
        <v>0</v>
      </c>
      <c r="AB31" s="712">
        <f t="shared" si="22"/>
        <v>0</v>
      </c>
      <c r="AC31" s="712">
        <f t="shared" si="22"/>
        <v>0</v>
      </c>
      <c r="AD31" s="367">
        <f>IFERROR(SUMPRODUCT(W28:AC28,W31:AC31)/ SUM(W28:AC28), 0)</f>
        <v>0</v>
      </c>
      <c r="AE31" s="564"/>
      <c r="AF31" s="145"/>
    </row>
    <row r="32" spans="1:32" s="145" customFormat="1">
      <c r="B32" s="496"/>
      <c r="C32" s="515"/>
      <c r="D32" s="497" t="s">
        <v>1147</v>
      </c>
      <c r="E32" s="366">
        <f>VLOOKUP(E6,'Feed parameters'!$A$2:$M$114,2, FALSE)</f>
        <v>90</v>
      </c>
      <c r="F32" s="261">
        <f>VLOOKUP(F6,'Feed parameters'!$A$2:$M$114,2, FALSE)</f>
        <v>29.05</v>
      </c>
      <c r="G32" s="261">
        <f>VLOOKUP(G6,'Feed parameters'!$A$2:$M$114,2, FALSE)</f>
        <v>87</v>
      </c>
      <c r="H32" s="261">
        <f>VLOOKUP(H6,'Feed parameters'!$A$2:$M$114,2, FALSE)</f>
        <v>0</v>
      </c>
      <c r="I32" s="261">
        <f>VLOOKUP(I6,'Feed parameters'!$A$2:$M$114,2, FALSE)</f>
        <v>0</v>
      </c>
      <c r="J32" s="261">
        <f>VLOOKUP(J6,'Feed parameters'!$A$2:$M$114,2, FALSE)</f>
        <v>0</v>
      </c>
      <c r="K32" s="261">
        <f>VLOOKUP(K6,'Feed parameters'!$A$2:$M$114,2, FALSE)</f>
        <v>0</v>
      </c>
      <c r="L32" s="367">
        <f>IFERROR(SUMPRODUCT(E28:K28,E32:K32)/ SUM(E28:K28), 0)</f>
        <v>0</v>
      </c>
      <c r="M32" s="540" t="s">
        <v>1147</v>
      </c>
      <c r="N32" s="712">
        <f t="shared" si="21"/>
        <v>90</v>
      </c>
      <c r="O32" s="712">
        <f t="shared" si="19"/>
        <v>29.05</v>
      </c>
      <c r="P32" s="712">
        <f t="shared" si="19"/>
        <v>87</v>
      </c>
      <c r="Q32" s="712">
        <f t="shared" si="19"/>
        <v>0</v>
      </c>
      <c r="R32" s="712">
        <f t="shared" si="19"/>
        <v>0</v>
      </c>
      <c r="S32" s="712">
        <f t="shared" si="19"/>
        <v>0</v>
      </c>
      <c r="T32" s="712">
        <f t="shared" si="19"/>
        <v>0</v>
      </c>
      <c r="U32" s="374">
        <f>IFERROR(SUMPRODUCT(N28:T28,N32:T32)/ SUM(N28:T28), 0)</f>
        <v>0</v>
      </c>
      <c r="V32" s="540" t="s">
        <v>1147</v>
      </c>
      <c r="W32" s="712">
        <f t="shared" si="22"/>
        <v>90</v>
      </c>
      <c r="X32" s="712">
        <f t="shared" si="22"/>
        <v>29.05</v>
      </c>
      <c r="Y32" s="712">
        <f t="shared" si="22"/>
        <v>87</v>
      </c>
      <c r="Z32" s="712">
        <f t="shared" si="22"/>
        <v>0</v>
      </c>
      <c r="AA32" s="712">
        <f t="shared" si="22"/>
        <v>0</v>
      </c>
      <c r="AB32" s="712">
        <f t="shared" si="22"/>
        <v>0</v>
      </c>
      <c r="AC32" s="712">
        <f t="shared" si="22"/>
        <v>0</v>
      </c>
      <c r="AD32" s="374">
        <f>IFERROR(SUMPRODUCT(W28:AC28,W32:AC32)/ SUM(W28:AC28), 0)</f>
        <v>0</v>
      </c>
      <c r="AE32" s="564">
        <f>L32*$G$3+U32*$P$3+AD32*$Y$3</f>
        <v>0</v>
      </c>
    </row>
    <row r="33" spans="1:32" s="145" customFormat="1">
      <c r="B33" s="496"/>
      <c r="C33" s="515"/>
      <c r="D33" s="497" t="s">
        <v>1165</v>
      </c>
      <c r="E33" s="366">
        <f t="shared" ref="E33:K33" si="23">IFERROR((E28*E32)/SUMPRODUCT($E28:$K28,$E32:$K32), 0)</f>
        <v>0</v>
      </c>
      <c r="F33" s="261">
        <f t="shared" si="23"/>
        <v>0</v>
      </c>
      <c r="G33" s="261">
        <f t="shared" si="23"/>
        <v>0</v>
      </c>
      <c r="H33" s="261">
        <f t="shared" si="23"/>
        <v>0</v>
      </c>
      <c r="I33" s="261">
        <f t="shared" si="23"/>
        <v>0</v>
      </c>
      <c r="J33" s="261">
        <f t="shared" si="23"/>
        <v>0</v>
      </c>
      <c r="K33" s="261">
        <f t="shared" si="23"/>
        <v>0</v>
      </c>
      <c r="L33" s="367"/>
      <c r="M33" s="540" t="s">
        <v>1165</v>
      </c>
      <c r="N33" s="261">
        <f t="shared" ref="N33:T33" si="24">IFERROR((N28*N32)/SUMPRODUCT($N28:$T28,$N32:$T32), 0)</f>
        <v>0</v>
      </c>
      <c r="O33" s="261">
        <f t="shared" si="24"/>
        <v>0</v>
      </c>
      <c r="P33" s="261">
        <f t="shared" si="24"/>
        <v>0</v>
      </c>
      <c r="Q33" s="261">
        <f t="shared" si="24"/>
        <v>0</v>
      </c>
      <c r="R33" s="261">
        <f t="shared" si="24"/>
        <v>0</v>
      </c>
      <c r="S33" s="261">
        <f t="shared" si="24"/>
        <v>0</v>
      </c>
      <c r="T33" s="261">
        <f t="shared" si="24"/>
        <v>0</v>
      </c>
      <c r="U33" s="374"/>
      <c r="V33" s="540" t="s">
        <v>1165</v>
      </c>
      <c r="W33" s="261">
        <f>IFERROR((W28*W32)/SUMPRODUCT($W28:$AC28,$W32:$AC32), 0)</f>
        <v>0</v>
      </c>
      <c r="X33" s="261">
        <f t="shared" ref="X33:AC33" si="25">IFERROR((X28*X32)/SUMPRODUCT($W28:$AC28,$W32:$AC32), 0)</f>
        <v>0</v>
      </c>
      <c r="Y33" s="261">
        <f t="shared" si="25"/>
        <v>0</v>
      </c>
      <c r="Z33" s="261">
        <f t="shared" si="25"/>
        <v>0</v>
      </c>
      <c r="AA33" s="261">
        <f t="shared" si="25"/>
        <v>0</v>
      </c>
      <c r="AB33" s="261">
        <f t="shared" si="25"/>
        <v>0</v>
      </c>
      <c r="AC33" s="261">
        <f t="shared" si="25"/>
        <v>0</v>
      </c>
      <c r="AD33" s="374"/>
      <c r="AE33" s="564"/>
    </row>
    <row r="34" spans="1:32" s="145" customFormat="1">
      <c r="A34" s="261"/>
      <c r="B34" s="501"/>
      <c r="C34" s="519"/>
      <c r="D34" s="497"/>
      <c r="E34" s="366"/>
      <c r="F34" s="261"/>
      <c r="G34" s="261"/>
      <c r="H34" s="261"/>
      <c r="I34" s="261"/>
      <c r="J34" s="261"/>
      <c r="K34" s="261"/>
      <c r="L34" s="370"/>
      <c r="M34" s="376"/>
      <c r="N34" s="261"/>
      <c r="O34" s="261"/>
      <c r="P34" s="261"/>
      <c r="Q34" s="261"/>
      <c r="R34" s="261"/>
      <c r="S34" s="261"/>
      <c r="T34" s="261"/>
      <c r="U34" s="370"/>
      <c r="V34" s="376"/>
      <c r="W34" s="261"/>
      <c r="X34" s="261"/>
      <c r="Y34" s="261"/>
      <c r="Z34" s="261"/>
      <c r="AA34" s="261"/>
      <c r="AB34" s="261"/>
      <c r="AC34" s="261"/>
      <c r="AD34" s="370"/>
      <c r="AE34" s="564"/>
    </row>
    <row r="35" spans="1:32" s="291" customFormat="1">
      <c r="B35" s="502">
        <f>INPUTS!C21</f>
        <v>0</v>
      </c>
      <c r="C35" s="520"/>
      <c r="D35" s="495" t="s">
        <v>1164</v>
      </c>
      <c r="E35" s="364">
        <f>INPUTS!G56</f>
        <v>0</v>
      </c>
      <c r="F35" s="292">
        <f>INPUTS!G57</f>
        <v>0</v>
      </c>
      <c r="G35" s="292">
        <f>INPUTS!G58</f>
        <v>0</v>
      </c>
      <c r="H35" s="292">
        <f>INPUTS!G59</f>
        <v>0</v>
      </c>
      <c r="I35" s="292">
        <f>INPUTS!G60</f>
        <v>0</v>
      </c>
      <c r="J35" s="292">
        <f>INPUTS!G61</f>
        <v>0</v>
      </c>
      <c r="K35" s="292">
        <f>INPUTS!G62</f>
        <v>0</v>
      </c>
      <c r="L35" s="365"/>
      <c r="M35" s="556" t="s">
        <v>1164</v>
      </c>
      <c r="N35" s="292">
        <f>INPUTS!G67</f>
        <v>0</v>
      </c>
      <c r="O35" s="292">
        <f>INPUTS!G68</f>
        <v>0</v>
      </c>
      <c r="P35" s="292">
        <f>INPUTS!G69</f>
        <v>0</v>
      </c>
      <c r="Q35" s="292">
        <f>INPUTS!G70</f>
        <v>0</v>
      </c>
      <c r="R35" s="292">
        <f>INPUTS!G71</f>
        <v>0</v>
      </c>
      <c r="S35" s="292">
        <f>INPUTS!G72</f>
        <v>0</v>
      </c>
      <c r="T35" s="292">
        <f>INPUTS!G73</f>
        <v>0</v>
      </c>
      <c r="U35" s="373"/>
      <c r="V35" s="556" t="s">
        <v>1164</v>
      </c>
      <c r="W35" s="292">
        <f>INPUTS!G78</f>
        <v>0</v>
      </c>
      <c r="X35" s="292">
        <f>INPUTS!G79</f>
        <v>0</v>
      </c>
      <c r="Y35" s="292">
        <f>INPUTS!G80</f>
        <v>0</v>
      </c>
      <c r="Z35" s="292">
        <f>INPUTS!G81</f>
        <v>0</v>
      </c>
      <c r="AA35" s="292">
        <f>INPUTS!G82</f>
        <v>0</v>
      </c>
      <c r="AB35" s="292">
        <f>INPUTS!G83</f>
        <v>0</v>
      </c>
      <c r="AC35" s="292">
        <f>INPUTS!G84</f>
        <v>0</v>
      </c>
      <c r="AD35" s="373"/>
      <c r="AE35" s="563"/>
    </row>
    <row r="36" spans="1:32" s="145" customFormat="1">
      <c r="B36" s="501"/>
      <c r="C36" s="519"/>
      <c r="D36" s="497" t="s">
        <v>811</v>
      </c>
      <c r="E36" s="366">
        <f>VLOOKUP(E6,'Feed parameters'!$A$2:$M$114,6, FALSE)</f>
        <v>14.4</v>
      </c>
      <c r="F36" s="261">
        <f>VLOOKUP(F6,'Feed parameters'!$A$2:$M$114,6, FALSE)</f>
        <v>2.17875</v>
      </c>
      <c r="G36" s="261">
        <f>VLOOKUP(G6,'Feed parameters'!$A$2:$M$114,6, FALSE)</f>
        <v>3.3930000000000002</v>
      </c>
      <c r="H36" s="261">
        <f>VLOOKUP(H6,'Feed parameters'!$A$2:$M$114,6, FALSE)</f>
        <v>0</v>
      </c>
      <c r="I36" s="261">
        <f>VLOOKUP(I6,'Feed parameters'!$A$2:$M$114,6, FALSE)</f>
        <v>0</v>
      </c>
      <c r="J36" s="261">
        <f>VLOOKUP(J6,'Feed parameters'!$A$2:$M$114,6, FALSE)</f>
        <v>0</v>
      </c>
      <c r="K36" s="261">
        <f>VLOOKUP(K6,'Feed parameters'!$A$2:$M$114,6, FALSE)</f>
        <v>0</v>
      </c>
      <c r="L36" s="367">
        <f>IFERROR(SUMPRODUCT(E35:K35,E36:K36)/ SUM(E35:K35), 0)</f>
        <v>0</v>
      </c>
      <c r="M36" s="376" t="s">
        <v>811</v>
      </c>
      <c r="N36" s="712">
        <f>N29</f>
        <v>14.4</v>
      </c>
      <c r="O36" s="712">
        <f t="shared" ref="O36:T39" si="26">O29</f>
        <v>2.17875</v>
      </c>
      <c r="P36" s="712">
        <f t="shared" si="26"/>
        <v>3.3930000000000002</v>
      </c>
      <c r="Q36" s="712">
        <f t="shared" si="26"/>
        <v>0</v>
      </c>
      <c r="R36" s="712">
        <f t="shared" si="26"/>
        <v>0</v>
      </c>
      <c r="S36" s="712">
        <f t="shared" si="26"/>
        <v>0</v>
      </c>
      <c r="T36" s="712">
        <f t="shared" si="26"/>
        <v>0</v>
      </c>
      <c r="U36" s="374">
        <f>IFERROR(SUMPRODUCT(N35:T35,N36:T36)/ SUM(N35:T35), 0)</f>
        <v>0</v>
      </c>
      <c r="V36" s="376" t="s">
        <v>811</v>
      </c>
      <c r="W36" s="712">
        <f>W29</f>
        <v>14.4</v>
      </c>
      <c r="X36" s="712">
        <f t="shared" ref="X36:AC36" si="27">X29</f>
        <v>2.17875</v>
      </c>
      <c r="Y36" s="712">
        <f t="shared" si="27"/>
        <v>3.3930000000000002</v>
      </c>
      <c r="Z36" s="712">
        <f t="shared" si="27"/>
        <v>0</v>
      </c>
      <c r="AA36" s="712">
        <f t="shared" si="27"/>
        <v>0</v>
      </c>
      <c r="AB36" s="712">
        <f t="shared" si="27"/>
        <v>0</v>
      </c>
      <c r="AC36" s="712">
        <f t="shared" si="27"/>
        <v>0</v>
      </c>
      <c r="AD36" s="374">
        <f>IFERROR(SUMPRODUCT(W35:AC35,W36:AC36)/ SUM(W35:AC35), 0)</f>
        <v>0</v>
      </c>
      <c r="AE36" s="564">
        <f>L36*$G$3+U36*$P$3+AD36*$Y$3</f>
        <v>0</v>
      </c>
      <c r="AF36" s="478">
        <f>IFERROR(L36*$G$3/(L39*0.01),0)+IFERROR(U36*$P$3/(U39*0.01),0)+IFERROR(AD36*$Y$3/(AD39*0.01),0)</f>
        <v>0</v>
      </c>
    </row>
    <row r="37" spans="1:32" s="145" customFormat="1">
      <c r="B37" s="501"/>
      <c r="C37" s="519"/>
      <c r="D37" s="497" t="s">
        <v>812</v>
      </c>
      <c r="E37" s="366">
        <f>VLOOKUP(E6,'Feed parameters'!$A$2:$M$114,7, FALSE)</f>
        <v>0.79859999999999998</v>
      </c>
      <c r="F37" s="261">
        <f>VLOOKUP(F6,'Feed parameters'!$A$2:$M$114,7, FALSE)</f>
        <v>0.43229999999999996</v>
      </c>
      <c r="G37" s="261">
        <f>VLOOKUP(G6,'Feed parameters'!$A$2:$M$114,7, FALSE)</f>
        <v>0.45539999999999997</v>
      </c>
      <c r="H37" s="261">
        <f>VLOOKUP(H6,'Feed parameters'!$A$2:$M$114,7, FALSE)</f>
        <v>0</v>
      </c>
      <c r="I37" s="261">
        <f>VLOOKUP(I6,'Feed parameters'!$A$2:$M$114,7, FALSE)</f>
        <v>0</v>
      </c>
      <c r="J37" s="261">
        <f>VLOOKUP(J6,'Feed parameters'!$A$2:$M$114,7, FALSE)</f>
        <v>0</v>
      </c>
      <c r="K37" s="261">
        <f>VLOOKUP(K6,'Feed parameters'!$A$2:$M$114,7, FALSE)</f>
        <v>0</v>
      </c>
      <c r="L37" s="367">
        <f>IFERROR(SUMPRODUCT(E35:K35,E37:K37)/ SUM(E35:K35), 0)</f>
        <v>0</v>
      </c>
      <c r="M37" s="376" t="s">
        <v>812</v>
      </c>
      <c r="N37" s="712">
        <f t="shared" ref="N37:N39" si="28">N30</f>
        <v>0.79859999999999998</v>
      </c>
      <c r="O37" s="712">
        <f t="shared" si="26"/>
        <v>0.43229999999999996</v>
      </c>
      <c r="P37" s="712">
        <f t="shared" si="26"/>
        <v>0.45539999999999997</v>
      </c>
      <c r="Q37" s="712">
        <f t="shared" si="26"/>
        <v>0</v>
      </c>
      <c r="R37" s="712">
        <f t="shared" si="26"/>
        <v>0</v>
      </c>
      <c r="S37" s="712">
        <f t="shared" si="26"/>
        <v>0</v>
      </c>
      <c r="T37" s="712">
        <f t="shared" si="26"/>
        <v>0</v>
      </c>
      <c r="U37" s="374">
        <f>IFERROR(SUMPRODUCT(N35:T35,N37:T37)/ SUM(N35:T35), 0)</f>
        <v>0</v>
      </c>
      <c r="V37" s="376" t="s">
        <v>812</v>
      </c>
      <c r="W37" s="712">
        <f t="shared" ref="W37:AC39" si="29">W30</f>
        <v>0.79859999999999998</v>
      </c>
      <c r="X37" s="712">
        <f t="shared" si="29"/>
        <v>0.43229999999999996</v>
      </c>
      <c r="Y37" s="712">
        <f t="shared" si="29"/>
        <v>0.45539999999999997</v>
      </c>
      <c r="Z37" s="712">
        <f t="shared" si="29"/>
        <v>0</v>
      </c>
      <c r="AA37" s="712">
        <f t="shared" si="29"/>
        <v>0</v>
      </c>
      <c r="AB37" s="712">
        <f t="shared" si="29"/>
        <v>0</v>
      </c>
      <c r="AC37" s="712">
        <f t="shared" si="29"/>
        <v>0</v>
      </c>
      <c r="AD37" s="374">
        <f>IFERROR(SUMPRODUCT(W35:AC35,W37:AC37)/ SUM(W35:AC35), 0)</f>
        <v>0</v>
      </c>
      <c r="AE37" s="564">
        <f>L37*$G$3+U37*$P$3+AD37*$Y$3</f>
        <v>0</v>
      </c>
    </row>
    <row r="38" spans="1:32" s="145" customFormat="1">
      <c r="B38" s="501"/>
      <c r="C38" s="519"/>
      <c r="D38" s="497" t="s">
        <v>902</v>
      </c>
      <c r="E38" s="366">
        <f>VLOOKUP(E6,'Feed parameters'!$A$2:$M$114,4, FALSE)</f>
        <v>10.89</v>
      </c>
      <c r="F38" s="261">
        <f>VLOOKUP(F6,'Feed parameters'!$A$2:$M$114,4, FALSE)</f>
        <v>1.9027750000000001</v>
      </c>
      <c r="G38" s="261">
        <f>VLOOKUP(G6,'Feed parameters'!$A$2:$M$114,4, FALSE)</f>
        <v>6.0030000000000001</v>
      </c>
      <c r="H38" s="261">
        <f>VLOOKUP(H6,'Feed parameters'!$A$2:$M$114,4, FALSE)</f>
        <v>0</v>
      </c>
      <c r="I38" s="261">
        <f>VLOOKUP(I6,'Feed parameters'!$A$2:$M$114,4, FALSE)</f>
        <v>0</v>
      </c>
      <c r="J38" s="261">
        <f>VLOOKUP(J6,'Feed parameters'!$A$2:$M$114,4, FALSE)</f>
        <v>0</v>
      </c>
      <c r="K38" s="261">
        <f>VLOOKUP(K6,'Feed parameters'!$A$2:$M$114,4, FALSE)</f>
        <v>0</v>
      </c>
      <c r="L38" s="367">
        <f>IFERROR(SUMPRODUCT(E35:K35,E38:K38)/ SUM(E35:K35), 0)</f>
        <v>0</v>
      </c>
      <c r="M38" s="376" t="s">
        <v>902</v>
      </c>
      <c r="N38" s="712">
        <f t="shared" si="28"/>
        <v>10.89</v>
      </c>
      <c r="O38" s="712">
        <f t="shared" si="26"/>
        <v>1.9027750000000001</v>
      </c>
      <c r="P38" s="712">
        <f t="shared" si="26"/>
        <v>6.0030000000000001</v>
      </c>
      <c r="Q38" s="712">
        <f t="shared" si="26"/>
        <v>0</v>
      </c>
      <c r="R38" s="712">
        <f t="shared" si="26"/>
        <v>0</v>
      </c>
      <c r="S38" s="712">
        <f t="shared" si="26"/>
        <v>0</v>
      </c>
      <c r="T38" s="712">
        <f t="shared" si="26"/>
        <v>0</v>
      </c>
      <c r="U38" s="374">
        <f>IFERROR(SUMPRODUCT(N35:T35,N38:T38)/ SUM(N35:T35), 0)</f>
        <v>0</v>
      </c>
      <c r="V38" s="376" t="s">
        <v>902</v>
      </c>
      <c r="W38" s="712">
        <f t="shared" si="29"/>
        <v>10.89</v>
      </c>
      <c r="X38" s="712">
        <f t="shared" si="29"/>
        <v>1.9027750000000001</v>
      </c>
      <c r="Y38" s="712">
        <f t="shared" si="29"/>
        <v>6.0030000000000001</v>
      </c>
      <c r="Z38" s="712">
        <f t="shared" si="29"/>
        <v>0</v>
      </c>
      <c r="AA38" s="712">
        <f t="shared" si="29"/>
        <v>0</v>
      </c>
      <c r="AB38" s="712">
        <f t="shared" si="29"/>
        <v>0</v>
      </c>
      <c r="AC38" s="712">
        <f t="shared" si="29"/>
        <v>0</v>
      </c>
      <c r="AD38" s="374">
        <f>IFERROR(SUMPRODUCT(W35:AC35,W38:AC38)/ SUM(W35:AC35), 0)</f>
        <v>0</v>
      </c>
      <c r="AE38" s="564"/>
    </row>
    <row r="39" spans="1:32" s="145" customFormat="1">
      <c r="B39" s="496"/>
      <c r="C39" s="515"/>
      <c r="D39" s="497" t="s">
        <v>1147</v>
      </c>
      <c r="E39" s="366">
        <f>VLOOKUP(E6,'Feed parameters'!$A$2:$M$114,2, FALSE)</f>
        <v>90</v>
      </c>
      <c r="F39" s="261">
        <f>VLOOKUP(F6,'Feed parameters'!$A$2:$M$114,2, FALSE)</f>
        <v>29.05</v>
      </c>
      <c r="G39" s="261">
        <f>VLOOKUP(G6,'Feed parameters'!$A$2:$M$114,2, FALSE)</f>
        <v>87</v>
      </c>
      <c r="H39" s="261">
        <f>VLOOKUP(H6,'Feed parameters'!$A$2:$M$114,2, FALSE)</f>
        <v>0</v>
      </c>
      <c r="I39" s="261">
        <f>VLOOKUP(I6,'Feed parameters'!$A$2:$M$114,2, FALSE)</f>
        <v>0</v>
      </c>
      <c r="J39" s="261">
        <f>VLOOKUP(J6,'Feed parameters'!$A$2:$M$114,2, FALSE)</f>
        <v>0</v>
      </c>
      <c r="K39" s="261">
        <f>VLOOKUP(K6,'Feed parameters'!$A$2:$M$114,2, FALSE)</f>
        <v>0</v>
      </c>
      <c r="L39" s="367">
        <f>IFERROR(SUMPRODUCT(E35:K35,E39:K39)/ SUM(E35:K35), 0)</f>
        <v>0</v>
      </c>
      <c r="M39" s="540" t="s">
        <v>1147</v>
      </c>
      <c r="N39" s="712">
        <f t="shared" si="28"/>
        <v>90</v>
      </c>
      <c r="O39" s="712">
        <f t="shared" si="26"/>
        <v>29.05</v>
      </c>
      <c r="P39" s="712">
        <f t="shared" si="26"/>
        <v>87</v>
      </c>
      <c r="Q39" s="712">
        <f t="shared" si="26"/>
        <v>0</v>
      </c>
      <c r="R39" s="712">
        <f t="shared" si="26"/>
        <v>0</v>
      </c>
      <c r="S39" s="712">
        <f t="shared" si="26"/>
        <v>0</v>
      </c>
      <c r="T39" s="712">
        <f t="shared" si="26"/>
        <v>0</v>
      </c>
      <c r="U39" s="374">
        <f>IFERROR(SUMPRODUCT(N35:T35,N39:T39)/ SUM(N35:T35), 0)</f>
        <v>0</v>
      </c>
      <c r="V39" s="540" t="s">
        <v>1147</v>
      </c>
      <c r="W39" s="712">
        <f t="shared" si="29"/>
        <v>90</v>
      </c>
      <c r="X39" s="712">
        <f t="shared" si="29"/>
        <v>29.05</v>
      </c>
      <c r="Y39" s="712">
        <f t="shared" si="29"/>
        <v>87</v>
      </c>
      <c r="Z39" s="712">
        <f t="shared" si="29"/>
        <v>0</v>
      </c>
      <c r="AA39" s="712">
        <f t="shared" si="29"/>
        <v>0</v>
      </c>
      <c r="AB39" s="712">
        <f t="shared" si="29"/>
        <v>0</v>
      </c>
      <c r="AC39" s="712">
        <f t="shared" si="29"/>
        <v>0</v>
      </c>
      <c r="AD39" s="374">
        <f>IFERROR(SUMPRODUCT(W35:AC35,W39:AC39)/ SUM(W35:AC35), 0)</f>
        <v>0</v>
      </c>
      <c r="AE39" s="564">
        <f>L39*$G$3+U39*$P$3+AD39*$Y$3</f>
        <v>0</v>
      </c>
    </row>
    <row r="40" spans="1:32" s="145" customFormat="1">
      <c r="B40" s="496"/>
      <c r="C40" s="515"/>
      <c r="D40" s="497" t="s">
        <v>1165</v>
      </c>
      <c r="E40" s="366">
        <f t="shared" ref="E40:K40" si="30">IFERROR((E35*E39)/SUMPRODUCT($E35:$K35,$E39:$K39), 0)</f>
        <v>0</v>
      </c>
      <c r="F40" s="261">
        <f t="shared" si="30"/>
        <v>0</v>
      </c>
      <c r="G40" s="261">
        <f t="shared" si="30"/>
        <v>0</v>
      </c>
      <c r="H40" s="261">
        <f t="shared" si="30"/>
        <v>0</v>
      </c>
      <c r="I40" s="261">
        <f t="shared" si="30"/>
        <v>0</v>
      </c>
      <c r="J40" s="261">
        <f t="shared" si="30"/>
        <v>0</v>
      </c>
      <c r="K40" s="261">
        <f t="shared" si="30"/>
        <v>0</v>
      </c>
      <c r="L40" s="367"/>
      <c r="M40" s="540" t="s">
        <v>1165</v>
      </c>
      <c r="N40" s="261">
        <f t="shared" ref="N40:T40" si="31">IFERROR((N35*N39)/SUMPRODUCT($N35:$T35,$N39:$T39), 0)</f>
        <v>0</v>
      </c>
      <c r="O40" s="261">
        <f t="shared" si="31"/>
        <v>0</v>
      </c>
      <c r="P40" s="261">
        <f t="shared" si="31"/>
        <v>0</v>
      </c>
      <c r="Q40" s="261">
        <f t="shared" si="31"/>
        <v>0</v>
      </c>
      <c r="R40" s="261">
        <f t="shared" si="31"/>
        <v>0</v>
      </c>
      <c r="S40" s="261">
        <f t="shared" si="31"/>
        <v>0</v>
      </c>
      <c r="T40" s="261">
        <f t="shared" si="31"/>
        <v>0</v>
      </c>
      <c r="U40" s="374"/>
      <c r="V40" s="540" t="s">
        <v>1165</v>
      </c>
      <c r="W40" s="261">
        <f>IFERROR((W35*W39)/SUMPRODUCT($W35:$AC35,$W39:$AC39), 0)</f>
        <v>0</v>
      </c>
      <c r="X40" s="261">
        <f t="shared" ref="X40:AC40" si="32">IFERROR((X35*X39)/SUMPRODUCT($W35:$AC35,$W39:$AC39), 0)</f>
        <v>0</v>
      </c>
      <c r="Y40" s="261">
        <f t="shared" si="32"/>
        <v>0</v>
      </c>
      <c r="Z40" s="261">
        <f t="shared" si="32"/>
        <v>0</v>
      </c>
      <c r="AA40" s="261">
        <f t="shared" si="32"/>
        <v>0</v>
      </c>
      <c r="AB40" s="261">
        <f t="shared" si="32"/>
        <v>0</v>
      </c>
      <c r="AC40" s="261">
        <f t="shared" si="32"/>
        <v>0</v>
      </c>
      <c r="AD40" s="374"/>
      <c r="AE40" s="564"/>
    </row>
    <row r="41" spans="1:32" s="145" customFormat="1">
      <c r="B41" s="496"/>
      <c r="C41" s="515"/>
      <c r="D41" s="497"/>
      <c r="E41" s="366"/>
      <c r="F41" s="261"/>
      <c r="G41" s="261"/>
      <c r="H41" s="261"/>
      <c r="I41" s="261"/>
      <c r="J41" s="261"/>
      <c r="K41" s="261"/>
      <c r="L41" s="367"/>
      <c r="M41" s="540"/>
      <c r="N41" s="261"/>
      <c r="O41" s="261"/>
      <c r="P41" s="261"/>
      <c r="Q41" s="261"/>
      <c r="R41" s="261"/>
      <c r="S41" s="261"/>
      <c r="T41" s="261"/>
      <c r="U41" s="374"/>
      <c r="V41" s="540"/>
      <c r="W41" s="261"/>
      <c r="X41" s="261"/>
      <c r="Y41" s="261"/>
      <c r="Z41" s="261"/>
      <c r="AA41" s="261"/>
      <c r="AB41" s="261"/>
      <c r="AC41" s="261"/>
      <c r="AD41" s="374"/>
      <c r="AE41" s="564"/>
    </row>
    <row r="42" spans="1:32" s="291" customFormat="1">
      <c r="B42" s="498">
        <f>INPUTS!C22</f>
        <v>0</v>
      </c>
      <c r="C42" s="516"/>
      <c r="D42" s="495" t="s">
        <v>1164</v>
      </c>
      <c r="E42" s="292">
        <f>INPUTS!H56</f>
        <v>0</v>
      </c>
      <c r="F42" s="292">
        <f>INPUTS!H57</f>
        <v>0</v>
      </c>
      <c r="G42" s="292">
        <f>INPUTS!H58</f>
        <v>0</v>
      </c>
      <c r="H42" s="292">
        <f>INPUTS!H59</f>
        <v>0</v>
      </c>
      <c r="I42" s="292">
        <f>INPUTS!H60</f>
        <v>0</v>
      </c>
      <c r="J42" s="292">
        <f>INPUTS!H61</f>
        <v>0</v>
      </c>
      <c r="K42" s="292">
        <f>INPUTS!H62</f>
        <v>0</v>
      </c>
      <c r="L42" s="292"/>
      <c r="M42" s="556" t="s">
        <v>1164</v>
      </c>
      <c r="N42" s="292">
        <f>INPUTS!H67</f>
        <v>0</v>
      </c>
      <c r="O42" s="292">
        <f>INPUTS!H68</f>
        <v>0</v>
      </c>
      <c r="P42" s="292">
        <f>INPUTS!H69</f>
        <v>0</v>
      </c>
      <c r="Q42" s="292">
        <f>INPUTS!H70</f>
        <v>0</v>
      </c>
      <c r="R42" s="292">
        <f>INPUTS!H71</f>
        <v>0</v>
      </c>
      <c r="S42" s="292">
        <f>INPUTS!H72</f>
        <v>0</v>
      </c>
      <c r="T42" s="292">
        <f>INPUTS!H73</f>
        <v>0</v>
      </c>
      <c r="U42" s="373"/>
      <c r="V42" s="556" t="s">
        <v>1164</v>
      </c>
      <c r="W42" s="292">
        <f>INPUTS!H78</f>
        <v>0</v>
      </c>
      <c r="X42" s="292">
        <f>INPUTS!H79</f>
        <v>0</v>
      </c>
      <c r="Y42" s="292">
        <f>INPUTS!H80</f>
        <v>0</v>
      </c>
      <c r="Z42" s="292">
        <f>INPUTS!H81</f>
        <v>0</v>
      </c>
      <c r="AA42" s="292">
        <f>INPUTS!H82</f>
        <v>0</v>
      </c>
      <c r="AB42" s="292">
        <f>INPUTS!H83</f>
        <v>0</v>
      </c>
      <c r="AC42" s="292">
        <f>INPUTS!H84</f>
        <v>0</v>
      </c>
      <c r="AD42" s="373"/>
      <c r="AE42" s="563"/>
    </row>
    <row r="43" spans="1:32" s="145" customFormat="1">
      <c r="B43" s="499"/>
      <c r="C43" s="517"/>
      <c r="D43" s="497" t="s">
        <v>811</v>
      </c>
      <c r="E43" s="368">
        <f>VLOOKUP(E6,'Feed parameters'!$A$2:$M$114,6, FALSE)</f>
        <v>14.4</v>
      </c>
      <c r="F43" s="186">
        <f>VLOOKUP(F6,'Feed parameters'!$A$2:$M$114,6, FALSE)</f>
        <v>2.17875</v>
      </c>
      <c r="G43" s="186">
        <f>VLOOKUP(G6,'Feed parameters'!$A$2:$M$114,6, FALSE)</f>
        <v>3.3930000000000002</v>
      </c>
      <c r="H43" s="186">
        <f>VLOOKUP(H6,'Feed parameters'!$A$2:$M$114,6, FALSE)</f>
        <v>0</v>
      </c>
      <c r="I43" s="186">
        <f>VLOOKUP(I6,'Feed parameters'!$A$2:$M$114,6, FALSE)</f>
        <v>0</v>
      </c>
      <c r="J43" s="186">
        <f>VLOOKUP(J6,'Feed parameters'!$A$2:$M$114,6, FALSE)</f>
        <v>0</v>
      </c>
      <c r="K43" s="186">
        <f>VLOOKUP(K6,'Feed parameters'!$A$2:$M$114,6, FALSE)</f>
        <v>0</v>
      </c>
      <c r="L43" s="369">
        <f>IFERROR(SUMPRODUCT(E42:K42,E43:K43)/ SUM(E42:K42), 0)</f>
        <v>0</v>
      </c>
      <c r="M43" s="376" t="s">
        <v>811</v>
      </c>
      <c r="N43" s="712">
        <f>N36</f>
        <v>14.4</v>
      </c>
      <c r="O43" s="712">
        <f t="shared" ref="O43:T46" si="33">O36</f>
        <v>2.17875</v>
      </c>
      <c r="P43" s="712">
        <f t="shared" si="33"/>
        <v>3.3930000000000002</v>
      </c>
      <c r="Q43" s="712">
        <f t="shared" si="33"/>
        <v>0</v>
      </c>
      <c r="R43" s="712">
        <f t="shared" si="33"/>
        <v>0</v>
      </c>
      <c r="S43" s="712">
        <f t="shared" si="33"/>
        <v>0</v>
      </c>
      <c r="T43" s="712">
        <f t="shared" si="33"/>
        <v>0</v>
      </c>
      <c r="U43" s="375">
        <f>IFERROR(SUMPRODUCT(N42:T42,N43:T43)/ SUM(N42:T42), 0)</f>
        <v>0</v>
      </c>
      <c r="V43" s="376" t="s">
        <v>811</v>
      </c>
      <c r="W43" s="712">
        <f>W36</f>
        <v>14.4</v>
      </c>
      <c r="X43" s="712">
        <f t="shared" ref="X43:AC43" si="34">X36</f>
        <v>2.17875</v>
      </c>
      <c r="Y43" s="712">
        <f t="shared" si="34"/>
        <v>3.3930000000000002</v>
      </c>
      <c r="Z43" s="712">
        <f t="shared" si="34"/>
        <v>0</v>
      </c>
      <c r="AA43" s="712">
        <f t="shared" si="34"/>
        <v>0</v>
      </c>
      <c r="AB43" s="712">
        <f t="shared" si="34"/>
        <v>0</v>
      </c>
      <c r="AC43" s="712">
        <f t="shared" si="34"/>
        <v>0</v>
      </c>
      <c r="AD43" s="375">
        <f>IFERROR(SUMPRODUCT(W42:AC42,W43:AC43)/ SUM(W42:AC42), 0)</f>
        <v>0</v>
      </c>
      <c r="AE43" s="564">
        <f>L43*$G$3+U43*$P$3+AD43*$Y$3</f>
        <v>0</v>
      </c>
      <c r="AF43" s="478">
        <f>IFERROR(L43*$G$3/(L46*0.01),0)+IFERROR(U43*$P$3/(U46*0.01),0)+IFERROR(AD43*$Y$3/(AD46*0.01),0)</f>
        <v>0</v>
      </c>
    </row>
    <row r="44" spans="1:32">
      <c r="B44" s="500"/>
      <c r="C44" s="518"/>
      <c r="D44" s="497" t="s">
        <v>812</v>
      </c>
      <c r="E44" s="463">
        <f>VLOOKUP(E6,'Feed parameters'!$A$2:$M$114,7, FALSE)</f>
        <v>0.79859999999999998</v>
      </c>
      <c r="F44" s="39">
        <f>VLOOKUP(F6,'Feed parameters'!$A$2:$M$114,7, FALSE)</f>
        <v>0.43229999999999996</v>
      </c>
      <c r="G44" s="39">
        <f>VLOOKUP(G6,'Feed parameters'!$A$2:$M$114,7, FALSE)</f>
        <v>0.45539999999999997</v>
      </c>
      <c r="H44" s="39">
        <f>VLOOKUP(H6,'Feed parameters'!$A$2:$M$114,7, FALSE)</f>
        <v>0</v>
      </c>
      <c r="I44" s="39">
        <f>VLOOKUP(I6,'Feed parameters'!$A$2:$M$114,7, FALSE)</f>
        <v>0</v>
      </c>
      <c r="J44" s="39">
        <f>VLOOKUP(J6,'Feed parameters'!$A$2:$M$114,7, FALSE)</f>
        <v>0</v>
      </c>
      <c r="K44" s="39">
        <f>VLOOKUP(K6,'Feed parameters'!$A$2:$M$114,7, FALSE)</f>
        <v>0</v>
      </c>
      <c r="L44" s="1122">
        <f>IFERROR(SUMPRODUCT(E42:K42,E44:K44)/ SUM(E42:K42), 0)</f>
        <v>0</v>
      </c>
      <c r="M44" s="376" t="s">
        <v>812</v>
      </c>
      <c r="N44" s="712">
        <f t="shared" ref="N44:N46" si="35">N37</f>
        <v>0.79859999999999998</v>
      </c>
      <c r="O44" s="712">
        <f t="shared" si="33"/>
        <v>0.43229999999999996</v>
      </c>
      <c r="P44" s="712">
        <f t="shared" si="33"/>
        <v>0.45539999999999997</v>
      </c>
      <c r="Q44" s="712">
        <f t="shared" si="33"/>
        <v>0</v>
      </c>
      <c r="R44" s="712">
        <f t="shared" si="33"/>
        <v>0</v>
      </c>
      <c r="S44" s="712">
        <f t="shared" si="33"/>
        <v>0</v>
      </c>
      <c r="T44" s="712">
        <f t="shared" si="33"/>
        <v>0</v>
      </c>
      <c r="U44" s="375">
        <f>IFERROR(SUMPRODUCT(N42:T42,N44:T44)/ SUM(N42:T42), 0)</f>
        <v>0</v>
      </c>
      <c r="V44" s="376" t="s">
        <v>812</v>
      </c>
      <c r="W44" s="712">
        <f t="shared" ref="W44:AC46" si="36">W37</f>
        <v>0.79859999999999998</v>
      </c>
      <c r="X44" s="712">
        <f t="shared" si="36"/>
        <v>0.43229999999999996</v>
      </c>
      <c r="Y44" s="712">
        <f t="shared" si="36"/>
        <v>0.45539999999999997</v>
      </c>
      <c r="Z44" s="712">
        <f t="shared" si="36"/>
        <v>0</v>
      </c>
      <c r="AA44" s="712">
        <f t="shared" si="36"/>
        <v>0</v>
      </c>
      <c r="AB44" s="712">
        <f t="shared" si="36"/>
        <v>0</v>
      </c>
      <c r="AC44" s="712">
        <f t="shared" si="36"/>
        <v>0</v>
      </c>
      <c r="AD44" s="375">
        <f>IFERROR(SUMPRODUCT(W42:AC42,W44:AC44)/ SUM(W42:AC42), 0)</f>
        <v>0</v>
      </c>
      <c r="AE44" s="564">
        <f>L44*$G$3+U44*$P$3+AD44*$Y$3</f>
        <v>0</v>
      </c>
      <c r="AF44" s="145"/>
    </row>
    <row r="45" spans="1:32">
      <c r="A45" s="261"/>
      <c r="B45" s="501"/>
      <c r="C45" s="519"/>
      <c r="D45" s="497" t="s">
        <v>902</v>
      </c>
      <c r="E45" s="366">
        <f>VLOOKUP(E6,'Feed parameters'!$A$2:$M$114,4, FALSE)</f>
        <v>10.89</v>
      </c>
      <c r="F45" s="261">
        <f>VLOOKUP(F6,'Feed parameters'!$A$2:$M$114,4, FALSE)</f>
        <v>1.9027750000000001</v>
      </c>
      <c r="G45" s="261">
        <f>VLOOKUP(G6,'Feed parameters'!$A$2:$M$114,4, FALSE)</f>
        <v>6.0030000000000001</v>
      </c>
      <c r="H45" s="261">
        <f>VLOOKUP(H6,'Feed parameters'!$A$2:$M$114,4, FALSE)</f>
        <v>0</v>
      </c>
      <c r="I45" s="261">
        <f>VLOOKUP(I6,'Feed parameters'!$A$2:$M$114,4, FALSE)</f>
        <v>0</v>
      </c>
      <c r="J45" s="261">
        <f>VLOOKUP(J6,'Feed parameters'!$A$2:$M$114,4, FALSE)</f>
        <v>0</v>
      </c>
      <c r="K45" s="261">
        <f>VLOOKUP(K6,'Feed parameters'!$A$2:$M$114,4, FALSE)</f>
        <v>0</v>
      </c>
      <c r="L45" s="374">
        <f>IFERROR(SUMPRODUCT(E42:K42,E45:K45)/ SUM(E42:K42), 0)</f>
        <v>0</v>
      </c>
      <c r="M45" s="376" t="s">
        <v>902</v>
      </c>
      <c r="N45" s="712">
        <f t="shared" si="35"/>
        <v>10.89</v>
      </c>
      <c r="O45" s="712">
        <f t="shared" si="33"/>
        <v>1.9027750000000001</v>
      </c>
      <c r="P45" s="712">
        <f t="shared" si="33"/>
        <v>6.0030000000000001</v>
      </c>
      <c r="Q45" s="712">
        <f t="shared" si="33"/>
        <v>0</v>
      </c>
      <c r="R45" s="712">
        <f t="shared" si="33"/>
        <v>0</v>
      </c>
      <c r="S45" s="712">
        <f t="shared" si="33"/>
        <v>0</v>
      </c>
      <c r="T45" s="712">
        <f t="shared" si="33"/>
        <v>0</v>
      </c>
      <c r="U45" s="367">
        <f>IFERROR(SUMPRODUCT(N42:T42,N45:T45)/ SUM(N42:T42), 0)</f>
        <v>0</v>
      </c>
      <c r="V45" s="376" t="s">
        <v>902</v>
      </c>
      <c r="W45" s="712">
        <f t="shared" si="36"/>
        <v>10.89</v>
      </c>
      <c r="X45" s="712">
        <f t="shared" si="36"/>
        <v>1.9027750000000001</v>
      </c>
      <c r="Y45" s="712">
        <f t="shared" si="36"/>
        <v>6.0030000000000001</v>
      </c>
      <c r="Z45" s="712">
        <f t="shared" si="36"/>
        <v>0</v>
      </c>
      <c r="AA45" s="712">
        <f t="shared" si="36"/>
        <v>0</v>
      </c>
      <c r="AB45" s="712">
        <f t="shared" si="36"/>
        <v>0</v>
      </c>
      <c r="AC45" s="712">
        <f t="shared" si="36"/>
        <v>0</v>
      </c>
      <c r="AD45" s="367">
        <f>IFERROR(SUMPRODUCT(W42:AC42,W45:AC45)/ SUM(W42:AC42), 0)</f>
        <v>0</v>
      </c>
      <c r="AE45" s="564"/>
      <c r="AF45" s="145"/>
    </row>
    <row r="46" spans="1:32" s="145" customFormat="1">
      <c r="B46" s="496"/>
      <c r="C46" s="515"/>
      <c r="D46" s="497" t="s">
        <v>1147</v>
      </c>
      <c r="E46" s="366">
        <f>VLOOKUP(E6,'Feed parameters'!$A$2:$M$114,2, FALSE)</f>
        <v>90</v>
      </c>
      <c r="F46" s="261">
        <f>VLOOKUP(F6,'Feed parameters'!$A$2:$M$114,2, FALSE)</f>
        <v>29.05</v>
      </c>
      <c r="G46" s="261">
        <f>VLOOKUP(G6,'Feed parameters'!$A$2:$M$114,2, FALSE)</f>
        <v>87</v>
      </c>
      <c r="H46" s="261">
        <f>VLOOKUP(H6,'Feed parameters'!$A$2:$M$114,2, FALSE)</f>
        <v>0</v>
      </c>
      <c r="I46" s="261">
        <f>VLOOKUP(I6,'Feed parameters'!$A$2:$M$114,2, FALSE)</f>
        <v>0</v>
      </c>
      <c r="J46" s="261">
        <f>VLOOKUP(J6,'Feed parameters'!$A$2:$M$114,2, FALSE)</f>
        <v>0</v>
      </c>
      <c r="K46" s="261">
        <f>VLOOKUP(K6,'Feed parameters'!$A$2:$M$114,2, FALSE)</f>
        <v>0</v>
      </c>
      <c r="L46" s="367">
        <f>IFERROR(SUMPRODUCT(E42:K42,E46:K46)/ SUM(E42:K42), 0)</f>
        <v>0</v>
      </c>
      <c r="M46" s="540" t="s">
        <v>1147</v>
      </c>
      <c r="N46" s="712">
        <f t="shared" si="35"/>
        <v>90</v>
      </c>
      <c r="O46" s="712">
        <f t="shared" si="33"/>
        <v>29.05</v>
      </c>
      <c r="P46" s="712">
        <f t="shared" si="33"/>
        <v>87</v>
      </c>
      <c r="Q46" s="712">
        <f t="shared" si="33"/>
        <v>0</v>
      </c>
      <c r="R46" s="712">
        <f t="shared" si="33"/>
        <v>0</v>
      </c>
      <c r="S46" s="712">
        <f t="shared" si="33"/>
        <v>0</v>
      </c>
      <c r="T46" s="712">
        <f t="shared" si="33"/>
        <v>0</v>
      </c>
      <c r="U46" s="374">
        <f>IFERROR(SUMPRODUCT(N42:T42,N46:T46)/ SUM(N42:T42), 0)</f>
        <v>0</v>
      </c>
      <c r="V46" s="540" t="s">
        <v>1147</v>
      </c>
      <c r="W46" s="712">
        <f t="shared" si="36"/>
        <v>90</v>
      </c>
      <c r="X46" s="712">
        <f t="shared" si="36"/>
        <v>29.05</v>
      </c>
      <c r="Y46" s="712">
        <f t="shared" si="36"/>
        <v>87</v>
      </c>
      <c r="Z46" s="712">
        <f t="shared" si="36"/>
        <v>0</v>
      </c>
      <c r="AA46" s="712">
        <f t="shared" si="36"/>
        <v>0</v>
      </c>
      <c r="AB46" s="712">
        <f t="shared" si="36"/>
        <v>0</v>
      </c>
      <c r="AC46" s="712">
        <f t="shared" si="36"/>
        <v>0</v>
      </c>
      <c r="AD46" s="374">
        <f>IFERROR(SUMPRODUCT(W42:AC42,W46:AC46)/ SUM(W42:AC42), 0)</f>
        <v>0</v>
      </c>
      <c r="AE46" s="564">
        <f>L46*$G$3+U46*$P$3+AD46*$Y$3</f>
        <v>0</v>
      </c>
    </row>
    <row r="47" spans="1:32" s="145" customFormat="1">
      <c r="B47" s="496"/>
      <c r="C47" s="515"/>
      <c r="D47" s="497" t="s">
        <v>1165</v>
      </c>
      <c r="E47" s="366">
        <f t="shared" ref="E47:K47" si="37">IFERROR((E42*E46)/SUMPRODUCT($E42:$K42,$E46:$K46), 0)</f>
        <v>0</v>
      </c>
      <c r="F47" s="261">
        <f t="shared" si="37"/>
        <v>0</v>
      </c>
      <c r="G47" s="261">
        <f t="shared" si="37"/>
        <v>0</v>
      </c>
      <c r="H47" s="261">
        <f t="shared" si="37"/>
        <v>0</v>
      </c>
      <c r="I47" s="261">
        <f t="shared" si="37"/>
        <v>0</v>
      </c>
      <c r="J47" s="261">
        <f t="shared" si="37"/>
        <v>0</v>
      </c>
      <c r="K47" s="261">
        <f t="shared" si="37"/>
        <v>0</v>
      </c>
      <c r="L47" s="367"/>
      <c r="M47" s="540" t="s">
        <v>1165</v>
      </c>
      <c r="N47" s="261">
        <f t="shared" ref="N47:T47" si="38">IFERROR((N42*N46)/SUMPRODUCT($N42:$T42,$N46:$T46), 0)</f>
        <v>0</v>
      </c>
      <c r="O47" s="261">
        <f t="shared" si="38"/>
        <v>0</v>
      </c>
      <c r="P47" s="261">
        <f t="shared" si="38"/>
        <v>0</v>
      </c>
      <c r="Q47" s="261">
        <f t="shared" si="38"/>
        <v>0</v>
      </c>
      <c r="R47" s="261">
        <f t="shared" si="38"/>
        <v>0</v>
      </c>
      <c r="S47" s="261">
        <f t="shared" si="38"/>
        <v>0</v>
      </c>
      <c r="T47" s="261">
        <f t="shared" si="38"/>
        <v>0</v>
      </c>
      <c r="U47" s="374"/>
      <c r="V47" s="540" t="s">
        <v>1165</v>
      </c>
      <c r="W47" s="261">
        <f>IFERROR((W42*W46)/SUMPRODUCT($W42:$AC42,$W46:$AC46), 0)</f>
        <v>0</v>
      </c>
      <c r="X47" s="261">
        <f t="shared" ref="X47:AC47" si="39">IFERROR((X42*X46)/SUMPRODUCT($W42:$AC42,$W46:$AC46), 0)</f>
        <v>0</v>
      </c>
      <c r="Y47" s="261">
        <f t="shared" si="39"/>
        <v>0</v>
      </c>
      <c r="Z47" s="261">
        <f t="shared" si="39"/>
        <v>0</v>
      </c>
      <c r="AA47" s="261">
        <f t="shared" si="39"/>
        <v>0</v>
      </c>
      <c r="AB47" s="261">
        <f t="shared" si="39"/>
        <v>0</v>
      </c>
      <c r="AC47" s="261">
        <f t="shared" si="39"/>
        <v>0</v>
      </c>
      <c r="AD47" s="374"/>
      <c r="AE47" s="564"/>
    </row>
    <row r="48" spans="1:32" s="145" customFormat="1">
      <c r="A48" s="261"/>
      <c r="B48" s="501"/>
      <c r="C48" s="519"/>
      <c r="D48" s="497"/>
      <c r="E48" s="366"/>
      <c r="F48" s="261"/>
      <c r="G48" s="261"/>
      <c r="H48" s="261"/>
      <c r="I48" s="261"/>
      <c r="J48" s="261"/>
      <c r="K48" s="261"/>
      <c r="L48" s="370"/>
      <c r="M48" s="376"/>
      <c r="N48" s="261"/>
      <c r="O48" s="261"/>
      <c r="P48" s="261"/>
      <c r="Q48" s="261"/>
      <c r="R48" s="261"/>
      <c r="S48" s="261"/>
      <c r="T48" s="261"/>
      <c r="U48" s="370"/>
      <c r="V48" s="376"/>
      <c r="W48" s="261"/>
      <c r="X48" s="261"/>
      <c r="Y48" s="261"/>
      <c r="Z48" s="261"/>
      <c r="AA48" s="261"/>
      <c r="AB48" s="261"/>
      <c r="AC48" s="261"/>
      <c r="AD48" s="370"/>
      <c r="AE48" s="564"/>
    </row>
    <row r="49" spans="2:32" s="291" customFormat="1">
      <c r="B49" s="502">
        <f>INPUTS!C23</f>
        <v>0</v>
      </c>
      <c r="C49" s="520"/>
      <c r="D49" s="495" t="s">
        <v>1164</v>
      </c>
      <c r="E49" s="364">
        <f>INPUTS!I56</f>
        <v>0</v>
      </c>
      <c r="F49" s="292">
        <f>INPUTS!I57</f>
        <v>0</v>
      </c>
      <c r="G49" s="292">
        <f>INPUTS!I58</f>
        <v>0</v>
      </c>
      <c r="H49" s="292">
        <f>INPUTS!I59</f>
        <v>0</v>
      </c>
      <c r="I49" s="292">
        <f>INPUTS!I60</f>
        <v>0</v>
      </c>
      <c r="J49" s="292">
        <f>INPUTS!I61</f>
        <v>0</v>
      </c>
      <c r="K49" s="292">
        <f>INPUTS!I62</f>
        <v>0</v>
      </c>
      <c r="L49" s="365"/>
      <c r="M49" s="556" t="s">
        <v>1164</v>
      </c>
      <c r="N49" s="292">
        <f>INPUTS!I67</f>
        <v>0</v>
      </c>
      <c r="O49" s="292">
        <f>INPUTS!I68</f>
        <v>0</v>
      </c>
      <c r="P49" s="292">
        <f>INPUTS!I69</f>
        <v>0</v>
      </c>
      <c r="Q49" s="292">
        <f>INPUTS!I70</f>
        <v>0</v>
      </c>
      <c r="R49" s="292">
        <f>INPUTS!I71</f>
        <v>0</v>
      </c>
      <c r="S49" s="292">
        <f>INPUTS!I72</f>
        <v>0</v>
      </c>
      <c r="T49" s="292">
        <f>INPUTS!I73</f>
        <v>0</v>
      </c>
      <c r="U49" s="373"/>
      <c r="V49" s="556" t="s">
        <v>1164</v>
      </c>
      <c r="W49" s="292">
        <f>INPUTS!I78</f>
        <v>0</v>
      </c>
      <c r="X49" s="292">
        <f>INPUTS!I79</f>
        <v>0</v>
      </c>
      <c r="Y49" s="292">
        <f>INPUTS!I80</f>
        <v>0</v>
      </c>
      <c r="Z49" s="292">
        <f>INPUTS!I81</f>
        <v>0</v>
      </c>
      <c r="AA49" s="292">
        <f>INPUTS!I82</f>
        <v>0</v>
      </c>
      <c r="AB49" s="292">
        <f>INPUTS!I83</f>
        <v>0</v>
      </c>
      <c r="AC49" s="292">
        <f>INPUTS!I84</f>
        <v>0</v>
      </c>
      <c r="AD49" s="373"/>
      <c r="AE49" s="563"/>
    </row>
    <row r="50" spans="2:32" s="145" customFormat="1">
      <c r="B50" s="501"/>
      <c r="C50" s="519"/>
      <c r="D50" s="497" t="s">
        <v>811</v>
      </c>
      <c r="E50" s="366">
        <f>VLOOKUP(E6,'Feed parameters'!$A$2:$M$114,6, FALSE)</f>
        <v>14.4</v>
      </c>
      <c r="F50" s="261">
        <f>VLOOKUP(F6,'Feed parameters'!$A$2:$M$114,6, FALSE)</f>
        <v>2.17875</v>
      </c>
      <c r="G50" s="261">
        <f>VLOOKUP(G6,'Feed parameters'!$A$2:$M$114,6, FALSE)</f>
        <v>3.3930000000000002</v>
      </c>
      <c r="H50" s="261">
        <f>VLOOKUP(H6,'Feed parameters'!$A$2:$M$114,6, FALSE)</f>
        <v>0</v>
      </c>
      <c r="I50" s="261">
        <f>VLOOKUP(I6,'Feed parameters'!$A$2:$M$114,6, FALSE)</f>
        <v>0</v>
      </c>
      <c r="J50" s="261">
        <f>VLOOKUP(J6,'Feed parameters'!$A$2:$M$114,6, FALSE)</f>
        <v>0</v>
      </c>
      <c r="K50" s="261">
        <f>VLOOKUP(K6,'Feed parameters'!$A$2:$M$114,6, FALSE)</f>
        <v>0</v>
      </c>
      <c r="L50" s="367">
        <f>IFERROR(SUMPRODUCT(E49:K49,E50:K50)/ SUM(E49:K49), 0)</f>
        <v>0</v>
      </c>
      <c r="M50" s="376" t="s">
        <v>811</v>
      </c>
      <c r="N50" s="712">
        <f>N43</f>
        <v>14.4</v>
      </c>
      <c r="O50" s="712">
        <f t="shared" ref="O50:T53" si="40">O43</f>
        <v>2.17875</v>
      </c>
      <c r="P50" s="712">
        <f t="shared" si="40"/>
        <v>3.3930000000000002</v>
      </c>
      <c r="Q50" s="712">
        <f t="shared" si="40"/>
        <v>0</v>
      </c>
      <c r="R50" s="712">
        <f t="shared" si="40"/>
        <v>0</v>
      </c>
      <c r="S50" s="712">
        <f t="shared" si="40"/>
        <v>0</v>
      </c>
      <c r="T50" s="712">
        <f t="shared" si="40"/>
        <v>0</v>
      </c>
      <c r="U50" s="374">
        <f>IFERROR(SUMPRODUCT(N49:T49,N50:T50)/ SUM(N49:T49), 0)</f>
        <v>0</v>
      </c>
      <c r="V50" s="376" t="s">
        <v>811</v>
      </c>
      <c r="W50" s="712">
        <f>W43</f>
        <v>14.4</v>
      </c>
      <c r="X50" s="712">
        <f t="shared" ref="X50:AC50" si="41">X43</f>
        <v>2.17875</v>
      </c>
      <c r="Y50" s="712">
        <f t="shared" si="41"/>
        <v>3.3930000000000002</v>
      </c>
      <c r="Z50" s="712">
        <f t="shared" si="41"/>
        <v>0</v>
      </c>
      <c r="AA50" s="712">
        <f t="shared" si="41"/>
        <v>0</v>
      </c>
      <c r="AB50" s="712">
        <f t="shared" si="41"/>
        <v>0</v>
      </c>
      <c r="AC50" s="712">
        <f t="shared" si="41"/>
        <v>0</v>
      </c>
      <c r="AD50" s="374">
        <f>IFERROR(SUMPRODUCT(W49:AC49,W50:AC50)/ SUM(W49:AC49), 0)</f>
        <v>0</v>
      </c>
      <c r="AE50" s="564">
        <f>L50*$G$3+U50*$P$3</f>
        <v>0</v>
      </c>
      <c r="AF50" s="478">
        <f>IFERROR(L50*$G$3/(L53*0.01),0)+IFERROR(U50*$P$3/(U53*0.01),0)+IFERROR(AD50*$Y$3/(AD53*0.01),0)</f>
        <v>0</v>
      </c>
    </row>
    <row r="51" spans="2:32" s="145" customFormat="1">
      <c r="B51" s="501"/>
      <c r="C51" s="519"/>
      <c r="D51" s="497" t="s">
        <v>812</v>
      </c>
      <c r="E51" s="366">
        <f>VLOOKUP(E6,'Feed parameters'!$A$2:$M$114,7, FALSE)</f>
        <v>0.79859999999999998</v>
      </c>
      <c r="F51" s="261">
        <f>VLOOKUP(F6,'Feed parameters'!$A$2:$M$114,7, FALSE)</f>
        <v>0.43229999999999996</v>
      </c>
      <c r="G51" s="261">
        <f>VLOOKUP(G6,'Feed parameters'!$A$2:$M$114,7, FALSE)</f>
        <v>0.45539999999999997</v>
      </c>
      <c r="H51" s="261">
        <f>VLOOKUP(H6,'Feed parameters'!$A$2:$M$114,7, FALSE)</f>
        <v>0</v>
      </c>
      <c r="I51" s="261">
        <f>VLOOKUP(I6,'Feed parameters'!$A$2:$M$114,7, FALSE)</f>
        <v>0</v>
      </c>
      <c r="J51" s="261">
        <f>VLOOKUP(J6,'Feed parameters'!$A$2:$M$114,7, FALSE)</f>
        <v>0</v>
      </c>
      <c r="K51" s="261">
        <f>VLOOKUP(K6,'Feed parameters'!$A$2:$M$114,7, FALSE)</f>
        <v>0</v>
      </c>
      <c r="L51" s="367">
        <f>IFERROR(SUMPRODUCT(E49:K49,E51:K51)/ SUM(E49:K49), 0)</f>
        <v>0</v>
      </c>
      <c r="M51" s="376" t="s">
        <v>812</v>
      </c>
      <c r="N51" s="712">
        <f t="shared" ref="N51:N53" si="42">N44</f>
        <v>0.79859999999999998</v>
      </c>
      <c r="O51" s="712">
        <f t="shared" si="40"/>
        <v>0.43229999999999996</v>
      </c>
      <c r="P51" s="712">
        <f t="shared" si="40"/>
        <v>0.45539999999999997</v>
      </c>
      <c r="Q51" s="712">
        <f t="shared" si="40"/>
        <v>0</v>
      </c>
      <c r="R51" s="712">
        <f t="shared" si="40"/>
        <v>0</v>
      </c>
      <c r="S51" s="712">
        <f t="shared" si="40"/>
        <v>0</v>
      </c>
      <c r="T51" s="712">
        <f t="shared" si="40"/>
        <v>0</v>
      </c>
      <c r="U51" s="374">
        <f>IFERROR(SUMPRODUCT(N49:T49,N51:T51)/ SUM(N49:T49), 0)</f>
        <v>0</v>
      </c>
      <c r="V51" s="376" t="s">
        <v>812</v>
      </c>
      <c r="W51" s="712">
        <f t="shared" ref="W51:AC53" si="43">W44</f>
        <v>0.79859999999999998</v>
      </c>
      <c r="X51" s="712">
        <f t="shared" si="43"/>
        <v>0.43229999999999996</v>
      </c>
      <c r="Y51" s="712">
        <f t="shared" si="43"/>
        <v>0.45539999999999997</v>
      </c>
      <c r="Z51" s="712">
        <f t="shared" si="43"/>
        <v>0</v>
      </c>
      <c r="AA51" s="712">
        <f t="shared" si="43"/>
        <v>0</v>
      </c>
      <c r="AB51" s="712">
        <f t="shared" si="43"/>
        <v>0</v>
      </c>
      <c r="AC51" s="712">
        <f t="shared" si="43"/>
        <v>0</v>
      </c>
      <c r="AD51" s="374">
        <f>IFERROR(SUMPRODUCT(W49:AC49,W51:AC51)/ SUM(W49:AC49), 0)</f>
        <v>0</v>
      </c>
      <c r="AE51" s="564">
        <f>L51*$G$3+U51*$P$3</f>
        <v>0</v>
      </c>
    </row>
    <row r="52" spans="2:32" s="145" customFormat="1">
      <c r="B52" s="501"/>
      <c r="C52" s="519"/>
      <c r="D52" s="497" t="s">
        <v>902</v>
      </c>
      <c r="E52" s="366">
        <f>VLOOKUP(E6,'Feed parameters'!$A$2:$M$114,4, FALSE)</f>
        <v>10.89</v>
      </c>
      <c r="F52" s="261">
        <f>VLOOKUP(F6,'Feed parameters'!$A$2:$M$114,4, FALSE)</f>
        <v>1.9027750000000001</v>
      </c>
      <c r="G52" s="261">
        <f>VLOOKUP(G6,'Feed parameters'!$A$2:$M$114,4, FALSE)</f>
        <v>6.0030000000000001</v>
      </c>
      <c r="H52" s="261">
        <f>VLOOKUP(H6,'Feed parameters'!$A$2:$M$114,4, FALSE)</f>
        <v>0</v>
      </c>
      <c r="I52" s="261">
        <f>VLOOKUP(I6,'Feed parameters'!$A$2:$M$114,4, FALSE)</f>
        <v>0</v>
      </c>
      <c r="J52" s="261">
        <f>VLOOKUP(J6,'Feed parameters'!$A$2:$M$114,4, FALSE)</f>
        <v>0</v>
      </c>
      <c r="K52" s="261">
        <f>VLOOKUP(K6,'Feed parameters'!$A$2:$M$114,4, FALSE)</f>
        <v>0</v>
      </c>
      <c r="L52" s="367">
        <f>IFERROR(SUMPRODUCT(E49:K49,E52:K52)/ SUM(E49:K49), 0)</f>
        <v>0</v>
      </c>
      <c r="M52" s="376" t="s">
        <v>902</v>
      </c>
      <c r="N52" s="712">
        <f t="shared" si="42"/>
        <v>10.89</v>
      </c>
      <c r="O52" s="712">
        <f t="shared" si="40"/>
        <v>1.9027750000000001</v>
      </c>
      <c r="P52" s="712">
        <f t="shared" si="40"/>
        <v>6.0030000000000001</v>
      </c>
      <c r="Q52" s="712">
        <f t="shared" si="40"/>
        <v>0</v>
      </c>
      <c r="R52" s="712">
        <f t="shared" si="40"/>
        <v>0</v>
      </c>
      <c r="S52" s="712">
        <f t="shared" si="40"/>
        <v>0</v>
      </c>
      <c r="T52" s="712">
        <f t="shared" si="40"/>
        <v>0</v>
      </c>
      <c r="U52" s="374">
        <f>IFERROR(SUMPRODUCT(N49:T49,N52:T52)/ SUM(N49:T49), 0)</f>
        <v>0</v>
      </c>
      <c r="V52" s="376" t="s">
        <v>902</v>
      </c>
      <c r="W52" s="712">
        <f t="shared" si="43"/>
        <v>10.89</v>
      </c>
      <c r="X52" s="712">
        <f t="shared" si="43"/>
        <v>1.9027750000000001</v>
      </c>
      <c r="Y52" s="712">
        <f t="shared" si="43"/>
        <v>6.0030000000000001</v>
      </c>
      <c r="Z52" s="712">
        <f t="shared" si="43"/>
        <v>0</v>
      </c>
      <c r="AA52" s="712">
        <f t="shared" si="43"/>
        <v>0</v>
      </c>
      <c r="AB52" s="712">
        <f t="shared" si="43"/>
        <v>0</v>
      </c>
      <c r="AC52" s="712">
        <f t="shared" si="43"/>
        <v>0</v>
      </c>
      <c r="AD52" s="374">
        <f>IFERROR(SUMPRODUCT(W49:AC49,W52:AC52)/ SUM(W49:AC49), 0)</f>
        <v>0</v>
      </c>
      <c r="AE52" s="564"/>
    </row>
    <row r="53" spans="2:32" s="145" customFormat="1">
      <c r="B53" s="496"/>
      <c r="C53" s="515"/>
      <c r="D53" s="497" t="s">
        <v>1147</v>
      </c>
      <c r="E53" s="366">
        <f>VLOOKUP(E6,'Feed parameters'!$A$2:$M$114,2, FALSE)</f>
        <v>90</v>
      </c>
      <c r="F53" s="261">
        <f>VLOOKUP(F6,'Feed parameters'!$A$2:$M$114,2, FALSE)</f>
        <v>29.05</v>
      </c>
      <c r="G53" s="261">
        <f>VLOOKUP(G6,'Feed parameters'!$A$2:$M$114,2, FALSE)</f>
        <v>87</v>
      </c>
      <c r="H53" s="261">
        <f>VLOOKUP(H6,'Feed parameters'!$A$2:$M$114,2, FALSE)</f>
        <v>0</v>
      </c>
      <c r="I53" s="261">
        <f>VLOOKUP(I6,'Feed parameters'!$A$2:$M$114,2, FALSE)</f>
        <v>0</v>
      </c>
      <c r="J53" s="261">
        <f>VLOOKUP(J6,'Feed parameters'!$A$2:$M$114,2, FALSE)</f>
        <v>0</v>
      </c>
      <c r="K53" s="261">
        <f>VLOOKUP(K6,'Feed parameters'!$A$2:$M$114,2, FALSE)</f>
        <v>0</v>
      </c>
      <c r="L53" s="367">
        <f>IFERROR(SUMPRODUCT(E49:K49,E53:K53)/ SUM(E49:K49), 0)</f>
        <v>0</v>
      </c>
      <c r="M53" s="540" t="s">
        <v>1147</v>
      </c>
      <c r="N53" s="712">
        <f t="shared" si="42"/>
        <v>90</v>
      </c>
      <c r="O53" s="712">
        <f t="shared" si="40"/>
        <v>29.05</v>
      </c>
      <c r="P53" s="712">
        <f t="shared" si="40"/>
        <v>87</v>
      </c>
      <c r="Q53" s="712">
        <f t="shared" si="40"/>
        <v>0</v>
      </c>
      <c r="R53" s="712">
        <f t="shared" si="40"/>
        <v>0</v>
      </c>
      <c r="S53" s="712">
        <f t="shared" si="40"/>
        <v>0</v>
      </c>
      <c r="T53" s="712">
        <f t="shared" si="40"/>
        <v>0</v>
      </c>
      <c r="U53" s="374">
        <f>IFERROR(SUMPRODUCT(N49:T49,N53:T53)/ SUM(N49:T49), 0)</f>
        <v>0</v>
      </c>
      <c r="V53" s="540" t="s">
        <v>1147</v>
      </c>
      <c r="W53" s="712">
        <f t="shared" si="43"/>
        <v>90</v>
      </c>
      <c r="X53" s="712">
        <f t="shared" si="43"/>
        <v>29.05</v>
      </c>
      <c r="Y53" s="712">
        <f t="shared" si="43"/>
        <v>87</v>
      </c>
      <c r="Z53" s="712">
        <f t="shared" si="43"/>
        <v>0</v>
      </c>
      <c r="AA53" s="712">
        <f t="shared" si="43"/>
        <v>0</v>
      </c>
      <c r="AB53" s="712">
        <f t="shared" si="43"/>
        <v>0</v>
      </c>
      <c r="AC53" s="712">
        <f t="shared" si="43"/>
        <v>0</v>
      </c>
      <c r="AD53" s="374">
        <f>IFERROR(SUMPRODUCT(W49:AC49,W53:AC53)/ SUM(W49:AC49), 0)</f>
        <v>0</v>
      </c>
      <c r="AE53" s="564">
        <f>L53*$G$3+U53*$P$3</f>
        <v>0</v>
      </c>
    </row>
    <row r="54" spans="2:32" s="145" customFormat="1">
      <c r="B54" s="496"/>
      <c r="C54" s="515"/>
      <c r="D54" s="497" t="s">
        <v>1165</v>
      </c>
      <c r="E54" s="366">
        <f t="shared" ref="E54:K54" si="44">IFERROR((E49*E53)/SUMPRODUCT($E49:$K49,$E53:$K53), 0)</f>
        <v>0</v>
      </c>
      <c r="F54" s="261">
        <f t="shared" si="44"/>
        <v>0</v>
      </c>
      <c r="G54" s="261">
        <f t="shared" si="44"/>
        <v>0</v>
      </c>
      <c r="H54" s="261">
        <f t="shared" si="44"/>
        <v>0</v>
      </c>
      <c r="I54" s="261">
        <f t="shared" si="44"/>
        <v>0</v>
      </c>
      <c r="J54" s="261">
        <f t="shared" si="44"/>
        <v>0</v>
      </c>
      <c r="K54" s="261">
        <f t="shared" si="44"/>
        <v>0</v>
      </c>
      <c r="L54" s="367"/>
      <c r="M54" s="540" t="s">
        <v>1165</v>
      </c>
      <c r="N54" s="261">
        <f t="shared" ref="N54:T54" si="45">IFERROR((N49*N53)/SUMPRODUCT($N49:$T49,$N53:$T53), 0)</f>
        <v>0</v>
      </c>
      <c r="O54" s="261">
        <f t="shared" si="45"/>
        <v>0</v>
      </c>
      <c r="P54" s="261">
        <f t="shared" si="45"/>
        <v>0</v>
      </c>
      <c r="Q54" s="261">
        <f t="shared" si="45"/>
        <v>0</v>
      </c>
      <c r="R54" s="261">
        <f t="shared" si="45"/>
        <v>0</v>
      </c>
      <c r="S54" s="261">
        <f t="shared" si="45"/>
        <v>0</v>
      </c>
      <c r="T54" s="261">
        <f t="shared" si="45"/>
        <v>0</v>
      </c>
      <c r="U54" s="374"/>
      <c r="V54" s="540" t="s">
        <v>1165</v>
      </c>
      <c r="W54" s="261">
        <f>IFERROR((W49*W53)/SUMPRODUCT($W49:$AC49,$W53:$AC53), 0)</f>
        <v>0</v>
      </c>
      <c r="X54" s="261">
        <f t="shared" ref="X54:AC54" si="46">IFERROR((X49*X53)/SUMPRODUCT($W49:$AC49,$W53:$AC53), 0)</f>
        <v>0</v>
      </c>
      <c r="Y54" s="261">
        <f t="shared" si="46"/>
        <v>0</v>
      </c>
      <c r="Z54" s="261">
        <f t="shared" si="46"/>
        <v>0</v>
      </c>
      <c r="AA54" s="261">
        <f t="shared" si="46"/>
        <v>0</v>
      </c>
      <c r="AB54" s="261">
        <f t="shared" si="46"/>
        <v>0</v>
      </c>
      <c r="AC54" s="261">
        <f t="shared" si="46"/>
        <v>0</v>
      </c>
      <c r="AD54" s="374"/>
      <c r="AE54" s="564"/>
    </row>
    <row r="55" spans="2:32" s="145" customFormat="1">
      <c r="B55" s="503"/>
      <c r="C55" s="521"/>
      <c r="D55" s="497"/>
      <c r="E55" s="368"/>
      <c r="F55" s="186"/>
      <c r="G55" s="186"/>
      <c r="H55" s="186"/>
      <c r="I55" s="186"/>
      <c r="J55" s="186"/>
      <c r="K55" s="186"/>
      <c r="L55" s="369"/>
      <c r="M55" s="377"/>
      <c r="N55" s="186"/>
      <c r="O55" s="186"/>
      <c r="P55" s="186"/>
      <c r="Q55" s="186"/>
      <c r="R55" s="186"/>
      <c r="S55" s="186"/>
      <c r="T55" s="186"/>
      <c r="U55" s="375"/>
      <c r="V55" s="377"/>
      <c r="W55" s="186"/>
      <c r="X55" s="186"/>
      <c r="Y55" s="186"/>
      <c r="Z55" s="186"/>
      <c r="AA55" s="186"/>
      <c r="AB55" s="186"/>
      <c r="AC55" s="186"/>
      <c r="AD55" s="375"/>
      <c r="AE55" s="564"/>
    </row>
    <row r="56" spans="2:32" s="292" customFormat="1">
      <c r="B56" s="502">
        <f>INPUTS!C24</f>
        <v>0</v>
      </c>
      <c r="C56" s="520"/>
      <c r="D56" s="495" t="s">
        <v>1164</v>
      </c>
      <c r="E56" s="364">
        <f>INPUTS!J56</f>
        <v>0</v>
      </c>
      <c r="F56" s="292">
        <f>INPUTS!J57</f>
        <v>0</v>
      </c>
      <c r="G56" s="292">
        <f>INPUTS!J58</f>
        <v>0</v>
      </c>
      <c r="H56" s="292">
        <f>INPUTS!J59</f>
        <v>0</v>
      </c>
      <c r="I56" s="292">
        <f>INPUTS!J60</f>
        <v>0</v>
      </c>
      <c r="J56" s="292">
        <f>INPUTS!J61</f>
        <v>0</v>
      </c>
      <c r="K56" s="292">
        <f>INPUTS!J62</f>
        <v>0</v>
      </c>
      <c r="L56" s="365"/>
      <c r="M56" s="556" t="s">
        <v>1164</v>
      </c>
      <c r="N56" s="292">
        <f>INPUTS!J67</f>
        <v>0</v>
      </c>
      <c r="O56" s="292">
        <f>INPUTS!J68</f>
        <v>0</v>
      </c>
      <c r="P56" s="292">
        <f>INPUTS!J69</f>
        <v>0</v>
      </c>
      <c r="Q56" s="292">
        <f>INPUTS!J70</f>
        <v>0</v>
      </c>
      <c r="R56" s="292">
        <f>INPUTS!J71</f>
        <v>0</v>
      </c>
      <c r="S56" s="292">
        <f>INPUTS!J72</f>
        <v>0</v>
      </c>
      <c r="T56" s="292">
        <f>INPUTS!J73</f>
        <v>0</v>
      </c>
      <c r="U56" s="373"/>
      <c r="V56" s="556" t="s">
        <v>1164</v>
      </c>
      <c r="W56" s="292">
        <f>INPUTS!J78</f>
        <v>0</v>
      </c>
      <c r="X56" s="292">
        <f>INPUTS!J79</f>
        <v>0</v>
      </c>
      <c r="Y56" s="292">
        <f>INPUTS!J80</f>
        <v>0</v>
      </c>
      <c r="Z56" s="292">
        <f>INPUTS!J81</f>
        <v>0</v>
      </c>
      <c r="AA56" s="292">
        <f>INPUTS!J82</f>
        <v>0</v>
      </c>
      <c r="AB56" s="292">
        <f>INPUTS!J83</f>
        <v>0</v>
      </c>
      <c r="AC56" s="292">
        <f>INPUTS!J84</f>
        <v>0</v>
      </c>
      <c r="AD56" s="373"/>
      <c r="AE56" s="563"/>
    </row>
    <row r="57" spans="2:32" s="145" customFormat="1">
      <c r="B57" s="499"/>
      <c r="C57" s="517"/>
      <c r="D57" s="497" t="s">
        <v>811</v>
      </c>
      <c r="E57" s="368">
        <f>VLOOKUP(E6,'Feed parameters'!$A$2:$M$114,6, FALSE)</f>
        <v>14.4</v>
      </c>
      <c r="F57" s="186">
        <f>VLOOKUP(F6,'Feed parameters'!$A$2:$M$114,6, FALSE)</f>
        <v>2.17875</v>
      </c>
      <c r="G57" s="186">
        <f>VLOOKUP(G6,'Feed parameters'!$A$2:$M$114,6, FALSE)</f>
        <v>3.3930000000000002</v>
      </c>
      <c r="H57" s="186">
        <f>VLOOKUP(H6,'Feed parameters'!$A$2:$M$114,6, FALSE)</f>
        <v>0</v>
      </c>
      <c r="I57" s="186">
        <f>VLOOKUP(I6,'Feed parameters'!$A$2:$M$114,6, FALSE)</f>
        <v>0</v>
      </c>
      <c r="J57" s="186">
        <f>VLOOKUP(J6,'Feed parameters'!$A$2:$M$114,6, FALSE)</f>
        <v>0</v>
      </c>
      <c r="K57" s="186">
        <f>VLOOKUP(K6,'Feed parameters'!$A$2:$M$114,6, FALSE)</f>
        <v>0</v>
      </c>
      <c r="L57" s="369">
        <f>IFERROR(SUMPRODUCT(E56:K56,E57:K57)/ SUM(E56:K56),0)</f>
        <v>0</v>
      </c>
      <c r="M57" s="376" t="s">
        <v>811</v>
      </c>
      <c r="N57" s="712">
        <f>N50</f>
        <v>14.4</v>
      </c>
      <c r="O57" s="712">
        <f t="shared" ref="O57:T60" si="47">O50</f>
        <v>2.17875</v>
      </c>
      <c r="P57" s="712">
        <f t="shared" si="47"/>
        <v>3.3930000000000002</v>
      </c>
      <c r="Q57" s="712">
        <f t="shared" si="47"/>
        <v>0</v>
      </c>
      <c r="R57" s="712">
        <f t="shared" si="47"/>
        <v>0</v>
      </c>
      <c r="S57" s="712">
        <f t="shared" si="47"/>
        <v>0</v>
      </c>
      <c r="T57" s="712">
        <f t="shared" si="47"/>
        <v>0</v>
      </c>
      <c r="U57" s="375">
        <f>IFERROR(SUMPRODUCT(N56:T56,N57:T57)/ SUM(N56:T56),0)</f>
        <v>0</v>
      </c>
      <c r="V57" s="376" t="s">
        <v>811</v>
      </c>
      <c r="W57" s="712">
        <f>W50</f>
        <v>14.4</v>
      </c>
      <c r="X57" s="712">
        <f t="shared" ref="X57:AC57" si="48">X50</f>
        <v>2.17875</v>
      </c>
      <c r="Y57" s="712">
        <f t="shared" si="48"/>
        <v>3.3930000000000002</v>
      </c>
      <c r="Z57" s="712">
        <f t="shared" si="48"/>
        <v>0</v>
      </c>
      <c r="AA57" s="712">
        <f t="shared" si="48"/>
        <v>0</v>
      </c>
      <c r="AB57" s="712">
        <f t="shared" si="48"/>
        <v>0</v>
      </c>
      <c r="AC57" s="712">
        <f t="shared" si="48"/>
        <v>0</v>
      </c>
      <c r="AD57" s="375">
        <f>IFERROR(SUMPRODUCT(W56:AC56,W57:AC57)/ SUM(W56:AC56),0)</f>
        <v>0</v>
      </c>
      <c r="AE57" s="564">
        <f>L57*$G$3+U57*$P$3</f>
        <v>0</v>
      </c>
      <c r="AF57" s="478">
        <f>IFERROR(L57*$G$3/(L60*0.01),0)+IFERROR(U57*$P$3/(U60*0.01),0)+IFERROR(AD57*$Y$3/(AD60*0.01),0)</f>
        <v>0</v>
      </c>
    </row>
    <row r="58" spans="2:32" s="145" customFormat="1">
      <c r="B58" s="503"/>
      <c r="C58" s="521"/>
      <c r="D58" s="497" t="s">
        <v>812</v>
      </c>
      <c r="E58" s="368">
        <f>VLOOKUP(E6,'Feed parameters'!$A$2:$M$114,7, FALSE)</f>
        <v>0.79859999999999998</v>
      </c>
      <c r="F58" s="186">
        <f>VLOOKUP(F6,'Feed parameters'!$A$2:$M$114,7, FALSE)</f>
        <v>0.43229999999999996</v>
      </c>
      <c r="G58" s="186">
        <f>VLOOKUP(G6,'Feed parameters'!$A$2:$M$114,7, FALSE)</f>
        <v>0.45539999999999997</v>
      </c>
      <c r="H58" s="186">
        <f>VLOOKUP(H6,'Feed parameters'!$A$2:$M$114,7, FALSE)</f>
        <v>0</v>
      </c>
      <c r="I58" s="186">
        <f>VLOOKUP(I6,'Feed parameters'!$A$2:$M$114,7, FALSE)</f>
        <v>0</v>
      </c>
      <c r="J58" s="186">
        <f>VLOOKUP(J6,'Feed parameters'!$A$2:$M$114,7, FALSE)</f>
        <v>0</v>
      </c>
      <c r="K58" s="186">
        <f>VLOOKUP(K6,'Feed parameters'!$A$2:$M$114,7, FALSE)</f>
        <v>0</v>
      </c>
      <c r="L58" s="369">
        <f>IFERROR(SUMPRODUCT(E56:K56,E58:K58)/ SUM(E56:K56),0)</f>
        <v>0</v>
      </c>
      <c r="M58" s="376" t="s">
        <v>812</v>
      </c>
      <c r="N58" s="712">
        <f t="shared" ref="N58:N60" si="49">N51</f>
        <v>0.79859999999999998</v>
      </c>
      <c r="O58" s="712">
        <f t="shared" si="47"/>
        <v>0.43229999999999996</v>
      </c>
      <c r="P58" s="712">
        <f t="shared" si="47"/>
        <v>0.45539999999999997</v>
      </c>
      <c r="Q58" s="712">
        <f t="shared" si="47"/>
        <v>0</v>
      </c>
      <c r="R58" s="712">
        <f t="shared" si="47"/>
        <v>0</v>
      </c>
      <c r="S58" s="712">
        <f t="shared" si="47"/>
        <v>0</v>
      </c>
      <c r="T58" s="712">
        <f t="shared" si="47"/>
        <v>0</v>
      </c>
      <c r="U58" s="375">
        <f>IFERROR(SUMPRODUCT(N56:T56,N58:T58)/ SUM(N56:T56),0)</f>
        <v>0</v>
      </c>
      <c r="V58" s="376" t="s">
        <v>812</v>
      </c>
      <c r="W58" s="712">
        <f t="shared" ref="W58:AC60" si="50">W51</f>
        <v>0.79859999999999998</v>
      </c>
      <c r="X58" s="712">
        <f t="shared" si="50"/>
        <v>0.43229999999999996</v>
      </c>
      <c r="Y58" s="712">
        <f t="shared" si="50"/>
        <v>0.45539999999999997</v>
      </c>
      <c r="Z58" s="712">
        <f t="shared" si="50"/>
        <v>0</v>
      </c>
      <c r="AA58" s="712">
        <f t="shared" si="50"/>
        <v>0</v>
      </c>
      <c r="AB58" s="712">
        <f t="shared" si="50"/>
        <v>0</v>
      </c>
      <c r="AC58" s="712">
        <f t="shared" si="50"/>
        <v>0</v>
      </c>
      <c r="AD58" s="375">
        <f>IFERROR(SUMPRODUCT(W56:AC56,W58:AC58)/ SUM(W56:AC56),0)</f>
        <v>0</v>
      </c>
      <c r="AE58" s="564">
        <f>L58*$G$3+U58*$P$3</f>
        <v>0</v>
      </c>
    </row>
    <row r="59" spans="2:32" s="145" customFormat="1">
      <c r="B59" s="501"/>
      <c r="C59" s="519"/>
      <c r="D59" s="497" t="s">
        <v>902</v>
      </c>
      <c r="E59" s="366">
        <f>VLOOKUP(E6,'Feed parameters'!$A$2:$M$114,4, FALSE)</f>
        <v>10.89</v>
      </c>
      <c r="F59" s="261">
        <f>VLOOKUP(F6,'Feed parameters'!$A$2:$M$114,4, FALSE)</f>
        <v>1.9027750000000001</v>
      </c>
      <c r="G59" s="261">
        <f>VLOOKUP(G6,'Feed parameters'!$A$2:$M$114,4, FALSE)</f>
        <v>6.0030000000000001</v>
      </c>
      <c r="H59" s="261">
        <f>VLOOKUP(H6,'Feed parameters'!$A$2:$M$114,4, FALSE)</f>
        <v>0</v>
      </c>
      <c r="I59" s="261">
        <f>VLOOKUP(I6,'Feed parameters'!$A$2:$M$114,4, FALSE)</f>
        <v>0</v>
      </c>
      <c r="J59" s="261">
        <f>VLOOKUP(J6,'Feed parameters'!$A$2:$M$114,4, FALSE)</f>
        <v>0</v>
      </c>
      <c r="K59" s="261">
        <f>VLOOKUP(K6,'Feed parameters'!$A$2:$M$114,4, FALSE)</f>
        <v>0</v>
      </c>
      <c r="L59" s="367">
        <f>IFERROR(SUMPRODUCT(E56:K56,E59:K59)/ SUM(E56:K56),0)</f>
        <v>0</v>
      </c>
      <c r="M59" s="376" t="s">
        <v>902</v>
      </c>
      <c r="N59" s="712">
        <f t="shared" si="49"/>
        <v>10.89</v>
      </c>
      <c r="O59" s="712">
        <f t="shared" si="47"/>
        <v>1.9027750000000001</v>
      </c>
      <c r="P59" s="712">
        <f t="shared" si="47"/>
        <v>6.0030000000000001</v>
      </c>
      <c r="Q59" s="712">
        <f t="shared" si="47"/>
        <v>0</v>
      </c>
      <c r="R59" s="712">
        <f t="shared" si="47"/>
        <v>0</v>
      </c>
      <c r="S59" s="712">
        <f t="shared" si="47"/>
        <v>0</v>
      </c>
      <c r="T59" s="712">
        <f t="shared" si="47"/>
        <v>0</v>
      </c>
      <c r="U59" s="374">
        <f>IFERROR(SUMPRODUCT(N56:T56,N59:T59)/ SUM(N56:T56),0)</f>
        <v>0</v>
      </c>
      <c r="V59" s="376" t="s">
        <v>902</v>
      </c>
      <c r="W59" s="712">
        <f t="shared" si="50"/>
        <v>10.89</v>
      </c>
      <c r="X59" s="712">
        <f t="shared" si="50"/>
        <v>1.9027750000000001</v>
      </c>
      <c r="Y59" s="712">
        <f t="shared" si="50"/>
        <v>6.0030000000000001</v>
      </c>
      <c r="Z59" s="712">
        <f t="shared" si="50"/>
        <v>0</v>
      </c>
      <c r="AA59" s="712">
        <f t="shared" si="50"/>
        <v>0</v>
      </c>
      <c r="AB59" s="712">
        <f t="shared" si="50"/>
        <v>0</v>
      </c>
      <c r="AC59" s="712">
        <f t="shared" si="50"/>
        <v>0</v>
      </c>
      <c r="AD59" s="374">
        <f>IFERROR(SUMPRODUCT(W56:AC56,W59:AC59)/ SUM(W56:AC56),0)</f>
        <v>0</v>
      </c>
      <c r="AE59" s="564"/>
    </row>
    <row r="60" spans="2:32" s="145" customFormat="1">
      <c r="B60" s="496"/>
      <c r="C60" s="515"/>
      <c r="D60" s="497" t="s">
        <v>1147</v>
      </c>
      <c r="E60" s="366">
        <f>VLOOKUP(E6,'Feed parameters'!$A$2:$M$114,2, FALSE)</f>
        <v>90</v>
      </c>
      <c r="F60" s="261">
        <f>VLOOKUP(F6,'Feed parameters'!$A$2:$M$114,2, FALSE)</f>
        <v>29.05</v>
      </c>
      <c r="G60" s="261">
        <f>VLOOKUP(G6,'Feed parameters'!$A$2:$M$114,2, FALSE)</f>
        <v>87</v>
      </c>
      <c r="H60" s="261">
        <f>VLOOKUP(H6,'Feed parameters'!$A$2:$M$114,2, FALSE)</f>
        <v>0</v>
      </c>
      <c r="I60" s="261">
        <f>VLOOKUP(I6,'Feed parameters'!$A$2:$M$114,2, FALSE)</f>
        <v>0</v>
      </c>
      <c r="J60" s="261">
        <f>VLOOKUP(J6,'Feed parameters'!$A$2:$M$114,2, FALSE)</f>
        <v>0</v>
      </c>
      <c r="K60" s="261">
        <f>VLOOKUP(K6,'Feed parameters'!$A$2:$M$114,2, FALSE)</f>
        <v>0</v>
      </c>
      <c r="L60" s="367">
        <f>IFERROR(SUMPRODUCT(E56:K56,E60:K60)/ SUM(E56:K56),0)</f>
        <v>0</v>
      </c>
      <c r="M60" s="540" t="s">
        <v>1147</v>
      </c>
      <c r="N60" s="712">
        <f t="shared" si="49"/>
        <v>90</v>
      </c>
      <c r="O60" s="712">
        <f t="shared" si="47"/>
        <v>29.05</v>
      </c>
      <c r="P60" s="712">
        <f t="shared" si="47"/>
        <v>87</v>
      </c>
      <c r="Q60" s="712">
        <f t="shared" si="47"/>
        <v>0</v>
      </c>
      <c r="R60" s="712">
        <f t="shared" si="47"/>
        <v>0</v>
      </c>
      <c r="S60" s="712">
        <f t="shared" si="47"/>
        <v>0</v>
      </c>
      <c r="T60" s="712">
        <f t="shared" si="47"/>
        <v>0</v>
      </c>
      <c r="U60" s="374">
        <f>IFERROR(SUMPRODUCT(N56:T56,N60:T60)/ SUM(N56:T56),0)</f>
        <v>0</v>
      </c>
      <c r="V60" s="540" t="s">
        <v>1147</v>
      </c>
      <c r="W60" s="712">
        <f t="shared" si="50"/>
        <v>90</v>
      </c>
      <c r="X60" s="712">
        <f t="shared" si="50"/>
        <v>29.05</v>
      </c>
      <c r="Y60" s="712">
        <f t="shared" si="50"/>
        <v>87</v>
      </c>
      <c r="Z60" s="712">
        <f t="shared" si="50"/>
        <v>0</v>
      </c>
      <c r="AA60" s="712">
        <f t="shared" si="50"/>
        <v>0</v>
      </c>
      <c r="AB60" s="712">
        <f t="shared" si="50"/>
        <v>0</v>
      </c>
      <c r="AC60" s="712">
        <f t="shared" si="50"/>
        <v>0</v>
      </c>
      <c r="AD60" s="374">
        <f>IFERROR(SUMPRODUCT(W56:AC56,W60:AC60)/ SUM(W56:AC56),0)</f>
        <v>0</v>
      </c>
      <c r="AE60" s="564">
        <f>L60*$G$3+U60*$P$3</f>
        <v>0</v>
      </c>
    </row>
    <row r="61" spans="2:32" s="145" customFormat="1">
      <c r="B61" s="496"/>
      <c r="C61" s="515"/>
      <c r="D61" s="497" t="s">
        <v>1165</v>
      </c>
      <c r="E61" s="597">
        <f t="shared" ref="E61:K61" si="51">IFERROR((E56*E60)/SUMPRODUCT($E56:$K56,$E60:$K60),0)</f>
        <v>0</v>
      </c>
      <c r="F61" s="261">
        <f t="shared" si="51"/>
        <v>0</v>
      </c>
      <c r="G61" s="261">
        <f t="shared" si="51"/>
        <v>0</v>
      </c>
      <c r="H61" s="261">
        <f t="shared" si="51"/>
        <v>0</v>
      </c>
      <c r="I61" s="261">
        <f t="shared" si="51"/>
        <v>0</v>
      </c>
      <c r="J61" s="261">
        <f t="shared" si="51"/>
        <v>0</v>
      </c>
      <c r="K61" s="261">
        <f t="shared" si="51"/>
        <v>0</v>
      </c>
      <c r="L61" s="367"/>
      <c r="M61" s="540" t="s">
        <v>1165</v>
      </c>
      <c r="N61" s="261">
        <f t="shared" ref="N61:T61" si="52">IFERROR((N56*N60)/SUMPRODUCT($N56:$T56,$N60:$T60),0)</f>
        <v>0</v>
      </c>
      <c r="O61" s="261">
        <f t="shared" si="52"/>
        <v>0</v>
      </c>
      <c r="P61" s="261">
        <f t="shared" si="52"/>
        <v>0</v>
      </c>
      <c r="Q61" s="261">
        <f t="shared" si="52"/>
        <v>0</v>
      </c>
      <c r="R61" s="261">
        <f t="shared" si="52"/>
        <v>0</v>
      </c>
      <c r="S61" s="261">
        <f t="shared" si="52"/>
        <v>0</v>
      </c>
      <c r="T61" s="261">
        <f t="shared" si="52"/>
        <v>0</v>
      </c>
      <c r="U61" s="374"/>
      <c r="V61" s="540" t="s">
        <v>1165</v>
      </c>
      <c r="W61" s="261">
        <f>IFERROR((W56*W60)/SUMPRODUCT($W56:$AC56,$W60:$AC60), 0)</f>
        <v>0</v>
      </c>
      <c r="X61" s="261">
        <f t="shared" ref="X61:AC61" si="53">IFERROR((X56*X60)/SUMPRODUCT($W56:$AC56,$W60:$AC60), 0)</f>
        <v>0</v>
      </c>
      <c r="Y61" s="261">
        <f t="shared" si="53"/>
        <v>0</v>
      </c>
      <c r="Z61" s="261">
        <f t="shared" si="53"/>
        <v>0</v>
      </c>
      <c r="AA61" s="261">
        <f t="shared" si="53"/>
        <v>0</v>
      </c>
      <c r="AB61" s="261">
        <f t="shared" si="53"/>
        <v>0</v>
      </c>
      <c r="AC61" s="261">
        <f t="shared" si="53"/>
        <v>0</v>
      </c>
      <c r="AD61" s="374"/>
      <c r="AE61" s="564"/>
    </row>
    <row r="62" spans="2:32" s="145" customFormat="1" ht="16.5" customHeight="1">
      <c r="B62" s="503"/>
      <c r="C62" s="521"/>
      <c r="D62" s="497"/>
      <c r="E62" s="368"/>
      <c r="F62" s="186"/>
      <c r="G62" s="186"/>
      <c r="H62" s="186"/>
      <c r="I62" s="186"/>
      <c r="J62" s="186"/>
      <c r="K62" s="186"/>
      <c r="L62" s="369"/>
      <c r="M62" s="377"/>
      <c r="N62" s="186"/>
      <c r="O62" s="186"/>
      <c r="P62" s="186"/>
      <c r="Q62" s="186"/>
      <c r="R62" s="186"/>
      <c r="S62" s="186"/>
      <c r="T62" s="186"/>
      <c r="U62" s="375"/>
      <c r="V62" s="377"/>
      <c r="W62" s="186"/>
      <c r="X62" s="186"/>
      <c r="Y62" s="186"/>
      <c r="Z62" s="186"/>
      <c r="AA62" s="186"/>
      <c r="AB62" s="186"/>
      <c r="AC62" s="186"/>
      <c r="AD62" s="375"/>
      <c r="AE62" s="564"/>
    </row>
    <row r="63" spans="2:32" s="292" customFormat="1">
      <c r="B63" s="502">
        <f>INPUTS!C25</f>
        <v>0</v>
      </c>
      <c r="C63" s="520"/>
      <c r="D63" s="495" t="s">
        <v>1164</v>
      </c>
      <c r="E63" s="364">
        <f>INPUTS!K56</f>
        <v>0</v>
      </c>
      <c r="F63" s="292">
        <f>INPUTS!K57</f>
        <v>0</v>
      </c>
      <c r="G63" s="292">
        <f>INPUTS!K58</f>
        <v>0</v>
      </c>
      <c r="H63" s="292">
        <f>INPUTS!K59</f>
        <v>0</v>
      </c>
      <c r="I63" s="292">
        <f>INPUTS!K60</f>
        <v>0</v>
      </c>
      <c r="J63" s="292">
        <f>INPUTS!K61</f>
        <v>0</v>
      </c>
      <c r="K63" s="292">
        <f>INPUTS!K62</f>
        <v>0</v>
      </c>
      <c r="L63" s="365"/>
      <c r="M63" s="556" t="s">
        <v>1164</v>
      </c>
      <c r="N63" s="292">
        <f>INPUTS!K67</f>
        <v>0</v>
      </c>
      <c r="O63" s="292">
        <f>INPUTS!K68</f>
        <v>0</v>
      </c>
      <c r="P63" s="292">
        <f>INPUTS!K69</f>
        <v>0</v>
      </c>
      <c r="Q63" s="292">
        <f>INPUTS!K70</f>
        <v>0</v>
      </c>
      <c r="R63" s="292">
        <f>INPUTS!K71</f>
        <v>0</v>
      </c>
      <c r="S63" s="292">
        <f>INPUTS!K72</f>
        <v>0</v>
      </c>
      <c r="T63" s="292">
        <f>INPUTS!K73</f>
        <v>0</v>
      </c>
      <c r="U63" s="373"/>
      <c r="V63" s="556" t="s">
        <v>1164</v>
      </c>
      <c r="W63" s="292">
        <f>INPUTS!K78</f>
        <v>0</v>
      </c>
      <c r="X63" s="292">
        <f>INPUTS!K79</f>
        <v>0</v>
      </c>
      <c r="Y63" s="292">
        <f>INPUTS!K80</f>
        <v>0</v>
      </c>
      <c r="Z63" s="292">
        <f>INPUTS!K81</f>
        <v>0</v>
      </c>
      <c r="AA63" s="292">
        <f>INPUTS!K82</f>
        <v>0</v>
      </c>
      <c r="AB63" s="292">
        <f>INPUTS!K83</f>
        <v>0</v>
      </c>
      <c r="AC63" s="292">
        <f>INPUTS!K84</f>
        <v>0</v>
      </c>
      <c r="AD63" s="373"/>
      <c r="AE63" s="563"/>
    </row>
    <row r="64" spans="2:32" s="145" customFormat="1">
      <c r="B64" s="499"/>
      <c r="C64" s="517"/>
      <c r="D64" s="497" t="s">
        <v>811</v>
      </c>
      <c r="E64" s="368">
        <f>VLOOKUP(E6,'Feed parameters'!$A$2:$M$114,6, FALSE)</f>
        <v>14.4</v>
      </c>
      <c r="F64" s="186">
        <f>VLOOKUP(F6,'Feed parameters'!$A$2:$M$114,6, FALSE)</f>
        <v>2.17875</v>
      </c>
      <c r="G64" s="186">
        <f>VLOOKUP(G6,'Feed parameters'!$A$2:$M$114,6, FALSE)</f>
        <v>3.3930000000000002</v>
      </c>
      <c r="H64" s="186">
        <f>VLOOKUP(H6,'Feed parameters'!$A$2:$M$114,6, FALSE)</f>
        <v>0</v>
      </c>
      <c r="I64" s="186">
        <f>VLOOKUP(I6,'Feed parameters'!$A$2:$M$114,6, FALSE)</f>
        <v>0</v>
      </c>
      <c r="J64" s="186">
        <f>VLOOKUP(J6,'Feed parameters'!$A$2:$M$114,6, FALSE)</f>
        <v>0</v>
      </c>
      <c r="K64" s="186">
        <f>VLOOKUP(K6,'Feed parameters'!$A$2:$M$114,6, FALSE)</f>
        <v>0</v>
      </c>
      <c r="L64" s="369">
        <f>IFERROR(SUMPRODUCT(E63:K63,E64:K64)/ SUM(E63:K63),0)</f>
        <v>0</v>
      </c>
      <c r="M64" s="376" t="s">
        <v>811</v>
      </c>
      <c r="N64" s="712">
        <f>N57</f>
        <v>14.4</v>
      </c>
      <c r="O64" s="712">
        <f t="shared" ref="O64:T67" si="54">O57</f>
        <v>2.17875</v>
      </c>
      <c r="P64" s="712">
        <f t="shared" si="54"/>
        <v>3.3930000000000002</v>
      </c>
      <c r="Q64" s="712">
        <f t="shared" si="54"/>
        <v>0</v>
      </c>
      <c r="R64" s="712">
        <f t="shared" si="54"/>
        <v>0</v>
      </c>
      <c r="S64" s="712">
        <f t="shared" si="54"/>
        <v>0</v>
      </c>
      <c r="T64" s="712">
        <f t="shared" si="54"/>
        <v>0</v>
      </c>
      <c r="U64" s="375">
        <f>IFERROR(SUMPRODUCT(N63:T63,N64:T64)/ SUM(N63:T63),0)</f>
        <v>0</v>
      </c>
      <c r="V64" s="376" t="s">
        <v>811</v>
      </c>
      <c r="W64" s="712">
        <f>W57</f>
        <v>14.4</v>
      </c>
      <c r="X64" s="712">
        <f t="shared" ref="X64:AC64" si="55">X57</f>
        <v>2.17875</v>
      </c>
      <c r="Y64" s="712">
        <f t="shared" si="55"/>
        <v>3.3930000000000002</v>
      </c>
      <c r="Z64" s="712">
        <f t="shared" si="55"/>
        <v>0</v>
      </c>
      <c r="AA64" s="712">
        <f t="shared" si="55"/>
        <v>0</v>
      </c>
      <c r="AB64" s="712">
        <f t="shared" si="55"/>
        <v>0</v>
      </c>
      <c r="AC64" s="712">
        <f t="shared" si="55"/>
        <v>0</v>
      </c>
      <c r="AD64" s="375">
        <f>IFERROR(SUMPRODUCT(W63:AC63,W64:AC64)/ SUM(W63:AC63),0)</f>
        <v>0</v>
      </c>
      <c r="AE64" s="564">
        <f>L64*$G$3+U64*$P$3</f>
        <v>0</v>
      </c>
      <c r="AF64" s="478">
        <f>IFERROR(L64*$G$3/(L67*0.01),0)+IFERROR(U64*$P$3/(U67*0.01),0)+IFERROR(AD64*$Y$3/(AD67*0.01),0)</f>
        <v>0</v>
      </c>
    </row>
    <row r="65" spans="2:32" s="145" customFormat="1">
      <c r="B65" s="503"/>
      <c r="C65" s="521"/>
      <c r="D65" s="497" t="s">
        <v>812</v>
      </c>
      <c r="E65" s="368">
        <f>VLOOKUP(E6,'Feed parameters'!$A$2:$M$114,7, FALSE)</f>
        <v>0.79859999999999998</v>
      </c>
      <c r="F65" s="186">
        <f>VLOOKUP(F6,'Feed parameters'!$A$2:$M$114,7, FALSE)</f>
        <v>0.43229999999999996</v>
      </c>
      <c r="G65" s="186">
        <f>VLOOKUP(G6,'Feed parameters'!$A$2:$M$114,7, FALSE)</f>
        <v>0.45539999999999997</v>
      </c>
      <c r="H65" s="186">
        <f>VLOOKUP(H6,'Feed parameters'!$A$2:$M$114,7, FALSE)</f>
        <v>0</v>
      </c>
      <c r="I65" s="186">
        <f>VLOOKUP(I6,'Feed parameters'!$A$2:$M$114,7, FALSE)</f>
        <v>0</v>
      </c>
      <c r="J65" s="186">
        <f>VLOOKUP(J6,'Feed parameters'!$A$2:$M$114,7, FALSE)</f>
        <v>0</v>
      </c>
      <c r="K65" s="186">
        <f>VLOOKUP(K6,'Feed parameters'!$A$2:$M$114,7, FALSE)</f>
        <v>0</v>
      </c>
      <c r="L65" s="369">
        <f>IFERROR(SUMPRODUCT(E63:K63,E65:K65)/ SUM(E63:K63),0)</f>
        <v>0</v>
      </c>
      <c r="M65" s="376" t="s">
        <v>812</v>
      </c>
      <c r="N65" s="712">
        <f t="shared" ref="N65:N67" si="56">N58</f>
        <v>0.79859999999999998</v>
      </c>
      <c r="O65" s="712">
        <f t="shared" si="54"/>
        <v>0.43229999999999996</v>
      </c>
      <c r="P65" s="712">
        <f t="shared" si="54"/>
        <v>0.45539999999999997</v>
      </c>
      <c r="Q65" s="712">
        <f t="shared" si="54"/>
        <v>0</v>
      </c>
      <c r="R65" s="712">
        <f t="shared" si="54"/>
        <v>0</v>
      </c>
      <c r="S65" s="712">
        <f t="shared" si="54"/>
        <v>0</v>
      </c>
      <c r="T65" s="712">
        <f t="shared" si="54"/>
        <v>0</v>
      </c>
      <c r="U65" s="375">
        <f>IFERROR(SUMPRODUCT(N63:T63,N65:T65)/ SUM(N63:T63),0)</f>
        <v>0</v>
      </c>
      <c r="V65" s="376" t="s">
        <v>812</v>
      </c>
      <c r="W65" s="712">
        <f t="shared" ref="W65:AC67" si="57">W58</f>
        <v>0.79859999999999998</v>
      </c>
      <c r="X65" s="712">
        <f t="shared" si="57"/>
        <v>0.43229999999999996</v>
      </c>
      <c r="Y65" s="712">
        <f t="shared" si="57"/>
        <v>0.45539999999999997</v>
      </c>
      <c r="Z65" s="712">
        <f t="shared" si="57"/>
        <v>0</v>
      </c>
      <c r="AA65" s="712">
        <f t="shared" si="57"/>
        <v>0</v>
      </c>
      <c r="AB65" s="712">
        <f t="shared" si="57"/>
        <v>0</v>
      </c>
      <c r="AC65" s="712">
        <f t="shared" si="57"/>
        <v>0</v>
      </c>
      <c r="AD65" s="375">
        <f>IFERROR(SUMPRODUCT(W63:AC63,W65:AC65)/ SUM(W63:AC63),0)</f>
        <v>0</v>
      </c>
      <c r="AE65" s="564">
        <f>L65*$G$3+U65*$P$3</f>
        <v>0</v>
      </c>
    </row>
    <row r="66" spans="2:32" s="145" customFormat="1">
      <c r="B66" s="501"/>
      <c r="C66" s="519"/>
      <c r="D66" s="497" t="s">
        <v>902</v>
      </c>
      <c r="E66" s="366">
        <f>VLOOKUP(E6,'Feed parameters'!$A$2:$M$114,4, FALSE)</f>
        <v>10.89</v>
      </c>
      <c r="F66" s="261">
        <f>VLOOKUP(F6,'Feed parameters'!$A$2:$M$114,4, FALSE)</f>
        <v>1.9027750000000001</v>
      </c>
      <c r="G66" s="261">
        <f>VLOOKUP(G6,'Feed parameters'!$A$2:$M$114,4, FALSE)</f>
        <v>6.0030000000000001</v>
      </c>
      <c r="H66" s="261">
        <f>VLOOKUP(H6,'Feed parameters'!$A$2:$M$114,4, FALSE)</f>
        <v>0</v>
      </c>
      <c r="I66" s="261">
        <f>VLOOKUP(I6,'Feed parameters'!$A$2:$M$114,4, FALSE)</f>
        <v>0</v>
      </c>
      <c r="J66" s="261">
        <f>VLOOKUP(J6,'Feed parameters'!$A$2:$M$114,4, FALSE)</f>
        <v>0</v>
      </c>
      <c r="K66" s="261">
        <f>VLOOKUP(K6,'Feed parameters'!$A$2:$M$114,4, FALSE)</f>
        <v>0</v>
      </c>
      <c r="L66" s="367">
        <f>IFERROR(SUMPRODUCT(E63:K63,E66:K66)/ SUM(E63:K63),0)</f>
        <v>0</v>
      </c>
      <c r="M66" s="376" t="s">
        <v>902</v>
      </c>
      <c r="N66" s="712">
        <f t="shared" si="56"/>
        <v>10.89</v>
      </c>
      <c r="O66" s="712">
        <f t="shared" si="54"/>
        <v>1.9027750000000001</v>
      </c>
      <c r="P66" s="712">
        <f t="shared" si="54"/>
        <v>6.0030000000000001</v>
      </c>
      <c r="Q66" s="712">
        <f t="shared" si="54"/>
        <v>0</v>
      </c>
      <c r="R66" s="712">
        <f t="shared" si="54"/>
        <v>0</v>
      </c>
      <c r="S66" s="712">
        <f t="shared" si="54"/>
        <v>0</v>
      </c>
      <c r="T66" s="712">
        <f t="shared" si="54"/>
        <v>0</v>
      </c>
      <c r="U66" s="374">
        <f>IFERROR(SUMPRODUCT(N63:T63,N66:T66)/ SUM(N63:T63),0)</f>
        <v>0</v>
      </c>
      <c r="V66" s="376" t="s">
        <v>902</v>
      </c>
      <c r="W66" s="712">
        <f t="shared" si="57"/>
        <v>10.89</v>
      </c>
      <c r="X66" s="712">
        <f t="shared" si="57"/>
        <v>1.9027750000000001</v>
      </c>
      <c r="Y66" s="712">
        <f t="shared" si="57"/>
        <v>6.0030000000000001</v>
      </c>
      <c r="Z66" s="712">
        <f t="shared" si="57"/>
        <v>0</v>
      </c>
      <c r="AA66" s="712">
        <f t="shared" si="57"/>
        <v>0</v>
      </c>
      <c r="AB66" s="712">
        <f t="shared" si="57"/>
        <v>0</v>
      </c>
      <c r="AC66" s="712">
        <f t="shared" si="57"/>
        <v>0</v>
      </c>
      <c r="AD66" s="374">
        <f>IFERROR(SUMPRODUCT(W63:AC63,W66:AC66)/ SUM(W63:AC63),0)</f>
        <v>0</v>
      </c>
      <c r="AE66" s="564"/>
    </row>
    <row r="67" spans="2:32" s="145" customFormat="1">
      <c r="B67" s="496"/>
      <c r="C67" s="515"/>
      <c r="D67" s="497" t="s">
        <v>1147</v>
      </c>
      <c r="E67" s="366">
        <f>VLOOKUP(E6,'Feed parameters'!$A$2:$M$114,2, FALSE)</f>
        <v>90</v>
      </c>
      <c r="F67" s="261">
        <f>VLOOKUP(F6,'Feed parameters'!$A$2:$M$114,2, FALSE)</f>
        <v>29.05</v>
      </c>
      <c r="G67" s="261">
        <f>VLOOKUP(G6,'Feed parameters'!$A$2:$M$114,2, FALSE)</f>
        <v>87</v>
      </c>
      <c r="H67" s="261">
        <f>VLOOKUP(H6,'Feed parameters'!$A$2:$M$114,2, FALSE)</f>
        <v>0</v>
      </c>
      <c r="I67" s="261">
        <f>VLOOKUP(I6,'Feed parameters'!$A$2:$M$114,2, FALSE)</f>
        <v>0</v>
      </c>
      <c r="J67" s="261">
        <f>VLOOKUP(J6,'Feed parameters'!$A$2:$M$114,2, FALSE)</f>
        <v>0</v>
      </c>
      <c r="K67" s="261">
        <f>VLOOKUP(K6,'Feed parameters'!$A$2:$M$114,2, FALSE)</f>
        <v>0</v>
      </c>
      <c r="L67" s="367">
        <f>IFERROR(SUMPRODUCT(E63:K63,E67:K67)/ SUM(E63:K63),0)</f>
        <v>0</v>
      </c>
      <c r="M67" s="540" t="s">
        <v>1147</v>
      </c>
      <c r="N67" s="712">
        <f t="shared" si="56"/>
        <v>90</v>
      </c>
      <c r="O67" s="712">
        <f t="shared" si="54"/>
        <v>29.05</v>
      </c>
      <c r="P67" s="712">
        <f t="shared" si="54"/>
        <v>87</v>
      </c>
      <c r="Q67" s="712">
        <f t="shared" si="54"/>
        <v>0</v>
      </c>
      <c r="R67" s="712">
        <f t="shared" si="54"/>
        <v>0</v>
      </c>
      <c r="S67" s="712">
        <f t="shared" si="54"/>
        <v>0</v>
      </c>
      <c r="T67" s="712">
        <f t="shared" si="54"/>
        <v>0</v>
      </c>
      <c r="U67" s="374">
        <f>IFERROR(SUMPRODUCT(N63:T63,N67:T67)/ SUM(N63:T63),0)</f>
        <v>0</v>
      </c>
      <c r="V67" s="540" t="s">
        <v>1147</v>
      </c>
      <c r="W67" s="712">
        <f t="shared" si="57"/>
        <v>90</v>
      </c>
      <c r="X67" s="712">
        <f t="shared" si="57"/>
        <v>29.05</v>
      </c>
      <c r="Y67" s="712">
        <f t="shared" si="57"/>
        <v>87</v>
      </c>
      <c r="Z67" s="712">
        <f t="shared" si="57"/>
        <v>0</v>
      </c>
      <c r="AA67" s="712">
        <f t="shared" si="57"/>
        <v>0</v>
      </c>
      <c r="AB67" s="712">
        <f t="shared" si="57"/>
        <v>0</v>
      </c>
      <c r="AC67" s="712">
        <f t="shared" si="57"/>
        <v>0</v>
      </c>
      <c r="AD67" s="374">
        <f>IFERROR(SUMPRODUCT(W63:AC63,W67:AC67)/ SUM(W63:AC63),0)</f>
        <v>0</v>
      </c>
      <c r="AE67" s="564">
        <f>L67*$G$3+U67*$P$3</f>
        <v>0</v>
      </c>
    </row>
    <row r="68" spans="2:32" s="145" customFormat="1">
      <c r="B68" s="496"/>
      <c r="C68" s="515"/>
      <c r="D68" s="497" t="s">
        <v>1165</v>
      </c>
      <c r="E68" s="366">
        <f>IFERROR((E63*E67)/SUMPRODUCT($E63:$K63,$E67:$K67), 0)</f>
        <v>0</v>
      </c>
      <c r="F68" s="261">
        <f t="shared" ref="F68:K68" si="58">IFERROR((F63*F67)/SUMPRODUCT($E63:$K63,$E67:$K67),0)</f>
        <v>0</v>
      </c>
      <c r="G68" s="261">
        <f t="shared" si="58"/>
        <v>0</v>
      </c>
      <c r="H68" s="261">
        <f t="shared" si="58"/>
        <v>0</v>
      </c>
      <c r="I68" s="261">
        <f t="shared" si="58"/>
        <v>0</v>
      </c>
      <c r="J68" s="261">
        <f t="shared" si="58"/>
        <v>0</v>
      </c>
      <c r="K68" s="261">
        <f t="shared" si="58"/>
        <v>0</v>
      </c>
      <c r="L68" s="367"/>
      <c r="M68" s="540" t="s">
        <v>1165</v>
      </c>
      <c r="N68" s="261">
        <f t="shared" ref="N68:T68" si="59">IFERROR((N63*N67)/SUMPRODUCT($N63:$T63,$N67:$T67),0)</f>
        <v>0</v>
      </c>
      <c r="O68" s="261">
        <f t="shared" si="59"/>
        <v>0</v>
      </c>
      <c r="P68" s="261">
        <f t="shared" si="59"/>
        <v>0</v>
      </c>
      <c r="Q68" s="261">
        <f t="shared" si="59"/>
        <v>0</v>
      </c>
      <c r="R68" s="261">
        <f t="shared" si="59"/>
        <v>0</v>
      </c>
      <c r="S68" s="261">
        <f t="shared" si="59"/>
        <v>0</v>
      </c>
      <c r="T68" s="261">
        <f t="shared" si="59"/>
        <v>0</v>
      </c>
      <c r="U68" s="374"/>
      <c r="V68" s="540" t="s">
        <v>1165</v>
      </c>
      <c r="W68" s="261">
        <f>IFERROR((W63*W67)/SUMPRODUCT($W63:$AC63,$W67:$AC67), 0)</f>
        <v>0</v>
      </c>
      <c r="X68" s="261">
        <f t="shared" ref="X68:AC68" si="60">IFERROR((X63*X67)/SUMPRODUCT($W63:$AC63,$W67:$AC67), 0)</f>
        <v>0</v>
      </c>
      <c r="Y68" s="261">
        <f t="shared" si="60"/>
        <v>0</v>
      </c>
      <c r="Z68" s="261">
        <f t="shared" si="60"/>
        <v>0</v>
      </c>
      <c r="AA68" s="261">
        <f t="shared" si="60"/>
        <v>0</v>
      </c>
      <c r="AB68" s="261">
        <f t="shared" si="60"/>
        <v>0</v>
      </c>
      <c r="AC68" s="261">
        <f t="shared" si="60"/>
        <v>0</v>
      </c>
      <c r="AD68" s="374"/>
      <c r="AE68" s="564"/>
    </row>
    <row r="69" spans="2:32" s="145" customFormat="1">
      <c r="B69" s="496"/>
      <c r="C69" s="515"/>
      <c r="D69" s="497"/>
      <c r="E69" s="366"/>
      <c r="F69" s="261"/>
      <c r="G69" s="261"/>
      <c r="H69" s="261"/>
      <c r="I69" s="261"/>
      <c r="J69" s="261"/>
      <c r="K69" s="261"/>
      <c r="L69" s="367"/>
      <c r="M69" s="540"/>
      <c r="N69" s="261"/>
      <c r="O69" s="261"/>
      <c r="P69" s="261"/>
      <c r="Q69" s="261"/>
      <c r="R69" s="261"/>
      <c r="S69" s="261"/>
      <c r="T69" s="261"/>
      <c r="U69" s="374"/>
      <c r="V69" s="540"/>
      <c r="W69" s="261"/>
      <c r="X69" s="261"/>
      <c r="Y69" s="261"/>
      <c r="Z69" s="261"/>
      <c r="AA69" s="261"/>
      <c r="AB69" s="261"/>
      <c r="AC69" s="261"/>
      <c r="AD69" s="374"/>
      <c r="AE69" s="564"/>
    </row>
    <row r="70" spans="2:32" s="145" customFormat="1">
      <c r="B70" s="502">
        <f>INPUTS!C26</f>
        <v>0</v>
      </c>
      <c r="C70" s="520"/>
      <c r="D70" s="495" t="s">
        <v>1164</v>
      </c>
      <c r="E70" s="364">
        <f>INPUTS!L56</f>
        <v>0</v>
      </c>
      <c r="F70" s="261">
        <f>INPUTS!L57</f>
        <v>0</v>
      </c>
      <c r="G70" s="261">
        <f>INPUTS!L58</f>
        <v>0</v>
      </c>
      <c r="H70" s="261">
        <f>INPUTS!L59</f>
        <v>0</v>
      </c>
      <c r="I70" s="261">
        <f>INPUTS!L60</f>
        <v>0</v>
      </c>
      <c r="J70" s="261">
        <f>INPUTS!L61</f>
        <v>0</v>
      </c>
      <c r="K70" s="261">
        <f>INPUTS!L62</f>
        <v>0</v>
      </c>
      <c r="L70" s="367"/>
      <c r="M70" s="556" t="s">
        <v>1164</v>
      </c>
      <c r="N70" s="261">
        <f>INPUTS!L67</f>
        <v>0</v>
      </c>
      <c r="O70" s="261">
        <f>INPUTS!L68</f>
        <v>0</v>
      </c>
      <c r="P70" s="261">
        <f>INPUTS!L69</f>
        <v>0</v>
      </c>
      <c r="Q70" s="261">
        <f>INPUTS!L70</f>
        <v>0</v>
      </c>
      <c r="R70" s="261">
        <f>INPUTS!L71</f>
        <v>0</v>
      </c>
      <c r="S70" s="261">
        <f>INPUTS!L72</f>
        <v>0</v>
      </c>
      <c r="T70" s="261">
        <f>INPUTS!L73</f>
        <v>0</v>
      </c>
      <c r="U70" s="374"/>
      <c r="V70" s="556" t="s">
        <v>1164</v>
      </c>
      <c r="W70" s="261">
        <f>INPUTS!L78</f>
        <v>0</v>
      </c>
      <c r="X70" s="261">
        <f>INPUTS!L79</f>
        <v>0</v>
      </c>
      <c r="Y70" s="261">
        <f>INPUTS!L80</f>
        <v>0</v>
      </c>
      <c r="Z70" s="261">
        <f>INPUTS!L81</f>
        <v>0</v>
      </c>
      <c r="AA70" s="261">
        <f>INPUTS!L82</f>
        <v>0</v>
      </c>
      <c r="AB70" s="261">
        <f>INPUTS!L83</f>
        <v>0</v>
      </c>
      <c r="AC70" s="261">
        <f>INPUTS!L84</f>
        <v>0</v>
      </c>
      <c r="AD70" s="374"/>
      <c r="AE70" s="564"/>
    </row>
    <row r="71" spans="2:32" s="145" customFormat="1">
      <c r="B71" s="499"/>
      <c r="C71" s="517"/>
      <c r="D71" s="497" t="s">
        <v>811</v>
      </c>
      <c r="E71" s="368">
        <f>VLOOKUP(E6,'Feed parameters'!$A$2:$M$114,6, FALSE)</f>
        <v>14.4</v>
      </c>
      <c r="F71" s="261">
        <f>VLOOKUP(F6,'Feed parameters'!$A$2:$M$114,6, FALSE)</f>
        <v>2.17875</v>
      </c>
      <c r="G71" s="261">
        <f>VLOOKUP(G6,'Feed parameters'!$A$2:$M$114,6, FALSE)</f>
        <v>3.3930000000000002</v>
      </c>
      <c r="H71" s="261">
        <f>VLOOKUP(H6,'Feed parameters'!$A$2:$M$114,6, FALSE)</f>
        <v>0</v>
      </c>
      <c r="I71" s="261">
        <f>VLOOKUP(I6,'Feed parameters'!$A$2:$M$114,6, FALSE)</f>
        <v>0</v>
      </c>
      <c r="J71" s="261">
        <f>VLOOKUP(J6,'Feed parameters'!$A$2:$M$114,6, FALSE)</f>
        <v>0</v>
      </c>
      <c r="K71" s="261">
        <f>VLOOKUP(K6,'Feed parameters'!$A$2:$M$114,6, FALSE)</f>
        <v>0</v>
      </c>
      <c r="L71" s="369">
        <f>IFERROR(SUMPRODUCT(E70:K70,E71:K71)/ SUM(E70:K70),0)</f>
        <v>0</v>
      </c>
      <c r="M71" s="376" t="s">
        <v>811</v>
      </c>
      <c r="N71" s="261">
        <f>N64</f>
        <v>14.4</v>
      </c>
      <c r="O71" s="261">
        <f t="shared" ref="O71:T71" si="61">O64</f>
        <v>2.17875</v>
      </c>
      <c r="P71" s="261">
        <f t="shared" si="61"/>
        <v>3.3930000000000002</v>
      </c>
      <c r="Q71" s="261">
        <f t="shared" si="61"/>
        <v>0</v>
      </c>
      <c r="R71" s="261">
        <f t="shared" si="61"/>
        <v>0</v>
      </c>
      <c r="S71" s="261">
        <f t="shared" si="61"/>
        <v>0</v>
      </c>
      <c r="T71" s="261">
        <f t="shared" si="61"/>
        <v>0</v>
      </c>
      <c r="U71" s="375">
        <f>IFERROR(SUMPRODUCT(N70:T70,N71:T71)/ SUM(N70:T70),0)</f>
        <v>0</v>
      </c>
      <c r="V71" s="376" t="s">
        <v>811</v>
      </c>
      <c r="W71" s="261">
        <f>W64</f>
        <v>14.4</v>
      </c>
      <c r="X71" s="261">
        <f t="shared" ref="X71:AC71" si="62">X64</f>
        <v>2.17875</v>
      </c>
      <c r="Y71" s="261">
        <f t="shared" si="62"/>
        <v>3.3930000000000002</v>
      </c>
      <c r="Z71" s="261">
        <f t="shared" si="62"/>
        <v>0</v>
      </c>
      <c r="AA71" s="261">
        <f t="shared" si="62"/>
        <v>0</v>
      </c>
      <c r="AB71" s="261">
        <f t="shared" si="62"/>
        <v>0</v>
      </c>
      <c r="AC71" s="261">
        <f t="shared" si="62"/>
        <v>0</v>
      </c>
      <c r="AD71" s="375">
        <f>IFERROR(SUMPRODUCT(W70:AC70,W71:AC71)/ SUM(W70:AC70),0)</f>
        <v>0</v>
      </c>
      <c r="AE71" s="564">
        <f>L71*$G$3+U71*$P$3</f>
        <v>0</v>
      </c>
      <c r="AF71" s="478">
        <f>IFERROR(L71*$G$3/(L74*0.01),0)+IFERROR(U71*$P$3/(U74*0.01),0)+IFERROR(AD71*$Y$3/(AD74*0.01),0)</f>
        <v>0</v>
      </c>
    </row>
    <row r="72" spans="2:32" s="145" customFormat="1">
      <c r="B72" s="503"/>
      <c r="C72" s="521"/>
      <c r="D72" s="497" t="s">
        <v>812</v>
      </c>
      <c r="E72" s="368">
        <f>VLOOKUP(E6,'Feed parameters'!$A$2:$M$114,7, FALSE)</f>
        <v>0.79859999999999998</v>
      </c>
      <c r="F72" s="261">
        <f>VLOOKUP(F6,'Feed parameters'!$A$2:$M$114,7, FALSE)</f>
        <v>0.43229999999999996</v>
      </c>
      <c r="G72" s="261">
        <f>VLOOKUP(G6,'Feed parameters'!$A$2:$M$114,7, FALSE)</f>
        <v>0.45539999999999997</v>
      </c>
      <c r="H72" s="261">
        <f>VLOOKUP(H6,'Feed parameters'!$A$2:$M$114,7, FALSE)</f>
        <v>0</v>
      </c>
      <c r="I72" s="261">
        <f>VLOOKUP(I6,'Feed parameters'!$A$2:$M$114,7, FALSE)</f>
        <v>0</v>
      </c>
      <c r="J72" s="261">
        <f>VLOOKUP(J6,'Feed parameters'!$A$2:$M$114,7, FALSE)</f>
        <v>0</v>
      </c>
      <c r="K72" s="261">
        <f>VLOOKUP(K6,'Feed parameters'!$A$2:$M$114,7, FALSE)</f>
        <v>0</v>
      </c>
      <c r="L72" s="369">
        <f>IFERROR(SUMPRODUCT(E70:K70,E72:K72)/ SUM(E70:K70),0)</f>
        <v>0</v>
      </c>
      <c r="M72" s="376" t="s">
        <v>812</v>
      </c>
      <c r="N72" s="261">
        <f t="shared" ref="N72:T74" si="63">N65</f>
        <v>0.79859999999999998</v>
      </c>
      <c r="O72" s="261">
        <f t="shared" si="63"/>
        <v>0.43229999999999996</v>
      </c>
      <c r="P72" s="261">
        <f t="shared" si="63"/>
        <v>0.45539999999999997</v>
      </c>
      <c r="Q72" s="261">
        <f t="shared" si="63"/>
        <v>0</v>
      </c>
      <c r="R72" s="261">
        <f t="shared" si="63"/>
        <v>0</v>
      </c>
      <c r="S72" s="261">
        <f t="shared" si="63"/>
        <v>0</v>
      </c>
      <c r="T72" s="261">
        <f t="shared" si="63"/>
        <v>0</v>
      </c>
      <c r="U72" s="375">
        <f>IFERROR(SUMPRODUCT(N70:T70,N72:T72)/ SUM(N70:T70),0)</f>
        <v>0</v>
      </c>
      <c r="V72" s="376" t="s">
        <v>812</v>
      </c>
      <c r="W72" s="261">
        <f t="shared" ref="W72:AC74" si="64">W65</f>
        <v>0.79859999999999998</v>
      </c>
      <c r="X72" s="261">
        <f t="shared" si="64"/>
        <v>0.43229999999999996</v>
      </c>
      <c r="Y72" s="261">
        <f t="shared" si="64"/>
        <v>0.45539999999999997</v>
      </c>
      <c r="Z72" s="261">
        <f t="shared" si="64"/>
        <v>0</v>
      </c>
      <c r="AA72" s="261">
        <f t="shared" si="64"/>
        <v>0</v>
      </c>
      <c r="AB72" s="261">
        <f t="shared" si="64"/>
        <v>0</v>
      </c>
      <c r="AC72" s="261">
        <f t="shared" si="64"/>
        <v>0</v>
      </c>
      <c r="AD72" s="375">
        <f>IFERROR(SUMPRODUCT(W70:AC70,W72:AC72)/ SUM(W70:AC70),0)</f>
        <v>0</v>
      </c>
      <c r="AE72" s="564">
        <f>L72*$G$3+U72*$P$3</f>
        <v>0</v>
      </c>
    </row>
    <row r="73" spans="2:32" s="145" customFormat="1">
      <c r="B73" s="501"/>
      <c r="C73" s="519"/>
      <c r="D73" s="497" t="s">
        <v>902</v>
      </c>
      <c r="E73" s="366">
        <f>VLOOKUP(E6,'Feed parameters'!$A$2:$M$114,4, FALSE)</f>
        <v>10.89</v>
      </c>
      <c r="F73" s="261">
        <f>VLOOKUP(F6,'Feed parameters'!$A$2:$M$114,4, FALSE)</f>
        <v>1.9027750000000001</v>
      </c>
      <c r="G73" s="261">
        <f>VLOOKUP(G6,'Feed parameters'!$A$2:$M$114,4, FALSE)</f>
        <v>6.0030000000000001</v>
      </c>
      <c r="H73" s="261">
        <f>VLOOKUP(H6,'Feed parameters'!$A$2:$M$114,4, FALSE)</f>
        <v>0</v>
      </c>
      <c r="I73" s="261">
        <f>VLOOKUP(I6,'Feed parameters'!$A$2:$M$114,4, FALSE)</f>
        <v>0</v>
      </c>
      <c r="J73" s="261">
        <f>VLOOKUP(J6,'Feed parameters'!$A$2:$M$114,4, FALSE)</f>
        <v>0</v>
      </c>
      <c r="K73" s="261">
        <f>VLOOKUP(K6,'Feed parameters'!$A$2:$M$114,4, FALSE)</f>
        <v>0</v>
      </c>
      <c r="L73" s="367">
        <f>IFERROR(SUMPRODUCT(E70:K70,E73:K73)/ SUM(E70:K70),0)</f>
        <v>0</v>
      </c>
      <c r="M73" s="376" t="s">
        <v>902</v>
      </c>
      <c r="N73" s="261">
        <f t="shared" si="63"/>
        <v>10.89</v>
      </c>
      <c r="O73" s="261">
        <f t="shared" si="63"/>
        <v>1.9027750000000001</v>
      </c>
      <c r="P73" s="261">
        <f t="shared" si="63"/>
        <v>6.0030000000000001</v>
      </c>
      <c r="Q73" s="261">
        <f t="shared" si="63"/>
        <v>0</v>
      </c>
      <c r="R73" s="261">
        <f t="shared" si="63"/>
        <v>0</v>
      </c>
      <c r="S73" s="261">
        <f t="shared" si="63"/>
        <v>0</v>
      </c>
      <c r="T73" s="261">
        <f t="shared" si="63"/>
        <v>0</v>
      </c>
      <c r="U73" s="374">
        <f>IFERROR(SUMPRODUCT(N70:T70,N73:T73)/ SUM(N70:T70),0)</f>
        <v>0</v>
      </c>
      <c r="V73" s="376" t="s">
        <v>902</v>
      </c>
      <c r="W73" s="261">
        <f t="shared" si="64"/>
        <v>10.89</v>
      </c>
      <c r="X73" s="261">
        <f t="shared" si="64"/>
        <v>1.9027750000000001</v>
      </c>
      <c r="Y73" s="261">
        <f t="shared" si="64"/>
        <v>6.0030000000000001</v>
      </c>
      <c r="Z73" s="261">
        <f t="shared" si="64"/>
        <v>0</v>
      </c>
      <c r="AA73" s="261">
        <f t="shared" si="64"/>
        <v>0</v>
      </c>
      <c r="AB73" s="261">
        <f t="shared" si="64"/>
        <v>0</v>
      </c>
      <c r="AC73" s="261">
        <f t="shared" si="64"/>
        <v>0</v>
      </c>
      <c r="AD73" s="374">
        <f>IFERROR(SUMPRODUCT(W70:AC70,W73:AC73)/ SUM(W70:AC70),0)</f>
        <v>0</v>
      </c>
      <c r="AE73" s="564"/>
    </row>
    <row r="74" spans="2:32" s="145" customFormat="1">
      <c r="B74" s="496"/>
      <c r="C74" s="515"/>
      <c r="D74" s="497" t="s">
        <v>1147</v>
      </c>
      <c r="E74" s="366">
        <f>VLOOKUP(E6,'Feed parameters'!$A$2:$M$114,2, FALSE)</f>
        <v>90</v>
      </c>
      <c r="F74" s="261">
        <f>VLOOKUP(F6,'Feed parameters'!$A$2:$M$114,2, FALSE)</f>
        <v>29.05</v>
      </c>
      <c r="G74" s="261">
        <f>VLOOKUP(G6,'Feed parameters'!$A$2:$M$114,2, FALSE)</f>
        <v>87</v>
      </c>
      <c r="H74" s="261">
        <f>VLOOKUP(H6,'Feed parameters'!$A$2:$M$114,2, FALSE)</f>
        <v>0</v>
      </c>
      <c r="I74" s="261">
        <f>VLOOKUP(I6,'Feed parameters'!$A$2:$M$114,2, FALSE)</f>
        <v>0</v>
      </c>
      <c r="J74" s="261">
        <f>VLOOKUP(J6,'Feed parameters'!$A$2:$M$114,2, FALSE)</f>
        <v>0</v>
      </c>
      <c r="K74" s="261">
        <f>VLOOKUP(K6,'Feed parameters'!$A$2:$M$114,2, FALSE)</f>
        <v>0</v>
      </c>
      <c r="L74" s="367">
        <f>IFERROR(SUMPRODUCT(E70:K70,E74:K74)/ SUM(E70:K70),0)</f>
        <v>0</v>
      </c>
      <c r="M74" s="540" t="s">
        <v>1147</v>
      </c>
      <c r="N74" s="261">
        <f t="shared" si="63"/>
        <v>90</v>
      </c>
      <c r="O74" s="261">
        <f t="shared" si="63"/>
        <v>29.05</v>
      </c>
      <c r="P74" s="261">
        <f t="shared" si="63"/>
        <v>87</v>
      </c>
      <c r="Q74" s="261">
        <f t="shared" si="63"/>
        <v>0</v>
      </c>
      <c r="R74" s="261">
        <f t="shared" si="63"/>
        <v>0</v>
      </c>
      <c r="S74" s="261">
        <f t="shared" si="63"/>
        <v>0</v>
      </c>
      <c r="T74" s="261">
        <f t="shared" si="63"/>
        <v>0</v>
      </c>
      <c r="U74" s="374">
        <f>IFERROR(SUMPRODUCT(N70:T70,N74:T74)/ SUM(N70:T70),0)</f>
        <v>0</v>
      </c>
      <c r="V74" s="540" t="s">
        <v>1147</v>
      </c>
      <c r="W74" s="261">
        <f t="shared" si="64"/>
        <v>90</v>
      </c>
      <c r="X74" s="261">
        <f t="shared" si="64"/>
        <v>29.05</v>
      </c>
      <c r="Y74" s="261">
        <f t="shared" si="64"/>
        <v>87</v>
      </c>
      <c r="Z74" s="261">
        <f t="shared" si="64"/>
        <v>0</v>
      </c>
      <c r="AA74" s="261">
        <f t="shared" si="64"/>
        <v>0</v>
      </c>
      <c r="AB74" s="261">
        <f t="shared" si="64"/>
        <v>0</v>
      </c>
      <c r="AC74" s="261">
        <f t="shared" si="64"/>
        <v>0</v>
      </c>
      <c r="AD74" s="374">
        <f>IFERROR(SUMPRODUCT(W70:AC70,W74:AC74)/ SUM(W70:AC70),0)</f>
        <v>0</v>
      </c>
      <c r="AE74" s="564">
        <f>L74*$G$3+U74*$P$3</f>
        <v>0</v>
      </c>
    </row>
    <row r="75" spans="2:32" s="145" customFormat="1">
      <c r="B75" s="496"/>
      <c r="C75" s="515"/>
      <c r="D75" s="497" t="s">
        <v>1165</v>
      </c>
      <c r="E75" s="366">
        <f>IFERROR((E70*E74)/SUMPRODUCT($E70:$K70,$E74:$K74), 0)</f>
        <v>0</v>
      </c>
      <c r="F75" s="261">
        <f t="shared" ref="F75:K75" si="65">IFERROR((F70*F74)/SUMPRODUCT($E70:$K70,$E74:$K74), 0)</f>
        <v>0</v>
      </c>
      <c r="G75" s="261">
        <f t="shared" si="65"/>
        <v>0</v>
      </c>
      <c r="H75" s="261">
        <f t="shared" si="65"/>
        <v>0</v>
      </c>
      <c r="I75" s="261">
        <f t="shared" si="65"/>
        <v>0</v>
      </c>
      <c r="J75" s="261">
        <f t="shared" si="65"/>
        <v>0</v>
      </c>
      <c r="K75" s="261">
        <f t="shared" si="65"/>
        <v>0</v>
      </c>
      <c r="L75" s="367"/>
      <c r="M75" s="540" t="s">
        <v>1165</v>
      </c>
      <c r="N75" s="261">
        <f t="shared" ref="N75:T75" si="66">IFERROR((N70*N74)/SUMPRODUCT($N70:$T70,$N74:$T74),0)</f>
        <v>0</v>
      </c>
      <c r="O75" s="261">
        <f t="shared" si="66"/>
        <v>0</v>
      </c>
      <c r="P75" s="261">
        <f t="shared" si="66"/>
        <v>0</v>
      </c>
      <c r="Q75" s="261">
        <f t="shared" si="66"/>
        <v>0</v>
      </c>
      <c r="R75" s="261">
        <f t="shared" si="66"/>
        <v>0</v>
      </c>
      <c r="S75" s="261">
        <f t="shared" si="66"/>
        <v>0</v>
      </c>
      <c r="T75" s="261">
        <f t="shared" si="66"/>
        <v>0</v>
      </c>
      <c r="U75" s="374"/>
      <c r="V75" s="540" t="s">
        <v>1165</v>
      </c>
      <c r="W75" s="261">
        <f>IFERROR((W70*W74)/SUMPRODUCT($W70:$AC70,$W74:$AC74), 0)</f>
        <v>0</v>
      </c>
      <c r="X75" s="261">
        <f t="shared" ref="X75:AC75" si="67">IFERROR((X70*X74)/SUMPRODUCT($W70:$AC70,$W74:$AC74), 0)</f>
        <v>0</v>
      </c>
      <c r="Y75" s="261">
        <f t="shared" si="67"/>
        <v>0</v>
      </c>
      <c r="Z75" s="261">
        <f t="shared" si="67"/>
        <v>0</v>
      </c>
      <c r="AA75" s="261">
        <f t="shared" si="67"/>
        <v>0</v>
      </c>
      <c r="AB75" s="261">
        <f t="shared" si="67"/>
        <v>0</v>
      </c>
      <c r="AC75" s="261">
        <f t="shared" si="67"/>
        <v>0</v>
      </c>
      <c r="AD75" s="374"/>
      <c r="AE75" s="564"/>
    </row>
    <row r="76" spans="2:32" s="145" customFormat="1">
      <c r="B76" s="496"/>
      <c r="C76" s="515"/>
      <c r="D76" s="497"/>
      <c r="E76" s="366"/>
      <c r="F76" s="261"/>
      <c r="G76" s="261"/>
      <c r="H76" s="261"/>
      <c r="I76" s="261"/>
      <c r="J76" s="261"/>
      <c r="K76" s="261"/>
      <c r="L76" s="367"/>
      <c r="M76" s="540"/>
      <c r="N76" s="261"/>
      <c r="O76" s="261"/>
      <c r="P76" s="261"/>
      <c r="Q76" s="261"/>
      <c r="R76" s="261"/>
      <c r="S76" s="261"/>
      <c r="T76" s="261"/>
      <c r="U76" s="374"/>
      <c r="V76" s="540"/>
      <c r="W76" s="261"/>
      <c r="X76" s="261"/>
      <c r="Y76" s="261"/>
      <c r="Z76" s="261"/>
      <c r="AA76" s="261"/>
      <c r="AB76" s="261"/>
      <c r="AC76" s="261"/>
      <c r="AD76" s="374"/>
      <c r="AE76" s="564"/>
    </row>
    <row r="77" spans="2:32" s="145" customFormat="1">
      <c r="B77" s="502">
        <f>INPUTS!C26</f>
        <v>0</v>
      </c>
      <c r="C77" s="520"/>
      <c r="D77" s="495" t="s">
        <v>1164</v>
      </c>
      <c r="E77" s="364">
        <f>INPUTS!M56</f>
        <v>0</v>
      </c>
      <c r="F77" s="261">
        <f>INPUTS!M57</f>
        <v>0</v>
      </c>
      <c r="G77" s="261">
        <f>INPUTS!M58</f>
        <v>0</v>
      </c>
      <c r="H77" s="261">
        <f>INPUTS!M59</f>
        <v>0</v>
      </c>
      <c r="I77" s="261">
        <f>INPUTS!M60</f>
        <v>0</v>
      </c>
      <c r="J77" s="261">
        <f>INPUTS!M61</f>
        <v>0</v>
      </c>
      <c r="K77" s="261">
        <f>INPUTS!M62</f>
        <v>0</v>
      </c>
      <c r="L77" s="367"/>
      <c r="M77" s="556" t="s">
        <v>1164</v>
      </c>
      <c r="N77" s="261">
        <f>INPUTS!M67</f>
        <v>0</v>
      </c>
      <c r="O77" s="261">
        <f>INPUTS!M68</f>
        <v>0</v>
      </c>
      <c r="P77" s="261">
        <f>INPUTS!M69</f>
        <v>0</v>
      </c>
      <c r="Q77" s="261">
        <f>INPUTS!M70</f>
        <v>0</v>
      </c>
      <c r="R77" s="261">
        <f>INPUTS!M71</f>
        <v>0</v>
      </c>
      <c r="S77" s="261">
        <f>INPUTS!M72</f>
        <v>0</v>
      </c>
      <c r="T77" s="261">
        <f>INPUTS!M73</f>
        <v>0</v>
      </c>
      <c r="U77" s="374"/>
      <c r="V77" s="556" t="s">
        <v>1164</v>
      </c>
      <c r="W77" s="261">
        <f>INPUTS!M78</f>
        <v>0</v>
      </c>
      <c r="X77" s="261">
        <f>INPUTS!M79</f>
        <v>0</v>
      </c>
      <c r="Y77" s="261">
        <f>INPUTS!M80</f>
        <v>0</v>
      </c>
      <c r="Z77" s="261">
        <f>INPUTS!M81</f>
        <v>0</v>
      </c>
      <c r="AA77" s="261">
        <f>INPUTS!M82</f>
        <v>0</v>
      </c>
      <c r="AB77" s="261">
        <f>INPUTS!M83</f>
        <v>0</v>
      </c>
      <c r="AC77" s="261">
        <f>INPUTS!M84</f>
        <v>0</v>
      </c>
      <c r="AD77" s="374"/>
      <c r="AE77" s="564"/>
    </row>
    <row r="78" spans="2:32" s="145" customFormat="1">
      <c r="B78" s="499"/>
      <c r="C78" s="517"/>
      <c r="D78" s="497" t="s">
        <v>811</v>
      </c>
      <c r="E78" s="368">
        <f>VLOOKUP(E6,'Feed parameters'!$A$2:$M$114,6, FALSE)</f>
        <v>14.4</v>
      </c>
      <c r="F78" s="261">
        <f>VLOOKUP(F6,'Feed parameters'!$A$2:$M$114,6, FALSE)</f>
        <v>2.17875</v>
      </c>
      <c r="G78" s="261">
        <f>VLOOKUP(G6,'Feed parameters'!$A$2:$M$114,6, FALSE)</f>
        <v>3.3930000000000002</v>
      </c>
      <c r="H78" s="261">
        <f>VLOOKUP(H6,'Feed parameters'!$A$2:$M$114,6, FALSE)</f>
        <v>0</v>
      </c>
      <c r="I78" s="261">
        <f>VLOOKUP(I6,'Feed parameters'!$A$2:$M$114,6, FALSE)</f>
        <v>0</v>
      </c>
      <c r="J78" s="261">
        <f>VLOOKUP(J6,'Feed parameters'!$A$2:$M$114,6, FALSE)</f>
        <v>0</v>
      </c>
      <c r="K78" s="261">
        <f>VLOOKUP(K6,'Feed parameters'!$A$2:$M$114,6, FALSE)</f>
        <v>0</v>
      </c>
      <c r="L78" s="369">
        <f>IFERROR(SUMPRODUCT(E77:K77,E78:K78)/ SUM(E77:K77),0)</f>
        <v>0</v>
      </c>
      <c r="M78" s="376" t="s">
        <v>811</v>
      </c>
      <c r="N78" s="261">
        <f>N71</f>
        <v>14.4</v>
      </c>
      <c r="O78" s="261">
        <f t="shared" ref="O78:T78" si="68">O71</f>
        <v>2.17875</v>
      </c>
      <c r="P78" s="261">
        <f t="shared" si="68"/>
        <v>3.3930000000000002</v>
      </c>
      <c r="Q78" s="261">
        <f t="shared" si="68"/>
        <v>0</v>
      </c>
      <c r="R78" s="261">
        <f t="shared" si="68"/>
        <v>0</v>
      </c>
      <c r="S78" s="261">
        <f t="shared" si="68"/>
        <v>0</v>
      </c>
      <c r="T78" s="261">
        <f t="shared" si="68"/>
        <v>0</v>
      </c>
      <c r="U78" s="375">
        <f>IFERROR(SUMPRODUCT(N77:T77,N78:T78)/ SUM(N77:T77),0)</f>
        <v>0</v>
      </c>
      <c r="V78" s="376" t="s">
        <v>811</v>
      </c>
      <c r="W78" s="261">
        <f>W71</f>
        <v>14.4</v>
      </c>
      <c r="X78" s="261">
        <f t="shared" ref="X78:AC78" si="69">X71</f>
        <v>2.17875</v>
      </c>
      <c r="Y78" s="261">
        <f t="shared" si="69"/>
        <v>3.3930000000000002</v>
      </c>
      <c r="Z78" s="261">
        <f t="shared" si="69"/>
        <v>0</v>
      </c>
      <c r="AA78" s="261">
        <f t="shared" si="69"/>
        <v>0</v>
      </c>
      <c r="AB78" s="261">
        <f t="shared" si="69"/>
        <v>0</v>
      </c>
      <c r="AC78" s="261">
        <f t="shared" si="69"/>
        <v>0</v>
      </c>
      <c r="AD78" s="375">
        <f>IFERROR(SUMPRODUCT(W77:AC77,W78:AC78)/ SUM(W77:AC77),0)</f>
        <v>0</v>
      </c>
      <c r="AE78" s="564">
        <f>L78*$G$3+U78*$P$3</f>
        <v>0</v>
      </c>
      <c r="AF78" s="478">
        <f>IFERROR(L78*$G$3/(L81*0.01),0)+IFERROR(U78*$P$3/(U81*0.01),0)+IFERROR(AD78*$Y$3/(AD81*0.01),0)</f>
        <v>0</v>
      </c>
    </row>
    <row r="79" spans="2:32" s="145" customFormat="1">
      <c r="B79" s="503"/>
      <c r="C79" s="521"/>
      <c r="D79" s="497" t="s">
        <v>812</v>
      </c>
      <c r="E79" s="368">
        <f>VLOOKUP(E6,'Feed parameters'!$A$2:$M$114,7, FALSE)</f>
        <v>0.79859999999999998</v>
      </c>
      <c r="F79" s="261">
        <f>VLOOKUP(F6,'Feed parameters'!$A$2:$M$114,7, FALSE)</f>
        <v>0.43229999999999996</v>
      </c>
      <c r="G79" s="261">
        <f>VLOOKUP(G6,'Feed parameters'!$A$2:$M$114,7, FALSE)</f>
        <v>0.45539999999999997</v>
      </c>
      <c r="H79" s="261">
        <f>VLOOKUP(H6,'Feed parameters'!$A$2:$M$114,7, FALSE)</f>
        <v>0</v>
      </c>
      <c r="I79" s="261">
        <f>VLOOKUP(I6,'Feed parameters'!$A$2:$M$114,7, FALSE)</f>
        <v>0</v>
      </c>
      <c r="J79" s="261">
        <f>VLOOKUP(J6,'Feed parameters'!$A$2:$M$114,7, FALSE)</f>
        <v>0</v>
      </c>
      <c r="K79" s="261">
        <f>VLOOKUP(K6,'Feed parameters'!$A$2:$M$114,7, FALSE)</f>
        <v>0</v>
      </c>
      <c r="L79" s="369">
        <f>IFERROR(SUMPRODUCT(E77:K77,E79:K79)/ SUM(E77:K77),0)</f>
        <v>0</v>
      </c>
      <c r="M79" s="376" t="s">
        <v>812</v>
      </c>
      <c r="N79" s="261">
        <f t="shared" ref="N79:T81" si="70">N72</f>
        <v>0.79859999999999998</v>
      </c>
      <c r="O79" s="261">
        <f t="shared" si="70"/>
        <v>0.43229999999999996</v>
      </c>
      <c r="P79" s="261">
        <f t="shared" si="70"/>
        <v>0.45539999999999997</v>
      </c>
      <c r="Q79" s="261">
        <f t="shared" si="70"/>
        <v>0</v>
      </c>
      <c r="R79" s="261">
        <f t="shared" si="70"/>
        <v>0</v>
      </c>
      <c r="S79" s="261">
        <f t="shared" si="70"/>
        <v>0</v>
      </c>
      <c r="T79" s="261">
        <f t="shared" si="70"/>
        <v>0</v>
      </c>
      <c r="U79" s="375">
        <f>IFERROR(SUMPRODUCT(N77:T77,N79:T79)/ SUM(N77:T77),0)</f>
        <v>0</v>
      </c>
      <c r="V79" s="376" t="s">
        <v>812</v>
      </c>
      <c r="W79" s="261">
        <f t="shared" ref="W79:AC81" si="71">W72</f>
        <v>0.79859999999999998</v>
      </c>
      <c r="X79" s="261">
        <f t="shared" si="71"/>
        <v>0.43229999999999996</v>
      </c>
      <c r="Y79" s="261">
        <f t="shared" si="71"/>
        <v>0.45539999999999997</v>
      </c>
      <c r="Z79" s="261">
        <f t="shared" si="71"/>
        <v>0</v>
      </c>
      <c r="AA79" s="261">
        <f t="shared" si="71"/>
        <v>0</v>
      </c>
      <c r="AB79" s="261">
        <f t="shared" si="71"/>
        <v>0</v>
      </c>
      <c r="AC79" s="261">
        <f t="shared" si="71"/>
        <v>0</v>
      </c>
      <c r="AD79" s="375">
        <f>IFERROR(SUMPRODUCT(W77:AC77,W79:AC79)/ SUM(W77:AC77),0)</f>
        <v>0</v>
      </c>
      <c r="AE79" s="564">
        <f>L79*$G$3+U79*$P$3</f>
        <v>0</v>
      </c>
    </row>
    <row r="80" spans="2:32" s="145" customFormat="1">
      <c r="B80" s="501"/>
      <c r="C80" s="519"/>
      <c r="D80" s="497" t="s">
        <v>902</v>
      </c>
      <c r="E80" s="366">
        <f>VLOOKUP(E6,'Feed parameters'!$A$2:$M$114,4, FALSE)</f>
        <v>10.89</v>
      </c>
      <c r="F80" s="261">
        <f>VLOOKUP(F6,'Feed parameters'!$A$2:$M$114,4, FALSE)</f>
        <v>1.9027750000000001</v>
      </c>
      <c r="G80" s="261">
        <f>VLOOKUP(G6,'Feed parameters'!$A$2:$M$114,4, FALSE)</f>
        <v>6.0030000000000001</v>
      </c>
      <c r="H80" s="261">
        <f>VLOOKUP(H6,'Feed parameters'!$A$2:$M$114,4, FALSE)</f>
        <v>0</v>
      </c>
      <c r="I80" s="261">
        <f>VLOOKUP(I6,'Feed parameters'!$A$2:$M$114,4, FALSE)</f>
        <v>0</v>
      </c>
      <c r="J80" s="261">
        <f>VLOOKUP(J6,'Feed parameters'!$A$2:$M$114,4, FALSE)</f>
        <v>0</v>
      </c>
      <c r="K80" s="261">
        <f>VLOOKUP(K6,'Feed parameters'!$A$2:$M$114,4, FALSE)</f>
        <v>0</v>
      </c>
      <c r="L80" s="367">
        <f>IFERROR(SUMPRODUCT(E77:K77,E80:K80)/ SUM(E77:K77),0)</f>
        <v>0</v>
      </c>
      <c r="M80" s="376" t="s">
        <v>902</v>
      </c>
      <c r="N80" s="261">
        <f t="shared" si="70"/>
        <v>10.89</v>
      </c>
      <c r="O80" s="261">
        <f t="shared" si="70"/>
        <v>1.9027750000000001</v>
      </c>
      <c r="P80" s="261">
        <f t="shared" si="70"/>
        <v>6.0030000000000001</v>
      </c>
      <c r="Q80" s="261">
        <f t="shared" si="70"/>
        <v>0</v>
      </c>
      <c r="R80" s="261">
        <f t="shared" si="70"/>
        <v>0</v>
      </c>
      <c r="S80" s="261">
        <f t="shared" si="70"/>
        <v>0</v>
      </c>
      <c r="T80" s="261">
        <f t="shared" si="70"/>
        <v>0</v>
      </c>
      <c r="U80" s="374">
        <f>IFERROR(SUMPRODUCT(N77:T77,N80:T80)/ SUM(N77:T77),0)</f>
        <v>0</v>
      </c>
      <c r="V80" s="376" t="s">
        <v>902</v>
      </c>
      <c r="W80" s="261">
        <f t="shared" si="71"/>
        <v>10.89</v>
      </c>
      <c r="X80" s="261">
        <f t="shared" si="71"/>
        <v>1.9027750000000001</v>
      </c>
      <c r="Y80" s="261">
        <f t="shared" si="71"/>
        <v>6.0030000000000001</v>
      </c>
      <c r="Z80" s="261">
        <f t="shared" si="71"/>
        <v>0</v>
      </c>
      <c r="AA80" s="261">
        <f t="shared" si="71"/>
        <v>0</v>
      </c>
      <c r="AB80" s="261">
        <f t="shared" si="71"/>
        <v>0</v>
      </c>
      <c r="AC80" s="261">
        <f t="shared" si="71"/>
        <v>0</v>
      </c>
      <c r="AD80" s="374">
        <f>IFERROR(SUMPRODUCT(W77:AC77,W80:AC80)/ SUM(W77:AC77),0)</f>
        <v>0</v>
      </c>
      <c r="AE80" s="564"/>
    </row>
    <row r="81" spans="2:32" s="145" customFormat="1">
      <c r="B81" s="496"/>
      <c r="C81" s="515"/>
      <c r="D81" s="497" t="s">
        <v>1147</v>
      </c>
      <c r="E81" s="366">
        <f>VLOOKUP(E6,'Feed parameters'!$A$2:$M$114,2, FALSE)</f>
        <v>90</v>
      </c>
      <c r="F81" s="261">
        <f>VLOOKUP(F6,'Feed parameters'!$A$2:$M$114,2, FALSE)</f>
        <v>29.05</v>
      </c>
      <c r="G81" s="261">
        <f>VLOOKUP(G6,'Feed parameters'!$A$2:$M$114,2, FALSE)</f>
        <v>87</v>
      </c>
      <c r="H81" s="261">
        <f>VLOOKUP(H6,'Feed parameters'!$A$2:$M$114,2, FALSE)</f>
        <v>0</v>
      </c>
      <c r="I81" s="261">
        <f>VLOOKUP(I6,'Feed parameters'!$A$2:$M$114,2, FALSE)</f>
        <v>0</v>
      </c>
      <c r="J81" s="261">
        <f>VLOOKUP(J6,'Feed parameters'!$A$2:$M$114,2, FALSE)</f>
        <v>0</v>
      </c>
      <c r="K81" s="261">
        <f>VLOOKUP(K6,'Feed parameters'!$A$2:$M$114,2, FALSE)</f>
        <v>0</v>
      </c>
      <c r="L81" s="367">
        <f>IFERROR(SUMPRODUCT(E77:K77,E81:K81)/ SUM(E77:K77),0)</f>
        <v>0</v>
      </c>
      <c r="M81" s="540" t="s">
        <v>1147</v>
      </c>
      <c r="N81" s="261">
        <f t="shared" si="70"/>
        <v>90</v>
      </c>
      <c r="O81" s="261">
        <f t="shared" si="70"/>
        <v>29.05</v>
      </c>
      <c r="P81" s="261">
        <f t="shared" si="70"/>
        <v>87</v>
      </c>
      <c r="Q81" s="261">
        <f t="shared" si="70"/>
        <v>0</v>
      </c>
      <c r="R81" s="261">
        <f t="shared" si="70"/>
        <v>0</v>
      </c>
      <c r="S81" s="261">
        <f t="shared" si="70"/>
        <v>0</v>
      </c>
      <c r="T81" s="261">
        <f t="shared" si="70"/>
        <v>0</v>
      </c>
      <c r="U81" s="374">
        <f>IFERROR(SUMPRODUCT(N77:T77,N81:T81)/ SUM(N77:T77),0)</f>
        <v>0</v>
      </c>
      <c r="V81" s="540" t="s">
        <v>1147</v>
      </c>
      <c r="W81" s="261">
        <f t="shared" si="71"/>
        <v>90</v>
      </c>
      <c r="X81" s="261">
        <f t="shared" si="71"/>
        <v>29.05</v>
      </c>
      <c r="Y81" s="261">
        <f t="shared" si="71"/>
        <v>87</v>
      </c>
      <c r="Z81" s="261">
        <f t="shared" si="71"/>
        <v>0</v>
      </c>
      <c r="AA81" s="261">
        <f t="shared" si="71"/>
        <v>0</v>
      </c>
      <c r="AB81" s="261">
        <f t="shared" si="71"/>
        <v>0</v>
      </c>
      <c r="AC81" s="261">
        <f t="shared" si="71"/>
        <v>0</v>
      </c>
      <c r="AD81" s="374">
        <f>IFERROR(SUMPRODUCT(W77:AC77,W81:AC81)/ SUM(W77:AC77),0)</f>
        <v>0</v>
      </c>
      <c r="AE81" s="564">
        <f>L81*$G$3+U81*$P$3</f>
        <v>0</v>
      </c>
    </row>
    <row r="82" spans="2:32" s="145" customFormat="1">
      <c r="B82" s="496"/>
      <c r="C82" s="515"/>
      <c r="D82" s="497" t="s">
        <v>1165</v>
      </c>
      <c r="E82" s="366">
        <f>IFERROR((E77*E81)/SUMPRODUCT($E77:$K77,$E81:$K81), 0)</f>
        <v>0</v>
      </c>
      <c r="F82" s="261">
        <f t="shared" ref="F82:K82" si="72">IFERROR((F77*F81)/SUMPRODUCT($E77:$K77,$E81:$K81), 0)</f>
        <v>0</v>
      </c>
      <c r="G82" s="261">
        <f t="shared" si="72"/>
        <v>0</v>
      </c>
      <c r="H82" s="261">
        <f t="shared" si="72"/>
        <v>0</v>
      </c>
      <c r="I82" s="261">
        <f t="shared" si="72"/>
        <v>0</v>
      </c>
      <c r="J82" s="261">
        <f t="shared" si="72"/>
        <v>0</v>
      </c>
      <c r="K82" s="261">
        <f t="shared" si="72"/>
        <v>0</v>
      </c>
      <c r="L82" s="367"/>
      <c r="M82" s="540" t="s">
        <v>1165</v>
      </c>
      <c r="N82" s="261">
        <f t="shared" ref="N82:T82" si="73">IFERROR((N77*N81)/SUMPRODUCT($N77:$T77,$N81:$T81),0)</f>
        <v>0</v>
      </c>
      <c r="O82" s="261">
        <f t="shared" si="73"/>
        <v>0</v>
      </c>
      <c r="P82" s="261">
        <f t="shared" si="73"/>
        <v>0</v>
      </c>
      <c r="Q82" s="261">
        <f t="shared" si="73"/>
        <v>0</v>
      </c>
      <c r="R82" s="261">
        <f t="shared" si="73"/>
        <v>0</v>
      </c>
      <c r="S82" s="261">
        <f t="shared" si="73"/>
        <v>0</v>
      </c>
      <c r="T82" s="261">
        <f t="shared" si="73"/>
        <v>0</v>
      </c>
      <c r="U82" s="374"/>
      <c r="V82" s="540" t="s">
        <v>1165</v>
      </c>
      <c r="W82" s="261">
        <f>IFERROR((W77*W81)/SUMPRODUCT($W77:$AC77,$W81:$AC81), 0)</f>
        <v>0</v>
      </c>
      <c r="X82" s="261">
        <f t="shared" ref="X82:AC82" si="74">IFERROR((X77*X81)/SUMPRODUCT($W77:$AC77,$W81:$AC81), 0)</f>
        <v>0</v>
      </c>
      <c r="Y82" s="261">
        <f t="shared" si="74"/>
        <v>0</v>
      </c>
      <c r="Z82" s="261">
        <f t="shared" si="74"/>
        <v>0</v>
      </c>
      <c r="AA82" s="261">
        <f t="shared" si="74"/>
        <v>0</v>
      </c>
      <c r="AB82" s="261">
        <f t="shared" si="74"/>
        <v>0</v>
      </c>
      <c r="AC82" s="261">
        <f t="shared" si="74"/>
        <v>0</v>
      </c>
      <c r="AD82" s="374"/>
      <c r="AE82" s="564"/>
    </row>
    <row r="83" spans="2:32" s="145" customFormat="1">
      <c r="B83" s="496"/>
      <c r="C83" s="515"/>
      <c r="D83" s="497"/>
      <c r="E83" s="366"/>
      <c r="F83" s="261"/>
      <c r="G83" s="261"/>
      <c r="H83" s="261"/>
      <c r="I83" s="261"/>
      <c r="J83" s="261"/>
      <c r="K83" s="261"/>
      <c r="L83" s="367"/>
      <c r="M83" s="540"/>
      <c r="N83" s="261"/>
      <c r="O83" s="261"/>
      <c r="P83" s="261"/>
      <c r="Q83" s="261"/>
      <c r="R83" s="261"/>
      <c r="S83" s="261"/>
      <c r="T83" s="261"/>
      <c r="U83" s="374"/>
      <c r="V83" s="540"/>
      <c r="W83" s="261"/>
      <c r="X83" s="261"/>
      <c r="Y83" s="261"/>
      <c r="Z83" s="261"/>
      <c r="AA83" s="261"/>
      <c r="AB83" s="261"/>
      <c r="AC83" s="261"/>
      <c r="AD83" s="374"/>
      <c r="AE83" s="564"/>
    </row>
    <row r="84" spans="2:32" s="145" customFormat="1">
      <c r="B84" s="502">
        <f>INPUTS!C26</f>
        <v>0</v>
      </c>
      <c r="C84" s="515"/>
      <c r="D84" s="495" t="s">
        <v>1164</v>
      </c>
      <c r="E84" s="364">
        <f>INPUTS!N56</f>
        <v>0</v>
      </c>
      <c r="F84" s="1093">
        <f>INPUTS!N57</f>
        <v>0</v>
      </c>
      <c r="G84" s="1093">
        <f>INPUTS!N58</f>
        <v>0</v>
      </c>
      <c r="H84" s="1093">
        <f>INPUTS!N59</f>
        <v>0</v>
      </c>
      <c r="I84" s="1093">
        <f>INPUTS!N60</f>
        <v>0</v>
      </c>
      <c r="J84" s="1093">
        <f>INPUTS!N61</f>
        <v>0</v>
      </c>
      <c r="K84" s="1093">
        <f>INPUTS!N62</f>
        <v>0</v>
      </c>
      <c r="L84" s="365"/>
      <c r="M84" s="540" t="s">
        <v>1164</v>
      </c>
      <c r="N84" s="261">
        <f>INPUTS!N67</f>
        <v>0</v>
      </c>
      <c r="O84" s="261">
        <f>INPUTS!N68</f>
        <v>0</v>
      </c>
      <c r="P84" s="261">
        <f>INPUTS!N69</f>
        <v>0</v>
      </c>
      <c r="Q84" s="261">
        <f>INPUTS!N70</f>
        <v>0</v>
      </c>
      <c r="R84" s="261">
        <f>INPUTS!N71</f>
        <v>0</v>
      </c>
      <c r="S84" s="261">
        <f>INPUTS!N72</f>
        <v>0</v>
      </c>
      <c r="T84" s="261">
        <f>INPUTS!N73</f>
        <v>0</v>
      </c>
      <c r="U84" s="374"/>
      <c r="V84" s="540" t="s">
        <v>1164</v>
      </c>
      <c r="W84" s="261">
        <f>INPUTS!N78</f>
        <v>0</v>
      </c>
      <c r="X84" s="261">
        <f>INPUTS!N79</f>
        <v>0</v>
      </c>
      <c r="Y84" s="261">
        <f>INPUTS!N80</f>
        <v>0</v>
      </c>
      <c r="Z84" s="261">
        <f>INPUTS!N81</f>
        <v>0</v>
      </c>
      <c r="AA84" s="261">
        <f>INPUTS!N82</f>
        <v>0</v>
      </c>
      <c r="AB84" s="261">
        <f>INPUTS!N83</f>
        <v>0</v>
      </c>
      <c r="AC84" s="261">
        <f>INPUTS!N84</f>
        <v>0</v>
      </c>
      <c r="AD84" s="374"/>
      <c r="AE84" s="563"/>
      <c r="AF84" s="292"/>
    </row>
    <row r="85" spans="2:32" s="145" customFormat="1">
      <c r="B85" s="496"/>
      <c r="C85" s="515"/>
      <c r="D85" s="497" t="s">
        <v>811</v>
      </c>
      <c r="E85" s="368">
        <f>VLOOKUP(E6,'Feed parameters'!$A$2:$M$114,6, FALSE)</f>
        <v>14.4</v>
      </c>
      <c r="F85" s="261">
        <f>VLOOKUP(F6,'Feed parameters'!$A$2:$M$114,6, FALSE)</f>
        <v>2.17875</v>
      </c>
      <c r="G85" s="261">
        <f>VLOOKUP(G6,'Feed parameters'!$A$2:$M$114,6, FALSE)</f>
        <v>3.3930000000000002</v>
      </c>
      <c r="H85" s="261">
        <f>VLOOKUP(H6,'Feed parameters'!$A$2:$M$114,6, FALSE)</f>
        <v>0</v>
      </c>
      <c r="I85" s="261">
        <f>VLOOKUP(I6,'Feed parameters'!$A$2:$M$114,6, FALSE)</f>
        <v>0</v>
      </c>
      <c r="J85" s="261">
        <f>VLOOKUP(J6,'Feed parameters'!$A$2:$M$114,6, FALSE)</f>
        <v>0</v>
      </c>
      <c r="K85" s="261">
        <f>VLOOKUP(K6,'Feed parameters'!$A$2:$M$114,6, FALSE)</f>
        <v>0</v>
      </c>
      <c r="L85" s="369">
        <f>IFERROR(SUMPRODUCT(E84:K84,E85:K85)/ SUM(E84:K84),0)</f>
        <v>0</v>
      </c>
      <c r="M85" s="540" t="s">
        <v>811</v>
      </c>
      <c r="N85" s="261">
        <f>N78</f>
        <v>14.4</v>
      </c>
      <c r="O85" s="261">
        <f t="shared" ref="O85:T88" si="75">O64</f>
        <v>2.17875</v>
      </c>
      <c r="P85" s="261">
        <f t="shared" si="75"/>
        <v>3.3930000000000002</v>
      </c>
      <c r="Q85" s="261">
        <f t="shared" si="75"/>
        <v>0</v>
      </c>
      <c r="R85" s="261">
        <f t="shared" si="75"/>
        <v>0</v>
      </c>
      <c r="S85" s="261">
        <f t="shared" si="75"/>
        <v>0</v>
      </c>
      <c r="T85" s="261">
        <f t="shared" si="75"/>
        <v>0</v>
      </c>
      <c r="U85" s="374">
        <f>IFERROR(SUMPRODUCT(N84:T84,N85:T85)/ SUM(N84:T84),0)</f>
        <v>0</v>
      </c>
      <c r="V85" s="540" t="s">
        <v>811</v>
      </c>
      <c r="W85" s="261">
        <f>W78</f>
        <v>14.4</v>
      </c>
      <c r="X85" s="261">
        <f t="shared" ref="X85:AC88" si="76">X64</f>
        <v>2.17875</v>
      </c>
      <c r="Y85" s="261">
        <f t="shared" si="76"/>
        <v>3.3930000000000002</v>
      </c>
      <c r="Z85" s="261">
        <f t="shared" si="76"/>
        <v>0</v>
      </c>
      <c r="AA85" s="261">
        <f t="shared" si="76"/>
        <v>0</v>
      </c>
      <c r="AB85" s="261">
        <f t="shared" si="76"/>
        <v>0</v>
      </c>
      <c r="AC85" s="261">
        <f t="shared" si="76"/>
        <v>0</v>
      </c>
      <c r="AD85" s="374">
        <f>IFERROR(SUMPRODUCT(W84:AC84,W85:AC85)/ SUM(W84:AC84),0)</f>
        <v>0</v>
      </c>
      <c r="AE85" s="564">
        <f>L85*$G$3+U85*$P$3</f>
        <v>0</v>
      </c>
      <c r="AF85" s="478">
        <f>IFERROR(L85*$G$3/(L88*0.01),0)+IFERROR(U85*$P$3/(U88*0.01),0)+IFERROR(AD85*$Y$3/(AD88*0.01),0)</f>
        <v>0</v>
      </c>
    </row>
    <row r="86" spans="2:32" s="145" customFormat="1">
      <c r="B86" s="496"/>
      <c r="C86" s="515"/>
      <c r="D86" s="497" t="s">
        <v>812</v>
      </c>
      <c r="E86" s="368">
        <f>VLOOKUP(E6,'Feed parameters'!$A$2:$M$114,7, FALSE)</f>
        <v>0.79859999999999998</v>
      </c>
      <c r="F86" s="261">
        <f>VLOOKUP(F6,'Feed parameters'!$A$2:$M$114,7, FALSE)</f>
        <v>0.43229999999999996</v>
      </c>
      <c r="G86" s="261">
        <f>VLOOKUP(G6,'Feed parameters'!$A$2:$M$114,7, FALSE)</f>
        <v>0.45539999999999997</v>
      </c>
      <c r="H86" s="261">
        <f>VLOOKUP(H6,'Feed parameters'!$A$2:$M$114,7, FALSE)</f>
        <v>0</v>
      </c>
      <c r="I86" s="261">
        <f>VLOOKUP(I6,'Feed parameters'!$A$2:$M$114,7, FALSE)</f>
        <v>0</v>
      </c>
      <c r="J86" s="261">
        <f>VLOOKUP(J6,'Feed parameters'!$A$2:$M$114,7, FALSE)</f>
        <v>0</v>
      </c>
      <c r="K86" s="261">
        <f>VLOOKUP(K6,'Feed parameters'!$A$2:$M$114,7, FALSE)</f>
        <v>0</v>
      </c>
      <c r="L86" s="369">
        <f>IFERROR(SUMPRODUCT(E84:K84,E86:K86)/ SUM(E84:K84),0)</f>
        <v>0</v>
      </c>
      <c r="M86" s="540" t="s">
        <v>812</v>
      </c>
      <c r="N86" s="261">
        <f t="shared" ref="N86:N88" si="77">N79</f>
        <v>0.79859999999999998</v>
      </c>
      <c r="O86" s="261">
        <f t="shared" si="75"/>
        <v>0.43229999999999996</v>
      </c>
      <c r="P86" s="261">
        <f t="shared" si="75"/>
        <v>0.45539999999999997</v>
      </c>
      <c r="Q86" s="261">
        <f t="shared" si="75"/>
        <v>0</v>
      </c>
      <c r="R86" s="261">
        <f t="shared" si="75"/>
        <v>0</v>
      </c>
      <c r="S86" s="261">
        <f t="shared" si="75"/>
        <v>0</v>
      </c>
      <c r="T86" s="261">
        <f t="shared" si="75"/>
        <v>0</v>
      </c>
      <c r="U86" s="374">
        <f>IFERROR(SUMPRODUCT(N84:T84,N86:T86)/ SUM(N84:T84),0)</f>
        <v>0</v>
      </c>
      <c r="V86" s="540" t="s">
        <v>812</v>
      </c>
      <c r="W86" s="261">
        <f t="shared" ref="W86:W88" si="78">W79</f>
        <v>0.79859999999999998</v>
      </c>
      <c r="X86" s="261">
        <f t="shared" si="76"/>
        <v>0.43229999999999996</v>
      </c>
      <c r="Y86" s="261">
        <f t="shared" si="76"/>
        <v>0.45539999999999997</v>
      </c>
      <c r="Z86" s="261">
        <f t="shared" si="76"/>
        <v>0</v>
      </c>
      <c r="AA86" s="261">
        <f t="shared" si="76"/>
        <v>0</v>
      </c>
      <c r="AB86" s="261">
        <f t="shared" si="76"/>
        <v>0</v>
      </c>
      <c r="AC86" s="261">
        <f t="shared" si="76"/>
        <v>0</v>
      </c>
      <c r="AD86" s="374">
        <f>IFERROR(SUMPRODUCT(W84:AC84,W86:AC86)/ SUM(W84:AC84),0)</f>
        <v>0</v>
      </c>
      <c r="AE86" s="564">
        <f>L86*$G$3+U86*$P$3</f>
        <v>0</v>
      </c>
    </row>
    <row r="87" spans="2:32" s="145" customFormat="1">
      <c r="B87" s="496"/>
      <c r="C87" s="515"/>
      <c r="D87" s="497" t="s">
        <v>902</v>
      </c>
      <c r="E87" s="366">
        <f>VLOOKUP(E6,'Feed parameters'!$A$2:$M$114,4, FALSE)</f>
        <v>10.89</v>
      </c>
      <c r="F87" s="261">
        <f>VLOOKUP(F6,'Feed parameters'!$A$2:$M$114,4, FALSE)</f>
        <v>1.9027750000000001</v>
      </c>
      <c r="G87" s="261">
        <f>VLOOKUP(G6,'Feed parameters'!$A$2:$M$114,4, FALSE)</f>
        <v>6.0030000000000001</v>
      </c>
      <c r="H87" s="261">
        <f>VLOOKUP(H6,'Feed parameters'!$A$2:$M$114,4, FALSE)</f>
        <v>0</v>
      </c>
      <c r="I87" s="261">
        <f>VLOOKUP(I6,'Feed parameters'!$A$2:$M$114,4, FALSE)</f>
        <v>0</v>
      </c>
      <c r="J87" s="261">
        <f>VLOOKUP(J6,'Feed parameters'!$A$2:$M$114,4, FALSE)</f>
        <v>0</v>
      </c>
      <c r="K87" s="261">
        <f>VLOOKUP(K6,'Feed parameters'!$A$2:$M$114,4, FALSE)</f>
        <v>0</v>
      </c>
      <c r="L87" s="367">
        <f>IFERROR(SUMPRODUCT(E84:K84,E87:K87)/ SUM(E84:K84),0)</f>
        <v>0</v>
      </c>
      <c r="M87" s="540" t="s">
        <v>902</v>
      </c>
      <c r="N87" s="261">
        <f t="shared" si="77"/>
        <v>10.89</v>
      </c>
      <c r="O87" s="261">
        <f t="shared" si="75"/>
        <v>1.9027750000000001</v>
      </c>
      <c r="P87" s="261">
        <f t="shared" si="75"/>
        <v>6.0030000000000001</v>
      </c>
      <c r="Q87" s="261">
        <f t="shared" si="75"/>
        <v>0</v>
      </c>
      <c r="R87" s="261">
        <f t="shared" si="75"/>
        <v>0</v>
      </c>
      <c r="S87" s="261">
        <f t="shared" si="75"/>
        <v>0</v>
      </c>
      <c r="T87" s="261">
        <f t="shared" si="75"/>
        <v>0</v>
      </c>
      <c r="U87" s="374">
        <f>IFERROR(SUMPRODUCT(N84:T84,N87:T87)/ SUM(N84:T84),0)</f>
        <v>0</v>
      </c>
      <c r="V87" s="540" t="s">
        <v>902</v>
      </c>
      <c r="W87" s="261">
        <f t="shared" si="78"/>
        <v>10.89</v>
      </c>
      <c r="X87" s="261">
        <f t="shared" si="76"/>
        <v>1.9027750000000001</v>
      </c>
      <c r="Y87" s="261">
        <f t="shared" si="76"/>
        <v>6.0030000000000001</v>
      </c>
      <c r="Z87" s="261">
        <f t="shared" si="76"/>
        <v>0</v>
      </c>
      <c r="AA87" s="261">
        <f t="shared" si="76"/>
        <v>0</v>
      </c>
      <c r="AB87" s="261">
        <f t="shared" si="76"/>
        <v>0</v>
      </c>
      <c r="AC87" s="261">
        <f t="shared" si="76"/>
        <v>0</v>
      </c>
      <c r="AD87" s="374">
        <f>IFERROR(SUMPRODUCT(W84:AC84,W87:AC87)/ SUM(W84:AC84),0)</f>
        <v>0</v>
      </c>
      <c r="AE87" s="564"/>
    </row>
    <row r="88" spans="2:32" s="145" customFormat="1">
      <c r="B88" s="496"/>
      <c r="C88" s="515"/>
      <c r="D88" s="497" t="s">
        <v>1147</v>
      </c>
      <c r="E88" s="366">
        <f>VLOOKUP(E6,'Feed parameters'!$A$2:$M$114,2, FALSE)</f>
        <v>90</v>
      </c>
      <c r="F88" s="261">
        <f>VLOOKUP(F6,'Feed parameters'!$A$2:$M$114,2, FALSE)</f>
        <v>29.05</v>
      </c>
      <c r="G88" s="261">
        <f>VLOOKUP(G6,'Feed parameters'!$A$2:$M$114,2, FALSE)</f>
        <v>87</v>
      </c>
      <c r="H88" s="261">
        <f>VLOOKUP(H6,'Feed parameters'!$A$2:$M$114,2, FALSE)</f>
        <v>0</v>
      </c>
      <c r="I88" s="261">
        <f>VLOOKUP(I6,'Feed parameters'!$A$2:$M$114,2, FALSE)</f>
        <v>0</v>
      </c>
      <c r="J88" s="261">
        <f>VLOOKUP(J6,'Feed parameters'!$A$2:$M$114,2, FALSE)</f>
        <v>0</v>
      </c>
      <c r="K88" s="261">
        <f>VLOOKUP(K6,'Feed parameters'!$A$2:$M$114,2, FALSE)</f>
        <v>0</v>
      </c>
      <c r="L88" s="367">
        <f>IFERROR(SUMPRODUCT(E84:K84,E88:K88)/ SUM(E84:K84),0)</f>
        <v>0</v>
      </c>
      <c r="M88" s="540" t="s">
        <v>1147</v>
      </c>
      <c r="N88" s="261">
        <f t="shared" si="77"/>
        <v>90</v>
      </c>
      <c r="O88" s="261">
        <f t="shared" si="75"/>
        <v>29.05</v>
      </c>
      <c r="P88" s="261">
        <f t="shared" si="75"/>
        <v>87</v>
      </c>
      <c r="Q88" s="261">
        <f t="shared" si="75"/>
        <v>0</v>
      </c>
      <c r="R88" s="261">
        <f t="shared" si="75"/>
        <v>0</v>
      </c>
      <c r="S88" s="261">
        <f t="shared" si="75"/>
        <v>0</v>
      </c>
      <c r="T88" s="261">
        <f t="shared" si="75"/>
        <v>0</v>
      </c>
      <c r="U88" s="374">
        <f>IFERROR(SUMPRODUCT(N84:T84,N88:T88)/ SUM(N84:T84),0)</f>
        <v>0</v>
      </c>
      <c r="V88" s="540" t="s">
        <v>1147</v>
      </c>
      <c r="W88" s="261">
        <f t="shared" si="78"/>
        <v>90</v>
      </c>
      <c r="X88" s="261">
        <f t="shared" si="76"/>
        <v>29.05</v>
      </c>
      <c r="Y88" s="261">
        <f t="shared" si="76"/>
        <v>87</v>
      </c>
      <c r="Z88" s="261">
        <f t="shared" si="76"/>
        <v>0</v>
      </c>
      <c r="AA88" s="261">
        <f t="shared" si="76"/>
        <v>0</v>
      </c>
      <c r="AB88" s="261">
        <f t="shared" si="76"/>
        <v>0</v>
      </c>
      <c r="AC88" s="261">
        <f t="shared" si="76"/>
        <v>0</v>
      </c>
      <c r="AD88" s="374">
        <f>IFERROR(SUMPRODUCT(W84:AC84,W88:AC88)/ SUM(W84:AC84),0)</f>
        <v>0</v>
      </c>
      <c r="AE88" s="564">
        <f>L88*$G$3+U88*$P$3</f>
        <v>0</v>
      </c>
    </row>
    <row r="89" spans="2:32" s="145" customFormat="1">
      <c r="B89" s="496"/>
      <c r="C89" s="515"/>
      <c r="D89" s="497" t="s">
        <v>1165</v>
      </c>
      <c r="E89" s="366">
        <f>IFERROR((E84*E88)/SUMPRODUCT($E84:$K84,$E88:$K88), 0)</f>
        <v>0</v>
      </c>
      <c r="F89" s="261">
        <f>IFERROR((F84*F88)/SUMPRODUCT($E84:$K84,$E88:$K88), 0)</f>
        <v>0</v>
      </c>
      <c r="G89" s="261">
        <f t="shared" ref="G89:K89" si="79">IFERROR((G84*G88)/SUMPRODUCT($E84:$K84,$E88:$K88), 0)</f>
        <v>0</v>
      </c>
      <c r="H89" s="261">
        <f t="shared" si="79"/>
        <v>0</v>
      </c>
      <c r="I89" s="261">
        <f t="shared" si="79"/>
        <v>0</v>
      </c>
      <c r="J89" s="261">
        <f t="shared" si="79"/>
        <v>0</v>
      </c>
      <c r="K89" s="261">
        <f t="shared" si="79"/>
        <v>0</v>
      </c>
      <c r="L89" s="367"/>
      <c r="M89" s="540" t="s">
        <v>1165</v>
      </c>
      <c r="N89" s="261">
        <f t="shared" ref="N89:T89" si="80">IFERROR((N84*N88)/SUMPRODUCT($N84:$T84,$N88:$T88),0)</f>
        <v>0</v>
      </c>
      <c r="O89" s="261">
        <f t="shared" si="80"/>
        <v>0</v>
      </c>
      <c r="P89" s="261">
        <f t="shared" si="80"/>
        <v>0</v>
      </c>
      <c r="Q89" s="261">
        <f t="shared" si="80"/>
        <v>0</v>
      </c>
      <c r="R89" s="261">
        <f t="shared" si="80"/>
        <v>0</v>
      </c>
      <c r="S89" s="261">
        <f t="shared" si="80"/>
        <v>0</v>
      </c>
      <c r="T89" s="261">
        <f t="shared" si="80"/>
        <v>0</v>
      </c>
      <c r="U89" s="374"/>
      <c r="V89" s="540" t="s">
        <v>1165</v>
      </c>
      <c r="W89" s="261">
        <f>IFERROR((W84*W88)/SUMPRODUCT($W84:$AC84,$W88:$AC88), 0)</f>
        <v>0</v>
      </c>
      <c r="X89" s="261">
        <f t="shared" ref="X89:AC89" si="81">IFERROR((X84*X88)/SUMPRODUCT($W84:$AC84,$W88:$AC88), 0)</f>
        <v>0</v>
      </c>
      <c r="Y89" s="261">
        <f t="shared" si="81"/>
        <v>0</v>
      </c>
      <c r="Z89" s="261">
        <f t="shared" si="81"/>
        <v>0</v>
      </c>
      <c r="AA89" s="261">
        <f t="shared" si="81"/>
        <v>0</v>
      </c>
      <c r="AB89" s="261">
        <f t="shared" si="81"/>
        <v>0</v>
      </c>
      <c r="AC89" s="261">
        <f t="shared" si="81"/>
        <v>0</v>
      </c>
      <c r="AD89" s="374"/>
      <c r="AE89" s="564"/>
    </row>
    <row r="90" spans="2:32" s="145" customFormat="1">
      <c r="B90" s="496"/>
      <c r="C90" s="515"/>
      <c r="D90" s="497"/>
      <c r="E90" s="366"/>
      <c r="F90" s="261"/>
      <c r="G90" s="261"/>
      <c r="H90" s="261"/>
      <c r="I90" s="261"/>
      <c r="J90" s="261"/>
      <c r="K90" s="261"/>
      <c r="L90" s="367"/>
      <c r="M90" s="540"/>
      <c r="N90" s="261"/>
      <c r="O90" s="261"/>
      <c r="P90" s="261"/>
      <c r="Q90" s="261"/>
      <c r="R90" s="261"/>
      <c r="S90" s="261"/>
      <c r="T90" s="261"/>
      <c r="U90" s="374"/>
      <c r="V90" s="540"/>
      <c r="W90" s="261"/>
      <c r="X90" s="261"/>
      <c r="Y90" s="261"/>
      <c r="Z90" s="261"/>
      <c r="AA90" s="261"/>
      <c r="AB90" s="261"/>
      <c r="AC90" s="261"/>
      <c r="AD90" s="374"/>
      <c r="AE90" s="564"/>
    </row>
    <row r="91" spans="2:32" s="145" customFormat="1" ht="16.5" customHeight="1">
      <c r="B91" s="496">
        <f>INPUTS!C26</f>
        <v>0</v>
      </c>
      <c r="C91" s="515"/>
      <c r="D91" s="497" t="s">
        <v>1164</v>
      </c>
      <c r="E91" s="366">
        <f>INPUTS!O56</f>
        <v>0</v>
      </c>
      <c r="F91" s="261">
        <f>INPUTS!O57</f>
        <v>0</v>
      </c>
      <c r="G91" s="261">
        <f>INPUTS!O58</f>
        <v>0</v>
      </c>
      <c r="H91" s="261">
        <f>INPUTS!O59</f>
        <v>0</v>
      </c>
      <c r="I91" s="261">
        <f>INPUTS!O60</f>
        <v>0</v>
      </c>
      <c r="J91" s="261">
        <f>INPUTS!O61</f>
        <v>0</v>
      </c>
      <c r="K91" s="261">
        <f>INPUTS!O62</f>
        <v>0</v>
      </c>
      <c r="L91" s="367"/>
      <c r="M91" s="540" t="s">
        <v>1164</v>
      </c>
      <c r="N91" s="261">
        <f>INPUTS!O67</f>
        <v>0</v>
      </c>
      <c r="O91" s="261">
        <f>INPUTS!O68</f>
        <v>0</v>
      </c>
      <c r="P91" s="261">
        <f>INPUTS!O69</f>
        <v>0</v>
      </c>
      <c r="Q91" s="261">
        <f>INPUTS!O70</f>
        <v>0</v>
      </c>
      <c r="R91" s="261">
        <f>INPUTS!O71</f>
        <v>0</v>
      </c>
      <c r="S91" s="261">
        <f>INPUTS!O72</f>
        <v>0</v>
      </c>
      <c r="T91" s="261">
        <f>INPUTS!O73</f>
        <v>0</v>
      </c>
      <c r="U91" s="374"/>
      <c r="V91" s="540" t="s">
        <v>1164</v>
      </c>
      <c r="W91" s="261">
        <f>INPUTS!O78</f>
        <v>0</v>
      </c>
      <c r="X91" s="261">
        <f>INPUTS!O79</f>
        <v>0</v>
      </c>
      <c r="Y91" s="261">
        <f>INPUTS!O80</f>
        <v>0</v>
      </c>
      <c r="Z91" s="261">
        <f>INPUTS!O81</f>
        <v>0</v>
      </c>
      <c r="AA91" s="261">
        <f>INPUTS!O82</f>
        <v>0</v>
      </c>
      <c r="AB91" s="261">
        <f>INPUTS!O83</f>
        <v>0</v>
      </c>
      <c r="AC91" s="261">
        <f>INPUTS!O84</f>
        <v>0</v>
      </c>
      <c r="AD91" s="374"/>
      <c r="AE91" s="564"/>
    </row>
    <row r="92" spans="2:32" s="145" customFormat="1">
      <c r="B92" s="496"/>
      <c r="C92" s="515"/>
      <c r="D92" s="497" t="s">
        <v>811</v>
      </c>
      <c r="E92" s="366">
        <f>VLOOKUP(E6,'Feed parameters'!$A$2:$M$114,6, FALSE)</f>
        <v>14.4</v>
      </c>
      <c r="F92" s="261">
        <f>VLOOKUP(F6,'Feed parameters'!$A$2:$M$114,6, FALSE)</f>
        <v>2.17875</v>
      </c>
      <c r="G92" s="261">
        <f>VLOOKUP(G6,'Feed parameters'!$A$2:$M$114,6, FALSE)</f>
        <v>3.3930000000000002</v>
      </c>
      <c r="H92" s="261">
        <f>VLOOKUP(H6,'Feed parameters'!$A$2:$M$114,6, FALSE)</f>
        <v>0</v>
      </c>
      <c r="I92" s="261">
        <f>VLOOKUP(I6,'Feed parameters'!$A$2:$M$114,6, FALSE)</f>
        <v>0</v>
      </c>
      <c r="J92" s="261">
        <f>VLOOKUP(J6,'Feed parameters'!$A$2:$M$114,6, FALSE)</f>
        <v>0</v>
      </c>
      <c r="K92" s="261">
        <f>VLOOKUP(K6,'Feed parameters'!$A$2:$M$114,6, FALSE)</f>
        <v>0</v>
      </c>
      <c r="L92" s="367">
        <f>IFERROR(SUMPRODUCT(E91:K91,E92:K92)/ SUM(E91:K91),0)</f>
        <v>0</v>
      </c>
      <c r="M92" s="540" t="s">
        <v>811</v>
      </c>
      <c r="N92" s="261">
        <f>N85</f>
        <v>14.4</v>
      </c>
      <c r="O92" s="261">
        <f t="shared" ref="O92:T95" si="82">O85</f>
        <v>2.17875</v>
      </c>
      <c r="P92" s="261">
        <f t="shared" si="82"/>
        <v>3.3930000000000002</v>
      </c>
      <c r="Q92" s="261">
        <f t="shared" si="82"/>
        <v>0</v>
      </c>
      <c r="R92" s="261">
        <f t="shared" si="82"/>
        <v>0</v>
      </c>
      <c r="S92" s="261">
        <f t="shared" si="82"/>
        <v>0</v>
      </c>
      <c r="T92" s="261">
        <f t="shared" si="82"/>
        <v>0</v>
      </c>
      <c r="U92" s="374">
        <f>IFERROR(SUMPRODUCT(N91:T91,N92:T92)/ SUM(N91:T91),0)</f>
        <v>0</v>
      </c>
      <c r="V92" s="540" t="s">
        <v>811</v>
      </c>
      <c r="W92" s="261">
        <f>W85</f>
        <v>14.4</v>
      </c>
      <c r="X92" s="261">
        <f t="shared" ref="X92:AC92" si="83">X85</f>
        <v>2.17875</v>
      </c>
      <c r="Y92" s="261">
        <f t="shared" si="83"/>
        <v>3.3930000000000002</v>
      </c>
      <c r="Z92" s="261">
        <f t="shared" si="83"/>
        <v>0</v>
      </c>
      <c r="AA92" s="261">
        <f t="shared" si="83"/>
        <v>0</v>
      </c>
      <c r="AB92" s="261">
        <f t="shared" si="83"/>
        <v>0</v>
      </c>
      <c r="AC92" s="261">
        <f t="shared" si="83"/>
        <v>0</v>
      </c>
      <c r="AD92" s="374">
        <f>IFERROR(SUMPRODUCT(W91:AC91,W92:AC92)/ SUM(W91:AC91),0)</f>
        <v>0</v>
      </c>
      <c r="AE92" s="564">
        <f>L92*$G$3+U92*$P$3</f>
        <v>0</v>
      </c>
      <c r="AF92" s="478">
        <f>IFERROR(L92*$G$3/(L95*0.01),0)+IFERROR(U92*$P$3/(U95*0.01),0)+IFERROR(AD92*$Y$3/(AD95*0.01),0)</f>
        <v>0</v>
      </c>
    </row>
    <row r="93" spans="2:32" s="145" customFormat="1">
      <c r="B93" s="496"/>
      <c r="C93" s="515"/>
      <c r="D93" s="497" t="s">
        <v>812</v>
      </c>
      <c r="E93" s="366">
        <f>VLOOKUP(E6,'Feed parameters'!$A$2:$M$114,7, FALSE)</f>
        <v>0.79859999999999998</v>
      </c>
      <c r="F93" s="261">
        <f>VLOOKUP(F6,'Feed parameters'!$A$2:$M$114,7, FALSE)</f>
        <v>0.43229999999999996</v>
      </c>
      <c r="G93" s="261">
        <f>VLOOKUP(G6,'Feed parameters'!$A$2:$M$114,7, FALSE)</f>
        <v>0.45539999999999997</v>
      </c>
      <c r="H93" s="261">
        <f>VLOOKUP(H6,'Feed parameters'!$A$2:$M$114,7, FALSE)</f>
        <v>0</v>
      </c>
      <c r="I93" s="261">
        <f>VLOOKUP(I6,'Feed parameters'!$A$2:$M$114,7, FALSE)</f>
        <v>0</v>
      </c>
      <c r="J93" s="261">
        <f>VLOOKUP(J6,'Feed parameters'!$A$2:$M$114,7, FALSE)</f>
        <v>0</v>
      </c>
      <c r="K93" s="261">
        <f>VLOOKUP(K6,'Feed parameters'!$A$2:$M$114,7, FALSE)</f>
        <v>0</v>
      </c>
      <c r="L93" s="367">
        <f>IFERROR(SUMPRODUCT(E91:K91,E93:K93)/ SUM(E91:K91),0)</f>
        <v>0</v>
      </c>
      <c r="M93" s="540" t="s">
        <v>812</v>
      </c>
      <c r="N93" s="261">
        <f t="shared" ref="N93:T96" si="84">N86</f>
        <v>0.79859999999999998</v>
      </c>
      <c r="O93" s="261">
        <f t="shared" si="82"/>
        <v>0.43229999999999996</v>
      </c>
      <c r="P93" s="261">
        <f t="shared" si="82"/>
        <v>0.45539999999999997</v>
      </c>
      <c r="Q93" s="261">
        <f t="shared" si="82"/>
        <v>0</v>
      </c>
      <c r="R93" s="261">
        <f t="shared" si="82"/>
        <v>0</v>
      </c>
      <c r="S93" s="261">
        <f t="shared" si="82"/>
        <v>0</v>
      </c>
      <c r="T93" s="261">
        <f t="shared" si="82"/>
        <v>0</v>
      </c>
      <c r="U93" s="374">
        <f>IFERROR(SUMPRODUCT(N91:T91,N93:T93)/ SUM(N91:T91),0)</f>
        <v>0</v>
      </c>
      <c r="V93" s="540" t="s">
        <v>812</v>
      </c>
      <c r="W93" s="261">
        <f t="shared" ref="W93:AC95" si="85">W86</f>
        <v>0.79859999999999998</v>
      </c>
      <c r="X93" s="261">
        <f t="shared" si="85"/>
        <v>0.43229999999999996</v>
      </c>
      <c r="Y93" s="261">
        <f t="shared" si="85"/>
        <v>0.45539999999999997</v>
      </c>
      <c r="Z93" s="261">
        <f t="shared" si="85"/>
        <v>0</v>
      </c>
      <c r="AA93" s="261">
        <f t="shared" si="85"/>
        <v>0</v>
      </c>
      <c r="AB93" s="261">
        <f t="shared" si="85"/>
        <v>0</v>
      </c>
      <c r="AC93" s="261">
        <f t="shared" si="85"/>
        <v>0</v>
      </c>
      <c r="AD93" s="374">
        <f>IFERROR(SUMPRODUCT(W91:AC91,W93:AC93)/ SUM(W91:AC91),0)</f>
        <v>0</v>
      </c>
      <c r="AE93" s="564">
        <f>L93*$G$3+U93*$P$3</f>
        <v>0</v>
      </c>
    </row>
    <row r="94" spans="2:32" s="145" customFormat="1">
      <c r="B94" s="496"/>
      <c r="C94" s="515"/>
      <c r="D94" s="497" t="s">
        <v>902</v>
      </c>
      <c r="E94" s="366">
        <f>VLOOKUP(E6,'Feed parameters'!$A$2:$M$114,4, FALSE)</f>
        <v>10.89</v>
      </c>
      <c r="F94" s="261">
        <f>VLOOKUP(F6,'Feed parameters'!$A$2:$M$114,4, FALSE)</f>
        <v>1.9027750000000001</v>
      </c>
      <c r="G94" s="261">
        <f>VLOOKUP(G6,'Feed parameters'!$A$2:$M$114,4, FALSE)</f>
        <v>6.0030000000000001</v>
      </c>
      <c r="H94" s="261">
        <f>VLOOKUP(H6,'Feed parameters'!$A$2:$M$114,4, FALSE)</f>
        <v>0</v>
      </c>
      <c r="I94" s="261">
        <f>VLOOKUP(I6,'Feed parameters'!$A$2:$M$114,4, FALSE)</f>
        <v>0</v>
      </c>
      <c r="J94" s="261">
        <f>VLOOKUP(J6,'Feed parameters'!$A$2:$M$114,4, FALSE)</f>
        <v>0</v>
      </c>
      <c r="K94" s="261">
        <f>VLOOKUP(K6,'Feed parameters'!$A$2:$M$114,4, FALSE)</f>
        <v>0</v>
      </c>
      <c r="L94" s="367">
        <f>IFERROR(SUMPRODUCT(E91:K91,E94:K94)/ SUM(E91:K91),0)</f>
        <v>0</v>
      </c>
      <c r="M94" s="540" t="s">
        <v>902</v>
      </c>
      <c r="N94" s="261">
        <f t="shared" si="84"/>
        <v>10.89</v>
      </c>
      <c r="O94" s="261">
        <f t="shared" si="82"/>
        <v>1.9027750000000001</v>
      </c>
      <c r="P94" s="261">
        <f t="shared" si="82"/>
        <v>6.0030000000000001</v>
      </c>
      <c r="Q94" s="261">
        <f t="shared" si="82"/>
        <v>0</v>
      </c>
      <c r="R94" s="261">
        <f t="shared" si="82"/>
        <v>0</v>
      </c>
      <c r="S94" s="261">
        <f t="shared" si="82"/>
        <v>0</v>
      </c>
      <c r="T94" s="261">
        <f t="shared" si="82"/>
        <v>0</v>
      </c>
      <c r="U94" s="374">
        <f>IFERROR(SUMPRODUCT(N91:T91,N94:T94)/ SUM(N91:T91),0)</f>
        <v>0</v>
      </c>
      <c r="V94" s="540" t="s">
        <v>902</v>
      </c>
      <c r="W94" s="261">
        <f t="shared" si="85"/>
        <v>10.89</v>
      </c>
      <c r="X94" s="261">
        <f t="shared" si="85"/>
        <v>1.9027750000000001</v>
      </c>
      <c r="Y94" s="261">
        <f t="shared" si="85"/>
        <v>6.0030000000000001</v>
      </c>
      <c r="Z94" s="261">
        <f t="shared" si="85"/>
        <v>0</v>
      </c>
      <c r="AA94" s="261">
        <f t="shared" si="85"/>
        <v>0</v>
      </c>
      <c r="AB94" s="261">
        <f t="shared" si="85"/>
        <v>0</v>
      </c>
      <c r="AC94" s="261">
        <f t="shared" si="85"/>
        <v>0</v>
      </c>
      <c r="AD94" s="374">
        <f>IFERROR(SUMPRODUCT(W91:AC91,W94:AC94)/ SUM(W91:AC91),0)</f>
        <v>0</v>
      </c>
      <c r="AE94" s="564"/>
    </row>
    <row r="95" spans="2:32" s="145" customFormat="1">
      <c r="B95" s="496"/>
      <c r="C95" s="515"/>
      <c r="D95" s="497" t="s">
        <v>1147</v>
      </c>
      <c r="E95" s="366">
        <f>VLOOKUP(E6,'Feed parameters'!$A$2:$M$114,2, FALSE)</f>
        <v>90</v>
      </c>
      <c r="F95" s="261">
        <f>VLOOKUP(F6,'Feed parameters'!$A$2:$M$114,2, FALSE)</f>
        <v>29.05</v>
      </c>
      <c r="G95" s="261">
        <f>VLOOKUP(G6,'Feed parameters'!$A$2:$M$114,2, FALSE)</f>
        <v>87</v>
      </c>
      <c r="H95" s="261">
        <f>VLOOKUP(H6,'Feed parameters'!$A$2:$M$114,2, FALSE)</f>
        <v>0</v>
      </c>
      <c r="I95" s="261">
        <f>VLOOKUP(I6,'Feed parameters'!$A$2:$M$114,2, FALSE)</f>
        <v>0</v>
      </c>
      <c r="J95" s="261">
        <f>VLOOKUP(J6,'Feed parameters'!$A$2:$M$114,2, FALSE)</f>
        <v>0</v>
      </c>
      <c r="K95" s="261">
        <f>VLOOKUP(K6,'Feed parameters'!$A$2:$M$114,2, FALSE)</f>
        <v>0</v>
      </c>
      <c r="L95" s="367">
        <f>IFERROR(SUMPRODUCT(E91:K91,E95:K95)/ SUM(E91:K91),0)</f>
        <v>0</v>
      </c>
      <c r="M95" s="540" t="s">
        <v>1147</v>
      </c>
      <c r="N95" s="261">
        <f t="shared" si="84"/>
        <v>90</v>
      </c>
      <c r="O95" s="261">
        <f t="shared" si="82"/>
        <v>29.05</v>
      </c>
      <c r="P95" s="261">
        <f t="shared" si="82"/>
        <v>87</v>
      </c>
      <c r="Q95" s="261">
        <f t="shared" si="82"/>
        <v>0</v>
      </c>
      <c r="R95" s="261">
        <f t="shared" si="82"/>
        <v>0</v>
      </c>
      <c r="S95" s="261">
        <f t="shared" si="82"/>
        <v>0</v>
      </c>
      <c r="T95" s="261">
        <f t="shared" si="82"/>
        <v>0</v>
      </c>
      <c r="U95" s="374">
        <f>IFERROR(SUMPRODUCT(N91:T91,N95:T95)/ SUM(N91:T91),0)</f>
        <v>0</v>
      </c>
      <c r="V95" s="540" t="s">
        <v>1147</v>
      </c>
      <c r="W95" s="261">
        <f t="shared" si="85"/>
        <v>90</v>
      </c>
      <c r="X95" s="261">
        <f t="shared" si="85"/>
        <v>29.05</v>
      </c>
      <c r="Y95" s="261">
        <f t="shared" si="85"/>
        <v>87</v>
      </c>
      <c r="Z95" s="261">
        <f t="shared" si="85"/>
        <v>0</v>
      </c>
      <c r="AA95" s="261">
        <f t="shared" si="85"/>
        <v>0</v>
      </c>
      <c r="AB95" s="261">
        <f t="shared" si="85"/>
        <v>0</v>
      </c>
      <c r="AC95" s="261">
        <f t="shared" si="85"/>
        <v>0</v>
      </c>
      <c r="AD95" s="374">
        <f>IFERROR(SUMPRODUCT(W91:AC91,W95:AC95)/ SUM(W91:AC91),0)</f>
        <v>0</v>
      </c>
      <c r="AE95" s="564">
        <f>L95*$G$3+U95*$P$3</f>
        <v>0</v>
      </c>
    </row>
    <row r="96" spans="2:32" s="145" customFormat="1">
      <c r="B96" s="496"/>
      <c r="C96" s="515"/>
      <c r="D96" s="497" t="s">
        <v>1165</v>
      </c>
      <c r="E96" s="366">
        <f>IFERROR((E91*E95)/SUMPRODUCT($E91:$K91,$E95:$K95), 0)</f>
        <v>0</v>
      </c>
      <c r="F96" s="261">
        <f>IFERROR((F91*F95)/SUMPRODUCT($E91:$K91,$E95:$K95), 0)</f>
        <v>0</v>
      </c>
      <c r="G96" s="261">
        <f t="shared" ref="G96:K96" si="86">IFERROR((G91*G95)/SUMPRODUCT($E91:$K91,$E95:$K95), 0)</f>
        <v>0</v>
      </c>
      <c r="H96" s="261">
        <f t="shared" si="86"/>
        <v>0</v>
      </c>
      <c r="I96" s="261">
        <f t="shared" si="86"/>
        <v>0</v>
      </c>
      <c r="J96" s="261">
        <f t="shared" si="86"/>
        <v>0</v>
      </c>
      <c r="K96" s="261">
        <f t="shared" si="86"/>
        <v>0</v>
      </c>
      <c r="L96" s="367"/>
      <c r="M96" s="540" t="s">
        <v>1165</v>
      </c>
      <c r="N96" s="261">
        <f t="shared" ref="N96" si="87">IFERROR((N91*N95)/SUMPRODUCT($N91:$T91,$N95:$T95),0)</f>
        <v>0</v>
      </c>
      <c r="O96" s="261">
        <f t="shared" si="84"/>
        <v>0</v>
      </c>
      <c r="P96" s="261">
        <f t="shared" si="84"/>
        <v>0</v>
      </c>
      <c r="Q96" s="261">
        <f t="shared" si="84"/>
        <v>0</v>
      </c>
      <c r="R96" s="261">
        <f t="shared" si="84"/>
        <v>0</v>
      </c>
      <c r="S96" s="261">
        <f t="shared" si="84"/>
        <v>0</v>
      </c>
      <c r="T96" s="261">
        <f t="shared" si="84"/>
        <v>0</v>
      </c>
      <c r="U96" s="374"/>
      <c r="V96" s="540" t="s">
        <v>1165</v>
      </c>
      <c r="W96" s="261">
        <f>IFERROR((W91*W95)/SUMPRODUCT($W91:$AC91,$W95:$AC95), 0)</f>
        <v>0</v>
      </c>
      <c r="X96" s="261">
        <f t="shared" ref="X96:AC96" si="88">IFERROR((X91*X95)/SUMPRODUCT($W91:$AC91,$W95:$AC95), 0)</f>
        <v>0</v>
      </c>
      <c r="Y96" s="261">
        <f t="shared" si="88"/>
        <v>0</v>
      </c>
      <c r="Z96" s="261">
        <f t="shared" si="88"/>
        <v>0</v>
      </c>
      <c r="AA96" s="261">
        <f t="shared" si="88"/>
        <v>0</v>
      </c>
      <c r="AB96" s="261">
        <f t="shared" si="88"/>
        <v>0</v>
      </c>
      <c r="AC96" s="261">
        <f t="shared" si="88"/>
        <v>0</v>
      </c>
      <c r="AD96" s="374"/>
      <c r="AE96" s="564"/>
    </row>
    <row r="97" spans="1:32" s="145" customFormat="1">
      <c r="B97" s="496"/>
      <c r="C97" s="515"/>
      <c r="D97" s="497"/>
      <c r="E97" s="366"/>
      <c r="F97" s="261"/>
      <c r="G97" s="261"/>
      <c r="H97" s="261"/>
      <c r="I97" s="261"/>
      <c r="J97" s="261"/>
      <c r="K97" s="261"/>
      <c r="L97" s="367"/>
      <c r="M97" s="540"/>
      <c r="N97" s="261"/>
      <c r="O97" s="261"/>
      <c r="P97" s="261"/>
      <c r="Q97" s="261"/>
      <c r="R97" s="261"/>
      <c r="S97" s="261"/>
      <c r="T97" s="261"/>
      <c r="U97" s="374"/>
      <c r="V97" s="540"/>
      <c r="W97" s="261"/>
      <c r="X97" s="261"/>
      <c r="Y97" s="261"/>
      <c r="Z97" s="261"/>
      <c r="AA97" s="261"/>
      <c r="AB97" s="261"/>
      <c r="AC97" s="261"/>
      <c r="AD97" s="374"/>
      <c r="AE97" s="564"/>
    </row>
    <row r="98" spans="1:32" s="145" customFormat="1">
      <c r="B98" s="496">
        <f>INPUTS!C26</f>
        <v>0</v>
      </c>
      <c r="C98" s="515"/>
      <c r="D98" s="497" t="s">
        <v>1164</v>
      </c>
      <c r="E98" s="366">
        <f>INPUTS!P56</f>
        <v>0</v>
      </c>
      <c r="F98" s="261">
        <f>INPUTS!P57</f>
        <v>0</v>
      </c>
      <c r="G98" s="261">
        <f>INPUTS!P58</f>
        <v>0</v>
      </c>
      <c r="H98" s="261">
        <f>INPUTS!P59</f>
        <v>0</v>
      </c>
      <c r="I98" s="261">
        <f>INPUTS!P60</f>
        <v>0</v>
      </c>
      <c r="J98" s="261">
        <f>INPUTS!P61</f>
        <v>0</v>
      </c>
      <c r="K98" s="261">
        <f>INPUTS!P62</f>
        <v>0</v>
      </c>
      <c r="L98" s="367"/>
      <c r="M98" s="540" t="s">
        <v>1164</v>
      </c>
      <c r="N98" s="261">
        <f>INPUTS!P67</f>
        <v>0</v>
      </c>
      <c r="O98" s="261">
        <f>INPUTS!P68</f>
        <v>0</v>
      </c>
      <c r="P98" s="261">
        <f>INPUTS!P69</f>
        <v>0</v>
      </c>
      <c r="Q98" s="261">
        <f>INPUTS!P70</f>
        <v>0</v>
      </c>
      <c r="R98" s="261">
        <f>INPUTS!P71</f>
        <v>0</v>
      </c>
      <c r="S98" s="261">
        <f>INPUTS!P72</f>
        <v>0</v>
      </c>
      <c r="T98" s="261">
        <f>INPUTS!P73</f>
        <v>0</v>
      </c>
      <c r="U98" s="374"/>
      <c r="V98" s="540" t="s">
        <v>1164</v>
      </c>
      <c r="W98" s="261">
        <f>INPUTS!P78</f>
        <v>0</v>
      </c>
      <c r="X98" s="261">
        <f>INPUTS!P79</f>
        <v>0</v>
      </c>
      <c r="Y98" s="261">
        <f>INPUTS!P80</f>
        <v>0</v>
      </c>
      <c r="Z98" s="261">
        <f>INPUTS!P81</f>
        <v>0</v>
      </c>
      <c r="AA98" s="261">
        <f>INPUTS!P82</f>
        <v>0</v>
      </c>
      <c r="AB98" s="261">
        <f>INPUTS!P83</f>
        <v>0</v>
      </c>
      <c r="AC98" s="261">
        <f>INPUTS!P84</f>
        <v>0</v>
      </c>
      <c r="AD98" s="374"/>
      <c r="AE98" s="564"/>
    </row>
    <row r="99" spans="1:32" s="145" customFormat="1">
      <c r="B99" s="496"/>
      <c r="C99" s="515"/>
      <c r="D99" s="497" t="s">
        <v>811</v>
      </c>
      <c r="E99" s="366">
        <f>VLOOKUP(E6,'Feed parameters'!$A$2:$M$114,6, FALSE)</f>
        <v>14.4</v>
      </c>
      <c r="F99" s="261">
        <f>VLOOKUP(F6,'Feed parameters'!$A$2:$M$114,6, FALSE)</f>
        <v>2.17875</v>
      </c>
      <c r="G99" s="261">
        <f>VLOOKUP(G6,'Feed parameters'!$A$2:$M$114,6, FALSE)</f>
        <v>3.3930000000000002</v>
      </c>
      <c r="H99" s="261">
        <f>VLOOKUP(H6,'Feed parameters'!$A$2:$M$114,6, FALSE)</f>
        <v>0</v>
      </c>
      <c r="I99" s="261">
        <f>VLOOKUP(I6,'Feed parameters'!$A$2:$M$114,6, FALSE)</f>
        <v>0</v>
      </c>
      <c r="J99" s="261">
        <f>VLOOKUP(J6,'Feed parameters'!$A$2:$M$114,6, FALSE)</f>
        <v>0</v>
      </c>
      <c r="K99" s="261">
        <f>VLOOKUP(K6,'Feed parameters'!$A$2:$M$114,6, FALSE)</f>
        <v>0</v>
      </c>
      <c r="L99" s="367">
        <f>IFERROR(SUMPRODUCT(E98:K98,E99:K99)/ SUM(E98:K98),0)</f>
        <v>0</v>
      </c>
      <c r="M99" s="540" t="s">
        <v>811</v>
      </c>
      <c r="N99" s="261">
        <f>N92</f>
        <v>14.4</v>
      </c>
      <c r="O99" s="261">
        <f t="shared" ref="O99:T102" si="89">O92</f>
        <v>2.17875</v>
      </c>
      <c r="P99" s="261">
        <f t="shared" si="89"/>
        <v>3.3930000000000002</v>
      </c>
      <c r="Q99" s="261">
        <f t="shared" si="89"/>
        <v>0</v>
      </c>
      <c r="R99" s="261">
        <f t="shared" si="89"/>
        <v>0</v>
      </c>
      <c r="S99" s="261">
        <f t="shared" si="89"/>
        <v>0</v>
      </c>
      <c r="T99" s="261">
        <f t="shared" si="89"/>
        <v>0</v>
      </c>
      <c r="U99" s="374">
        <f>IFERROR(SUMPRODUCT(N98:T98,N99:T99)/ SUM(N98:T98),0)</f>
        <v>0</v>
      </c>
      <c r="V99" s="540" t="s">
        <v>811</v>
      </c>
      <c r="W99" s="261">
        <f>W92</f>
        <v>14.4</v>
      </c>
      <c r="X99" s="261">
        <f t="shared" ref="X99:AC99" si="90">X92</f>
        <v>2.17875</v>
      </c>
      <c r="Y99" s="261">
        <f t="shared" si="90"/>
        <v>3.3930000000000002</v>
      </c>
      <c r="Z99" s="261">
        <f t="shared" si="90"/>
        <v>0</v>
      </c>
      <c r="AA99" s="261">
        <f t="shared" si="90"/>
        <v>0</v>
      </c>
      <c r="AB99" s="261">
        <f t="shared" si="90"/>
        <v>0</v>
      </c>
      <c r="AC99" s="261">
        <f t="shared" si="90"/>
        <v>0</v>
      </c>
      <c r="AD99" s="374">
        <f>IFERROR(SUMPRODUCT(W98:AC98,W99:AC99)/ SUM(W98:AC98),0)</f>
        <v>0</v>
      </c>
      <c r="AE99" s="564">
        <f>L99*$G$3+U99*$P$3</f>
        <v>0</v>
      </c>
      <c r="AF99" s="478">
        <f>IFERROR(L99*$G$3/(L102*0.01),0)+IFERROR(U99*$P$3/(U102*0.01),0)+IFERROR(AD99*$Y$3/(AD102*0.01),0)</f>
        <v>0</v>
      </c>
    </row>
    <row r="100" spans="1:32" s="145" customFormat="1">
      <c r="B100" s="496"/>
      <c r="C100" s="515"/>
      <c r="D100" s="497" t="s">
        <v>812</v>
      </c>
      <c r="E100" s="366">
        <f>VLOOKUP(E6,'Feed parameters'!$A$2:$M$114,7, FALSE)</f>
        <v>0.79859999999999998</v>
      </c>
      <c r="F100" s="261">
        <f>VLOOKUP(F6,'Feed parameters'!$A$2:$M$114,7, FALSE)</f>
        <v>0.43229999999999996</v>
      </c>
      <c r="G100" s="261">
        <f>VLOOKUP(G6,'Feed parameters'!$A$2:$M$114,7, FALSE)</f>
        <v>0.45539999999999997</v>
      </c>
      <c r="H100" s="261">
        <f>VLOOKUP(H6,'Feed parameters'!$A$2:$M$114,7, FALSE)</f>
        <v>0</v>
      </c>
      <c r="I100" s="261">
        <f>VLOOKUP(I6,'Feed parameters'!$A$2:$M$114,7, FALSE)</f>
        <v>0</v>
      </c>
      <c r="J100" s="261">
        <f>VLOOKUP(J6,'Feed parameters'!$A$2:$M$114,7, FALSE)</f>
        <v>0</v>
      </c>
      <c r="K100" s="261">
        <f>VLOOKUP(K6,'Feed parameters'!$A$2:$M$114,7, FALSE)</f>
        <v>0</v>
      </c>
      <c r="L100" s="367">
        <f>IFERROR(SUMPRODUCT(E98:K98,E100:K100)/ SUM(E98:K98),0)</f>
        <v>0</v>
      </c>
      <c r="M100" s="540" t="s">
        <v>812</v>
      </c>
      <c r="N100" s="261">
        <f t="shared" ref="N100:N102" si="91">N93</f>
        <v>0.79859999999999998</v>
      </c>
      <c r="O100" s="261">
        <f t="shared" si="89"/>
        <v>0.43229999999999996</v>
      </c>
      <c r="P100" s="261">
        <f t="shared" si="89"/>
        <v>0.45539999999999997</v>
      </c>
      <c r="Q100" s="261">
        <f t="shared" si="89"/>
        <v>0</v>
      </c>
      <c r="R100" s="261">
        <f t="shared" si="89"/>
        <v>0</v>
      </c>
      <c r="S100" s="261">
        <f t="shared" si="89"/>
        <v>0</v>
      </c>
      <c r="T100" s="261">
        <f t="shared" si="89"/>
        <v>0</v>
      </c>
      <c r="U100" s="374">
        <f>IFERROR(SUMPRODUCT(N98:T98,N100:T100)/ SUM(N98:T98),0)</f>
        <v>0</v>
      </c>
      <c r="V100" s="540" t="s">
        <v>812</v>
      </c>
      <c r="W100" s="261">
        <f t="shared" ref="W100:AC102" si="92">W93</f>
        <v>0.79859999999999998</v>
      </c>
      <c r="X100" s="261">
        <f t="shared" si="92"/>
        <v>0.43229999999999996</v>
      </c>
      <c r="Y100" s="261">
        <f t="shared" si="92"/>
        <v>0.45539999999999997</v>
      </c>
      <c r="Z100" s="261">
        <f t="shared" si="92"/>
        <v>0</v>
      </c>
      <c r="AA100" s="261">
        <f t="shared" si="92"/>
        <v>0</v>
      </c>
      <c r="AB100" s="261">
        <f t="shared" si="92"/>
        <v>0</v>
      </c>
      <c r="AC100" s="261">
        <f t="shared" si="92"/>
        <v>0</v>
      </c>
      <c r="AD100" s="374">
        <f>IFERROR(SUMPRODUCT(W98:AC98,W100:AC100)/ SUM(W98:AC98),0)</f>
        <v>0</v>
      </c>
      <c r="AE100" s="564">
        <f>L100*$G$3+U100*$P$3</f>
        <v>0</v>
      </c>
    </row>
    <row r="101" spans="1:32" s="145" customFormat="1">
      <c r="B101" s="496"/>
      <c r="C101" s="515"/>
      <c r="D101" s="497" t="s">
        <v>902</v>
      </c>
      <c r="E101" s="366">
        <f>VLOOKUP(E6,'Feed parameters'!$A$2:$M$114,4, FALSE)</f>
        <v>10.89</v>
      </c>
      <c r="F101" s="261">
        <f>VLOOKUP(F6,'Feed parameters'!$A$2:$M$114,4, FALSE)</f>
        <v>1.9027750000000001</v>
      </c>
      <c r="G101" s="261">
        <f>VLOOKUP(G6,'Feed parameters'!$A$2:$M$114,4, FALSE)</f>
        <v>6.0030000000000001</v>
      </c>
      <c r="H101" s="261">
        <f>VLOOKUP(H6,'Feed parameters'!$A$2:$M$114,4, FALSE)</f>
        <v>0</v>
      </c>
      <c r="I101" s="261">
        <f>VLOOKUP(I6,'Feed parameters'!$A$2:$M$114,4, FALSE)</f>
        <v>0</v>
      </c>
      <c r="J101" s="261">
        <f>VLOOKUP(J6,'Feed parameters'!$A$2:$M$114,4, FALSE)</f>
        <v>0</v>
      </c>
      <c r="K101" s="261">
        <f>VLOOKUP(K6,'Feed parameters'!$A$2:$M$114,4, FALSE)</f>
        <v>0</v>
      </c>
      <c r="L101" s="367">
        <f>IFERROR(SUMPRODUCT(E98:K98,E101:K101)/ SUM(E98:K98),0)</f>
        <v>0</v>
      </c>
      <c r="M101" s="540" t="s">
        <v>902</v>
      </c>
      <c r="N101" s="261">
        <f t="shared" si="91"/>
        <v>10.89</v>
      </c>
      <c r="O101" s="261">
        <f t="shared" si="89"/>
        <v>1.9027750000000001</v>
      </c>
      <c r="P101" s="261">
        <f t="shared" si="89"/>
        <v>6.0030000000000001</v>
      </c>
      <c r="Q101" s="261">
        <f t="shared" si="89"/>
        <v>0</v>
      </c>
      <c r="R101" s="261">
        <f t="shared" si="89"/>
        <v>0</v>
      </c>
      <c r="S101" s="261">
        <f t="shared" si="89"/>
        <v>0</v>
      </c>
      <c r="T101" s="261">
        <f t="shared" si="89"/>
        <v>0</v>
      </c>
      <c r="U101" s="374">
        <f>IFERROR(SUMPRODUCT(N98:T98,N101:T101)/ SUM(N98:T98),0)</f>
        <v>0</v>
      </c>
      <c r="V101" s="540" t="s">
        <v>902</v>
      </c>
      <c r="W101" s="261">
        <f t="shared" si="92"/>
        <v>10.89</v>
      </c>
      <c r="X101" s="261">
        <f t="shared" si="92"/>
        <v>1.9027750000000001</v>
      </c>
      <c r="Y101" s="261">
        <f t="shared" si="92"/>
        <v>6.0030000000000001</v>
      </c>
      <c r="Z101" s="261">
        <f t="shared" si="92"/>
        <v>0</v>
      </c>
      <c r="AA101" s="261">
        <f t="shared" si="92"/>
        <v>0</v>
      </c>
      <c r="AB101" s="261">
        <f t="shared" si="92"/>
        <v>0</v>
      </c>
      <c r="AC101" s="261">
        <f t="shared" si="92"/>
        <v>0</v>
      </c>
      <c r="AD101" s="374">
        <f>IFERROR(SUMPRODUCT(W98:AC98,W101:AC101)/ SUM(W98:AC98),0)</f>
        <v>0</v>
      </c>
      <c r="AE101" s="564"/>
    </row>
    <row r="102" spans="1:32" s="145" customFormat="1">
      <c r="B102" s="496"/>
      <c r="C102" s="515"/>
      <c r="D102" s="497" t="s">
        <v>1147</v>
      </c>
      <c r="E102" s="366">
        <f>VLOOKUP(E6,'Feed parameters'!$A$2:$M$114,2, FALSE)</f>
        <v>90</v>
      </c>
      <c r="F102" s="261">
        <f>VLOOKUP(F6,'Feed parameters'!$A$2:$M$114,2, FALSE)</f>
        <v>29.05</v>
      </c>
      <c r="G102" s="261">
        <f>VLOOKUP(G6,'Feed parameters'!$A$2:$M$114,2, FALSE)</f>
        <v>87</v>
      </c>
      <c r="H102" s="261">
        <f>VLOOKUP(H6,'Feed parameters'!$A$2:$M$114,2, FALSE)</f>
        <v>0</v>
      </c>
      <c r="I102" s="261">
        <f>VLOOKUP(I6,'Feed parameters'!$A$2:$M$114,2, FALSE)</f>
        <v>0</v>
      </c>
      <c r="J102" s="261">
        <f>VLOOKUP(J6,'Feed parameters'!$A$2:$M$114,2, FALSE)</f>
        <v>0</v>
      </c>
      <c r="K102" s="261">
        <f>VLOOKUP(K6,'Feed parameters'!$A$2:$M$114,2, FALSE)</f>
        <v>0</v>
      </c>
      <c r="L102" s="367">
        <f>IFERROR(SUMPRODUCT(E98:K98,E102:K102)/ SUM(E98:K98),0)</f>
        <v>0</v>
      </c>
      <c r="M102" s="540" t="s">
        <v>1147</v>
      </c>
      <c r="N102" s="261">
        <f t="shared" si="91"/>
        <v>90</v>
      </c>
      <c r="O102" s="261">
        <f t="shared" si="89"/>
        <v>29.05</v>
      </c>
      <c r="P102" s="261">
        <f t="shared" si="89"/>
        <v>87</v>
      </c>
      <c r="Q102" s="261">
        <f t="shared" si="89"/>
        <v>0</v>
      </c>
      <c r="R102" s="261">
        <f t="shared" si="89"/>
        <v>0</v>
      </c>
      <c r="S102" s="261">
        <f t="shared" si="89"/>
        <v>0</v>
      </c>
      <c r="T102" s="261">
        <f t="shared" si="89"/>
        <v>0</v>
      </c>
      <c r="U102" s="374">
        <f>IFERROR(SUMPRODUCT(N98:T98,N102:T102)/ SUM(N98:T98),0)</f>
        <v>0</v>
      </c>
      <c r="V102" s="540" t="s">
        <v>1147</v>
      </c>
      <c r="W102" s="261">
        <f t="shared" si="92"/>
        <v>90</v>
      </c>
      <c r="X102" s="261">
        <f t="shared" si="92"/>
        <v>29.05</v>
      </c>
      <c r="Y102" s="261">
        <f t="shared" si="92"/>
        <v>87</v>
      </c>
      <c r="Z102" s="261">
        <f t="shared" si="92"/>
        <v>0</v>
      </c>
      <c r="AA102" s="261">
        <f t="shared" si="92"/>
        <v>0</v>
      </c>
      <c r="AB102" s="261">
        <f t="shared" si="92"/>
        <v>0</v>
      </c>
      <c r="AC102" s="261">
        <f t="shared" si="92"/>
        <v>0</v>
      </c>
      <c r="AD102" s="374">
        <f>IFERROR(SUMPRODUCT(W98:AC98,W102:AC102)/ SUM(W98:AC98),0)</f>
        <v>0</v>
      </c>
      <c r="AE102" s="564">
        <f>L102*$G$3+U102*$P$3</f>
        <v>0</v>
      </c>
    </row>
    <row r="103" spans="1:32" s="145" customFormat="1">
      <c r="B103" s="496"/>
      <c r="C103" s="515"/>
      <c r="D103" s="497" t="s">
        <v>1165</v>
      </c>
      <c r="E103" s="366">
        <f>IFERROR((E98*E102)/SUMPRODUCT($E98:$K98,$E102:$K102), 0)</f>
        <v>0</v>
      </c>
      <c r="F103" s="261">
        <f>IFERROR((F98*F102)/SUMPRODUCT($E98:$K98,$E102:$K102), 0)</f>
        <v>0</v>
      </c>
      <c r="G103" s="261">
        <f t="shared" ref="G103:K103" si="93">IFERROR((G98*G102)/SUMPRODUCT($E98:$K98,$E102:$K102), 0)</f>
        <v>0</v>
      </c>
      <c r="H103" s="261">
        <f t="shared" si="93"/>
        <v>0</v>
      </c>
      <c r="I103" s="261">
        <f t="shared" si="93"/>
        <v>0</v>
      </c>
      <c r="J103" s="261">
        <f t="shared" si="93"/>
        <v>0</v>
      </c>
      <c r="K103" s="261">
        <f t="shared" si="93"/>
        <v>0</v>
      </c>
      <c r="L103" s="367"/>
      <c r="M103" s="540" t="s">
        <v>1165</v>
      </c>
      <c r="N103" s="261">
        <f t="shared" ref="N103:T103" si="94">IFERROR((N98*N102)/SUMPRODUCT($N98:$T98,$N102:$T102),0)</f>
        <v>0</v>
      </c>
      <c r="O103" s="261">
        <f t="shared" si="94"/>
        <v>0</v>
      </c>
      <c r="P103" s="261">
        <f t="shared" si="94"/>
        <v>0</v>
      </c>
      <c r="Q103" s="261">
        <f t="shared" si="94"/>
        <v>0</v>
      </c>
      <c r="R103" s="261">
        <f t="shared" si="94"/>
        <v>0</v>
      </c>
      <c r="S103" s="261">
        <f t="shared" si="94"/>
        <v>0</v>
      </c>
      <c r="T103" s="261">
        <f t="shared" si="94"/>
        <v>0</v>
      </c>
      <c r="U103" s="374"/>
      <c r="V103" s="540" t="s">
        <v>1165</v>
      </c>
      <c r="W103" s="261">
        <f>IFERROR((W98*W102)/SUMPRODUCT($W98:$AC98,$W102:$AC102), 0)</f>
        <v>0</v>
      </c>
      <c r="X103" s="261">
        <f t="shared" ref="X103:AC103" si="95">IFERROR((X98*X102)/SUMPRODUCT($W98:$AC98,$W102:$AC102), 0)</f>
        <v>0</v>
      </c>
      <c r="Y103" s="261">
        <f t="shared" si="95"/>
        <v>0</v>
      </c>
      <c r="Z103" s="261">
        <f t="shared" si="95"/>
        <v>0</v>
      </c>
      <c r="AA103" s="261">
        <f t="shared" si="95"/>
        <v>0</v>
      </c>
      <c r="AB103" s="261">
        <f t="shared" si="95"/>
        <v>0</v>
      </c>
      <c r="AC103" s="261">
        <f t="shared" si="95"/>
        <v>0</v>
      </c>
      <c r="AD103" s="374"/>
      <c r="AE103" s="564"/>
    </row>
    <row r="104" spans="1:32" s="145" customFormat="1" ht="16.5" thickBot="1">
      <c r="B104" s="533"/>
      <c r="C104" s="534"/>
      <c r="D104" s="535"/>
      <c r="E104" s="536"/>
      <c r="F104" s="537"/>
      <c r="G104" s="537"/>
      <c r="H104" s="537"/>
      <c r="I104" s="537"/>
      <c r="J104" s="537"/>
      <c r="K104" s="537"/>
      <c r="L104" s="538"/>
      <c r="M104" s="541"/>
      <c r="N104" s="537"/>
      <c r="O104" s="537"/>
      <c r="P104" s="537"/>
      <c r="Q104" s="537"/>
      <c r="R104" s="537"/>
      <c r="S104" s="537"/>
      <c r="T104" s="537"/>
      <c r="U104" s="539"/>
      <c r="V104" s="541"/>
      <c r="W104" s="537"/>
      <c r="X104" s="537"/>
      <c r="Y104" s="537"/>
      <c r="Z104" s="537"/>
      <c r="AA104" s="537"/>
      <c r="AB104" s="537"/>
      <c r="AC104" s="537"/>
      <c r="AD104" s="539"/>
      <c r="AE104" s="564"/>
    </row>
    <row r="105" spans="1:32" s="145" customFormat="1">
      <c r="B105" s="259"/>
      <c r="C105" s="259"/>
      <c r="D105" s="828"/>
      <c r="O105" s="227"/>
      <c r="S105" s="228"/>
      <c r="V105" s="558"/>
      <c r="AB105" s="226"/>
    </row>
    <row r="106" spans="1:32" s="145" customFormat="1">
      <c r="A106" s="359" t="s">
        <v>1462</v>
      </c>
      <c r="B106" s="359"/>
      <c r="C106" s="359"/>
      <c r="D106" s="359"/>
      <c r="E106" s="359"/>
      <c r="F106" s="359"/>
      <c r="G106" s="359"/>
      <c r="H106" s="359"/>
      <c r="I106" s="359"/>
      <c r="J106" s="359"/>
      <c r="K106" s="359"/>
      <c r="L106" s="359"/>
      <c r="M106" s="359"/>
      <c r="Q106" s="227"/>
      <c r="U106" s="228"/>
      <c r="X106" s="558"/>
      <c r="AD106" s="226"/>
    </row>
    <row r="107" spans="1:32" s="145" customFormat="1" ht="61.5" customHeight="1">
      <c r="A107" s="13"/>
      <c r="B107" s="829" t="s">
        <v>1463</v>
      </c>
      <c r="C107" s="1077" t="s">
        <v>1616</v>
      </c>
      <c r="D107" s="829" t="s">
        <v>1433</v>
      </c>
      <c r="E107" s="829" t="s">
        <v>1783</v>
      </c>
      <c r="F107" s="829" t="s">
        <v>1759</v>
      </c>
      <c r="G107" s="829" t="s">
        <v>1434</v>
      </c>
      <c r="H107" s="829" t="s">
        <v>1851</v>
      </c>
      <c r="I107" s="829" t="s">
        <v>1435</v>
      </c>
      <c r="J107" s="829" t="s">
        <v>1781</v>
      </c>
      <c r="K107" s="829" t="s">
        <v>1784</v>
      </c>
      <c r="L107" s="829" t="s">
        <v>1782</v>
      </c>
      <c r="M107" s="829" t="s">
        <v>1654</v>
      </c>
      <c r="Q107" s="227"/>
      <c r="U107" s="228"/>
      <c r="X107" s="558"/>
      <c r="AD107" s="226"/>
    </row>
    <row r="108" spans="1:32" s="145" customFormat="1">
      <c r="A108" s="13" t="str">
        <f t="shared" ref="A108:A121" si="96">A126</f>
        <v>Cows (improved)</v>
      </c>
      <c r="B108" s="489">
        <f>'Livestock parameters'!H2</f>
        <v>43.118509116603107</v>
      </c>
      <c r="C108" s="1078">
        <f>'Livestock parameters'!G2*'Livestock parameters'!I2</f>
        <v>0</v>
      </c>
      <c r="D108" s="830">
        <f>IFERROR('Livestock parameters'!J2/(365*'Livestock parameters'!V2),0)</f>
        <v>3.4246575342465753</v>
      </c>
      <c r="E108" s="830">
        <f>IFERROR('Livestock parameters'!K2/(365*'Livestock parameters'!V2),0)</f>
        <v>0</v>
      </c>
      <c r="F108" s="830">
        <f>'Livestock parameters'!L2</f>
        <v>5.5</v>
      </c>
      <c r="G108" s="830">
        <f>'Livestock parameters'!M2</f>
        <v>0</v>
      </c>
      <c r="H108" s="832">
        <f>'Livestock parameters'!N2</f>
        <v>0.38100000000000001</v>
      </c>
      <c r="I108" s="489">
        <f>'Livestock parameters'!G2*'Livestock parameters'!O2</f>
        <v>0</v>
      </c>
      <c r="J108" s="833">
        <f>IFERROR('Livestock parameters'!P2/(365*'Livestock parameters'!V2),0)</f>
        <v>2.7876712328767126E-2</v>
      </c>
      <c r="K108" s="833">
        <f>IFERROR('Livestock parameters'!Q2/(365*'Livestock parameters'!V2),0)</f>
        <v>0</v>
      </c>
      <c r="L108" s="831">
        <f>'Livestock parameters'!R2</f>
        <v>0.09</v>
      </c>
      <c r="M108" s="831">
        <f>'Livestock parameters'!S2</f>
        <v>0</v>
      </c>
      <c r="Q108" s="227"/>
      <c r="U108" s="228"/>
      <c r="X108" s="558"/>
      <c r="AD108" s="226"/>
    </row>
    <row r="109" spans="1:32" s="145" customFormat="1">
      <c r="A109" s="13" t="str">
        <f t="shared" si="96"/>
        <v>Steers/heifers (improved)</v>
      </c>
      <c r="B109" s="489">
        <f>'Livestock parameters'!H3</f>
        <v>35.137309395138168</v>
      </c>
      <c r="C109" s="1078">
        <f>'Livestock parameters'!G3*'Livestock parameters'!I3</f>
        <v>0</v>
      </c>
      <c r="D109" s="830">
        <f>IFERROR('Livestock parameters'!J3/(365*'Livestock parameters'!V3),0)</f>
        <v>0</v>
      </c>
      <c r="E109" s="830">
        <f>IFERROR('Livestock parameters'!K3/(365*'Livestock parameters'!V3),0)</f>
        <v>0</v>
      </c>
      <c r="F109" s="830">
        <f>'Livestock parameters'!L3</f>
        <v>0</v>
      </c>
      <c r="G109" s="830">
        <f>'Livestock parameters'!M3</f>
        <v>50</v>
      </c>
      <c r="H109" s="832">
        <f>'Livestock parameters'!N3</f>
        <v>0.28999999999999998</v>
      </c>
      <c r="I109" s="489">
        <f>'Livestock parameters'!G3*'Livestock parameters'!O3</f>
        <v>0</v>
      </c>
      <c r="J109" s="833">
        <f>IFERROR('Livestock parameters'!P3/(365*'Livestock parameters'!V3),0)</f>
        <v>0</v>
      </c>
      <c r="K109" s="833">
        <f>IFERROR('Livestock parameters'!Q3/(365*'Livestock parameters'!V3),0)</f>
        <v>0</v>
      </c>
      <c r="L109" s="831">
        <f>'Livestock parameters'!R3</f>
        <v>0</v>
      </c>
      <c r="M109" s="831">
        <f>'Livestock parameters'!S3</f>
        <v>0.4</v>
      </c>
      <c r="Q109" s="227"/>
      <c r="U109" s="228"/>
      <c r="X109" s="558"/>
      <c r="AD109" s="226"/>
    </row>
    <row r="110" spans="1:32" s="145" customFormat="1">
      <c r="A110" s="13">
        <f t="shared" si="96"/>
        <v>0</v>
      </c>
      <c r="B110" s="489">
        <f>'Livestock parameters'!H4</f>
        <v>0</v>
      </c>
      <c r="C110" s="1078">
        <f>'Livestock parameters'!G4*'Livestock parameters'!I4</f>
        <v>0</v>
      </c>
      <c r="D110" s="830">
        <f>IFERROR('Livestock parameters'!J4/(365*'Livestock parameters'!V4),0)</f>
        <v>0</v>
      </c>
      <c r="E110" s="830">
        <f>IFERROR('Livestock parameters'!K4/(365*'Livestock parameters'!V4),0)</f>
        <v>0</v>
      </c>
      <c r="F110" s="830">
        <f>'Livestock parameters'!L4</f>
        <v>0</v>
      </c>
      <c r="G110" s="830">
        <f>'Livestock parameters'!M4</f>
        <v>0</v>
      </c>
      <c r="H110" s="832">
        <f>'Livestock parameters'!N4</f>
        <v>0</v>
      </c>
      <c r="I110" s="489">
        <f>'Livestock parameters'!G4*'Livestock parameters'!O4</f>
        <v>0</v>
      </c>
      <c r="J110" s="833">
        <f>IFERROR('Livestock parameters'!P4/(365*'Livestock parameters'!V4),0)</f>
        <v>0</v>
      </c>
      <c r="K110" s="833">
        <f>IFERROR('Livestock parameters'!Q4/(365*'Livestock parameters'!V4),0)</f>
        <v>0</v>
      </c>
      <c r="L110" s="831">
        <f>'Livestock parameters'!R4</f>
        <v>0</v>
      </c>
      <c r="M110" s="831">
        <f>'Livestock parameters'!S4</f>
        <v>0</v>
      </c>
      <c r="Q110" s="227"/>
      <c r="U110" s="228"/>
      <c r="X110" s="558"/>
      <c r="AD110" s="226"/>
    </row>
    <row r="111" spans="1:32" s="145" customFormat="1">
      <c r="A111" s="13">
        <f t="shared" si="96"/>
        <v>0</v>
      </c>
      <c r="B111" s="489">
        <f>'Livestock parameters'!H5</f>
        <v>0</v>
      </c>
      <c r="C111" s="1078">
        <f>'Livestock parameters'!G5*'Livestock parameters'!I5</f>
        <v>0</v>
      </c>
      <c r="D111" s="830">
        <f>IFERROR('Livestock parameters'!J5/(365*'Livestock parameters'!V5),0)</f>
        <v>0</v>
      </c>
      <c r="E111" s="830">
        <f>IFERROR('Livestock parameters'!K5/(365*'Livestock parameters'!V5),0)</f>
        <v>0</v>
      </c>
      <c r="F111" s="830">
        <f>'Livestock parameters'!L5</f>
        <v>0</v>
      </c>
      <c r="G111" s="830">
        <f>'Livestock parameters'!M5</f>
        <v>0</v>
      </c>
      <c r="H111" s="832">
        <f>'Livestock parameters'!N5</f>
        <v>0</v>
      </c>
      <c r="I111" s="489">
        <f>'Livestock parameters'!G5*'Livestock parameters'!O5</f>
        <v>0</v>
      </c>
      <c r="J111" s="833">
        <f>IFERROR('Livestock parameters'!P5/(365*'Livestock parameters'!V5),0)</f>
        <v>0</v>
      </c>
      <c r="K111" s="833">
        <f>IFERROR('Livestock parameters'!Q5/(365*'Livestock parameters'!V5),0)</f>
        <v>0</v>
      </c>
      <c r="L111" s="831">
        <f>'Livestock parameters'!R5</f>
        <v>0</v>
      </c>
      <c r="M111" s="831">
        <f>'Livestock parameters'!S5</f>
        <v>0</v>
      </c>
      <c r="Q111" s="227"/>
      <c r="U111" s="228"/>
      <c r="X111" s="558"/>
      <c r="AD111" s="226"/>
    </row>
    <row r="112" spans="1:32" s="145" customFormat="1">
      <c r="A112" s="13">
        <f t="shared" si="96"/>
        <v>0</v>
      </c>
      <c r="B112" s="489">
        <f>'Livestock parameters'!H6</f>
        <v>0</v>
      </c>
      <c r="C112" s="1078">
        <f>'Livestock parameters'!G6*'Livestock parameters'!I6</f>
        <v>0</v>
      </c>
      <c r="D112" s="830">
        <f>IFERROR('Livestock parameters'!J6/(365*'Livestock parameters'!V6),0)</f>
        <v>0</v>
      </c>
      <c r="E112" s="830">
        <f>IFERROR('Livestock parameters'!K6/(365*'Livestock parameters'!V6),0)</f>
        <v>0</v>
      </c>
      <c r="F112" s="830">
        <f>'Livestock parameters'!L6</f>
        <v>0</v>
      </c>
      <c r="G112" s="830">
        <f>'Livestock parameters'!M6</f>
        <v>0</v>
      </c>
      <c r="H112" s="832">
        <f>'Livestock parameters'!N6</f>
        <v>0</v>
      </c>
      <c r="I112" s="489">
        <f>'Livestock parameters'!G6*'Livestock parameters'!O6</f>
        <v>0</v>
      </c>
      <c r="J112" s="833">
        <f>IFERROR('Livestock parameters'!P6/(365*'Livestock parameters'!V6),0)</f>
        <v>0</v>
      </c>
      <c r="K112" s="833">
        <f>IFERROR('Livestock parameters'!Q6/(365*'Livestock parameters'!V6),0)</f>
        <v>0</v>
      </c>
      <c r="L112" s="831">
        <f>'Livestock parameters'!R6</f>
        <v>0</v>
      </c>
      <c r="M112" s="831">
        <f>'Livestock parameters'!S6</f>
        <v>0</v>
      </c>
      <c r="Q112" s="227"/>
      <c r="U112" s="228"/>
      <c r="X112" s="558"/>
      <c r="AD112" s="226"/>
    </row>
    <row r="113" spans="1:37" s="145" customFormat="1">
      <c r="A113" s="13">
        <f t="shared" si="96"/>
        <v>0</v>
      </c>
      <c r="B113" s="489">
        <f>'Livestock parameters'!H7</f>
        <v>0</v>
      </c>
      <c r="C113" s="1078">
        <f>'Livestock parameters'!G7*'Livestock parameters'!I7</f>
        <v>0</v>
      </c>
      <c r="D113" s="830">
        <f>IFERROR('Livestock parameters'!J7/(365*'Livestock parameters'!V7),0)</f>
        <v>0</v>
      </c>
      <c r="E113" s="830">
        <f>IFERROR('Livestock parameters'!K7/(365*'Livestock parameters'!V7),0)</f>
        <v>0</v>
      </c>
      <c r="F113" s="830">
        <f>'Livestock parameters'!L7</f>
        <v>0</v>
      </c>
      <c r="G113" s="830">
        <f>'Livestock parameters'!M7</f>
        <v>0</v>
      </c>
      <c r="H113" s="832">
        <f>'Livestock parameters'!N7</f>
        <v>0</v>
      </c>
      <c r="I113" s="489">
        <f>'Livestock parameters'!G7*'Livestock parameters'!O7</f>
        <v>0</v>
      </c>
      <c r="J113" s="833">
        <f>IFERROR('Livestock parameters'!P7/(365*'Livestock parameters'!V7),0)</f>
        <v>0</v>
      </c>
      <c r="K113" s="833">
        <f>IFERROR('Livestock parameters'!Q7/(365*'Livestock parameters'!V7),0)</f>
        <v>0</v>
      </c>
      <c r="L113" s="831">
        <f>'Livestock parameters'!R7</f>
        <v>0</v>
      </c>
      <c r="M113" s="831">
        <f>'Livestock parameters'!S7</f>
        <v>0</v>
      </c>
      <c r="Q113" s="227"/>
      <c r="U113" s="228"/>
      <c r="X113" s="558"/>
      <c r="AD113" s="226"/>
    </row>
    <row r="114" spans="1:37" s="145" customFormat="1">
      <c r="A114" s="13">
        <f t="shared" si="96"/>
        <v>0</v>
      </c>
      <c r="B114" s="489">
        <f>'Livestock parameters'!H8</f>
        <v>0</v>
      </c>
      <c r="C114" s="1078">
        <f>'Livestock parameters'!G8*'Livestock parameters'!I8</f>
        <v>0</v>
      </c>
      <c r="D114" s="830">
        <f>IFERROR('Livestock parameters'!J8/(365*'Livestock parameters'!V8),0)</f>
        <v>0</v>
      </c>
      <c r="E114" s="830">
        <f>IFERROR('Livestock parameters'!K8/(365*'Livestock parameters'!V8),0)</f>
        <v>0</v>
      </c>
      <c r="F114" s="830">
        <f>'Livestock parameters'!L8</f>
        <v>0</v>
      </c>
      <c r="G114" s="830">
        <f>'Livestock parameters'!M8</f>
        <v>0</v>
      </c>
      <c r="H114" s="832">
        <f>'Livestock parameters'!N8</f>
        <v>0</v>
      </c>
      <c r="I114" s="489">
        <f>'Livestock parameters'!G8*'Livestock parameters'!O8</f>
        <v>0</v>
      </c>
      <c r="J114" s="833">
        <f>IFERROR('Livestock parameters'!P8/(365*'Livestock parameters'!V8),0)</f>
        <v>0</v>
      </c>
      <c r="K114" s="833">
        <f>IFERROR('Livestock parameters'!Q8/(365*'Livestock parameters'!V8),0)</f>
        <v>0</v>
      </c>
      <c r="L114" s="831">
        <f>'Livestock parameters'!R8</f>
        <v>0</v>
      </c>
      <c r="M114" s="831">
        <f>'Livestock parameters'!S8</f>
        <v>0</v>
      </c>
      <c r="Q114" s="227"/>
      <c r="U114" s="228"/>
      <c r="X114" s="558"/>
      <c r="AD114" s="226"/>
    </row>
    <row r="115" spans="1:37" s="145" customFormat="1">
      <c r="A115" s="13">
        <f t="shared" si="96"/>
        <v>0</v>
      </c>
      <c r="B115" s="489">
        <f>'Livestock parameters'!H9</f>
        <v>0</v>
      </c>
      <c r="C115" s="1078">
        <f>'Livestock parameters'!G9*'Livestock parameters'!I9</f>
        <v>0</v>
      </c>
      <c r="D115" s="830">
        <f>IFERROR('Livestock parameters'!J9/(365*'Livestock parameters'!V9),0)</f>
        <v>0</v>
      </c>
      <c r="E115" s="830">
        <f>IFERROR('Livestock parameters'!K9/(365*'Livestock parameters'!V9),0)</f>
        <v>0</v>
      </c>
      <c r="F115" s="830">
        <f>'Livestock parameters'!L9</f>
        <v>0</v>
      </c>
      <c r="G115" s="830">
        <f>'Livestock parameters'!M9</f>
        <v>0</v>
      </c>
      <c r="H115" s="832">
        <f>'Livestock parameters'!N9</f>
        <v>0</v>
      </c>
      <c r="I115" s="489">
        <f>'Livestock parameters'!G9*'Livestock parameters'!O9</f>
        <v>0</v>
      </c>
      <c r="J115" s="833">
        <f>IFERROR('Livestock parameters'!P9/(365*'Livestock parameters'!V9),0)</f>
        <v>0</v>
      </c>
      <c r="K115" s="833">
        <f>IFERROR('Livestock parameters'!Q9/(365*'Livestock parameters'!V9),0)</f>
        <v>0</v>
      </c>
      <c r="L115" s="831">
        <f>'Livestock parameters'!R9</f>
        <v>0</v>
      </c>
      <c r="M115" s="831">
        <f>'Livestock parameters'!S9</f>
        <v>0</v>
      </c>
      <c r="Q115" s="227"/>
      <c r="U115" s="228"/>
      <c r="X115" s="558"/>
      <c r="AD115" s="226"/>
    </row>
    <row r="116" spans="1:37" s="145" customFormat="1">
      <c r="A116" s="13">
        <f t="shared" si="96"/>
        <v>0</v>
      </c>
      <c r="B116" s="489">
        <f>'Livestock parameters'!H10</f>
        <v>0</v>
      </c>
      <c r="C116" s="1078">
        <f>'Livestock parameters'!G10*'Livestock parameters'!I10</f>
        <v>0</v>
      </c>
      <c r="D116" s="830">
        <f>IFERROR('Livestock parameters'!J10/(365*'Livestock parameters'!V10),0)</f>
        <v>0</v>
      </c>
      <c r="E116" s="830">
        <f>IFERROR('Livestock parameters'!K10/(365*'Livestock parameters'!V10),0)</f>
        <v>0</v>
      </c>
      <c r="F116" s="830">
        <f>'Livestock parameters'!L10</f>
        <v>0</v>
      </c>
      <c r="G116" s="830">
        <f>'Livestock parameters'!M10</f>
        <v>0</v>
      </c>
      <c r="H116" s="832">
        <f>'Livestock parameters'!N10</f>
        <v>0</v>
      </c>
      <c r="I116" s="489">
        <f>'Livestock parameters'!G10*'Livestock parameters'!O10</f>
        <v>0</v>
      </c>
      <c r="J116" s="833">
        <f>IFERROR('Livestock parameters'!P10/(365*'Livestock parameters'!V10),0)</f>
        <v>0</v>
      </c>
      <c r="K116" s="833">
        <f>IFERROR('Livestock parameters'!Q10/(365*'Livestock parameters'!V10),0)</f>
        <v>0</v>
      </c>
      <c r="L116" s="831">
        <f>'Livestock parameters'!R10</f>
        <v>0</v>
      </c>
      <c r="M116" s="831">
        <f>'Livestock parameters'!S10</f>
        <v>0</v>
      </c>
      <c r="Q116" s="227"/>
      <c r="U116" s="228"/>
      <c r="X116" s="558"/>
      <c r="AD116" s="226"/>
    </row>
    <row r="117" spans="1:37" s="145" customFormat="1">
      <c r="A117" s="13">
        <f t="shared" si="96"/>
        <v>0</v>
      </c>
      <c r="B117" s="489">
        <f>'Livestock parameters'!H11</f>
        <v>0</v>
      </c>
      <c r="C117" s="1078">
        <f>'Livestock parameters'!G11*'Livestock parameters'!I11</f>
        <v>0</v>
      </c>
      <c r="D117" s="830">
        <f>IFERROR('Livestock parameters'!J11/(365*'Livestock parameters'!V11),0)</f>
        <v>0</v>
      </c>
      <c r="E117" s="830">
        <f>IFERROR('Livestock parameters'!K11/(365*'Livestock parameters'!V11),0)</f>
        <v>0</v>
      </c>
      <c r="F117" s="830">
        <f>'Livestock parameters'!L11</f>
        <v>0</v>
      </c>
      <c r="G117" s="830">
        <f>'Livestock parameters'!M11</f>
        <v>0</v>
      </c>
      <c r="H117" s="832">
        <f>'Livestock parameters'!N11</f>
        <v>0</v>
      </c>
      <c r="I117" s="489">
        <f>'Livestock parameters'!G11*'Livestock parameters'!O11</f>
        <v>0</v>
      </c>
      <c r="J117" s="833">
        <f>IFERROR('Livestock parameters'!P11/(365*'Livestock parameters'!V11),0)</f>
        <v>0</v>
      </c>
      <c r="K117" s="833">
        <f>IFERROR('Livestock parameters'!Q11/(365*'Livestock parameters'!V11),0)</f>
        <v>0</v>
      </c>
      <c r="L117" s="831">
        <f>'Livestock parameters'!R11</f>
        <v>0</v>
      </c>
      <c r="M117" s="831">
        <f>'Livestock parameters'!S11</f>
        <v>0</v>
      </c>
      <c r="Q117" s="227"/>
      <c r="U117" s="228"/>
      <c r="X117" s="558"/>
      <c r="AD117" s="226"/>
    </row>
    <row r="118" spans="1:37" s="145" customFormat="1">
      <c r="A118" s="13">
        <f t="shared" si="96"/>
        <v>0</v>
      </c>
      <c r="B118" s="489">
        <f>'Livestock parameters'!H12</f>
        <v>0</v>
      </c>
      <c r="C118" s="1078">
        <f>'Livestock parameters'!G12*'Livestock parameters'!I12</f>
        <v>0</v>
      </c>
      <c r="D118" s="830">
        <f>IFERROR('Livestock parameters'!J12/(365*'Livestock parameters'!V12),0)</f>
        <v>0</v>
      </c>
      <c r="E118" s="830">
        <f>IFERROR('Livestock parameters'!K12/(365*'Livestock parameters'!V12),0)</f>
        <v>0</v>
      </c>
      <c r="F118" s="830">
        <f>'Livestock parameters'!L12</f>
        <v>0</v>
      </c>
      <c r="G118" s="830">
        <f>'Livestock parameters'!M12</f>
        <v>0</v>
      </c>
      <c r="H118" s="832">
        <f>'Livestock parameters'!N12</f>
        <v>0</v>
      </c>
      <c r="I118" s="489">
        <f>'Livestock parameters'!G12*'Livestock parameters'!O12</f>
        <v>0</v>
      </c>
      <c r="J118" s="833">
        <f>IFERROR('Livestock parameters'!P12/(365*'Livestock parameters'!V12),0)</f>
        <v>0</v>
      </c>
      <c r="K118" s="833">
        <f>IFERROR('Livestock parameters'!Q12/(365*'Livestock parameters'!V12),0)</f>
        <v>0</v>
      </c>
      <c r="L118" s="831">
        <f>'Livestock parameters'!R12</f>
        <v>0</v>
      </c>
      <c r="M118" s="831">
        <f>'Livestock parameters'!S12</f>
        <v>0</v>
      </c>
      <c r="Q118" s="227"/>
      <c r="U118" s="228"/>
      <c r="X118" s="558"/>
      <c r="AD118" s="226"/>
    </row>
    <row r="119" spans="1:37" s="145" customFormat="1">
      <c r="A119" s="13">
        <f t="shared" si="96"/>
        <v>0</v>
      </c>
      <c r="B119" s="489">
        <f>'Livestock parameters'!H13</f>
        <v>0</v>
      </c>
      <c r="C119" s="1078">
        <f>'Livestock parameters'!G13*'Livestock parameters'!I13</f>
        <v>0</v>
      </c>
      <c r="D119" s="830">
        <f>IFERROR('Livestock parameters'!J13/(365*'Livestock parameters'!V13),0)</f>
        <v>0</v>
      </c>
      <c r="E119" s="830">
        <f>IFERROR('Livestock parameters'!K13/(365*'Livestock parameters'!V13),0)</f>
        <v>0</v>
      </c>
      <c r="F119" s="830">
        <f>'Livestock parameters'!L13</f>
        <v>0</v>
      </c>
      <c r="G119" s="830">
        <f>'Livestock parameters'!M13</f>
        <v>0</v>
      </c>
      <c r="H119" s="832">
        <f>'Livestock parameters'!N13</f>
        <v>0</v>
      </c>
      <c r="I119" s="489">
        <f>'Livestock parameters'!G13*'Livestock parameters'!O13</f>
        <v>0</v>
      </c>
      <c r="J119" s="833">
        <f>IFERROR('Livestock parameters'!P13/(365*'Livestock parameters'!V13),0)</f>
        <v>0</v>
      </c>
      <c r="K119" s="833">
        <f>IFERROR('Livestock parameters'!Q13/(365*'Livestock parameters'!V13),0)</f>
        <v>0</v>
      </c>
      <c r="L119" s="831">
        <f>'Livestock parameters'!R13</f>
        <v>0</v>
      </c>
      <c r="M119" s="831">
        <f>'Livestock parameters'!S13</f>
        <v>0</v>
      </c>
      <c r="Q119" s="227"/>
      <c r="U119" s="228"/>
      <c r="X119" s="558"/>
      <c r="AD119" s="226"/>
    </row>
    <row r="120" spans="1:37" s="145" customFormat="1">
      <c r="A120" s="13">
        <f t="shared" si="96"/>
        <v>0</v>
      </c>
      <c r="B120" s="489">
        <f>'Livestock parameters'!H14</f>
        <v>0</v>
      </c>
      <c r="C120" s="1078">
        <f>'Livestock parameters'!G14*'Livestock parameters'!I14</f>
        <v>0</v>
      </c>
      <c r="D120" s="830">
        <f>IFERROR('Livestock parameters'!J14/(365*'Livestock parameters'!V14),0)</f>
        <v>0</v>
      </c>
      <c r="E120" s="830">
        <f>IFERROR('Livestock parameters'!K14/(365*'Livestock parameters'!V14),0)</f>
        <v>0</v>
      </c>
      <c r="F120" s="830">
        <f>'Livestock parameters'!L14</f>
        <v>0</v>
      </c>
      <c r="G120" s="830">
        <f>'Livestock parameters'!M14</f>
        <v>0</v>
      </c>
      <c r="H120" s="832">
        <f>'Livestock parameters'!N14</f>
        <v>0</v>
      </c>
      <c r="I120" s="489">
        <f>'Livestock parameters'!G14*'Livestock parameters'!O14</f>
        <v>0</v>
      </c>
      <c r="J120" s="833">
        <f>IFERROR('Livestock parameters'!P14/(365*'Livestock parameters'!V14),0)</f>
        <v>0</v>
      </c>
      <c r="K120" s="833">
        <f>IFERROR('Livestock parameters'!Q14/(365*'Livestock parameters'!V14),0)</f>
        <v>0</v>
      </c>
      <c r="L120" s="831">
        <f>'Livestock parameters'!R14</f>
        <v>0</v>
      </c>
      <c r="M120" s="831">
        <f>'Livestock parameters'!S14</f>
        <v>0</v>
      </c>
      <c r="Q120" s="227"/>
      <c r="U120" s="228"/>
      <c r="X120" s="558"/>
      <c r="AD120" s="226"/>
    </row>
    <row r="121" spans="1:37" s="145" customFormat="1">
      <c r="A121" s="13">
        <f t="shared" si="96"/>
        <v>0</v>
      </c>
      <c r="B121" s="489">
        <f>'Livestock parameters'!H15</f>
        <v>0</v>
      </c>
      <c r="C121" s="1078">
        <f>'Livestock parameters'!G15*'Livestock parameters'!I15</f>
        <v>0</v>
      </c>
      <c r="D121" s="830">
        <f>IFERROR('Livestock parameters'!J15/(365*'Livestock parameters'!V15),0)</f>
        <v>0</v>
      </c>
      <c r="E121" s="830">
        <f>IFERROR('Livestock parameters'!K15/(365*'Livestock parameters'!V15),0)</f>
        <v>0</v>
      </c>
      <c r="F121" s="830">
        <f>'Livestock parameters'!L15</f>
        <v>0</v>
      </c>
      <c r="G121" s="830">
        <f>'Livestock parameters'!M15</f>
        <v>0</v>
      </c>
      <c r="H121" s="832">
        <f>'Livestock parameters'!N15</f>
        <v>0</v>
      </c>
      <c r="I121" s="489">
        <f>'Livestock parameters'!G15*'Livestock parameters'!O15</f>
        <v>0</v>
      </c>
      <c r="J121" s="833">
        <f>IFERROR('Livestock parameters'!P15/(365*'Livestock parameters'!V15),0)</f>
        <v>0</v>
      </c>
      <c r="K121" s="833">
        <f>IFERROR('Livestock parameters'!Q15/(365*'Livestock parameters'!V15),0)</f>
        <v>0</v>
      </c>
      <c r="L121" s="831">
        <f>'Livestock parameters'!R15</f>
        <v>0</v>
      </c>
      <c r="M121" s="831">
        <f>'Livestock parameters'!S15</f>
        <v>0</v>
      </c>
      <c r="Q121" s="227"/>
      <c r="U121" s="228"/>
      <c r="X121" s="558"/>
      <c r="AD121" s="226"/>
    </row>
    <row r="122" spans="1:37" s="145" customFormat="1">
      <c r="B122" s="259"/>
      <c r="C122" s="259"/>
      <c r="D122" s="519"/>
      <c r="O122" s="227"/>
      <c r="S122" s="228"/>
      <c r="V122" s="558"/>
      <c r="AB122" s="226"/>
    </row>
    <row r="123" spans="1:37" s="145" customFormat="1">
      <c r="O123" s="227"/>
      <c r="S123" s="228"/>
      <c r="V123" s="558"/>
      <c r="AB123" s="226"/>
    </row>
    <row r="124" spans="1:37" s="145" customFormat="1">
      <c r="A124" s="359" t="s">
        <v>1169</v>
      </c>
      <c r="B124" s="359"/>
      <c r="C124" s="359"/>
      <c r="D124" s="359"/>
      <c r="E124" s="359"/>
      <c r="F124" s="359"/>
      <c r="G124" s="359"/>
      <c r="H124" s="359"/>
      <c r="I124" s="359"/>
      <c r="J124" s="359"/>
      <c r="K124" s="359"/>
      <c r="L124" s="359"/>
      <c r="M124" s="359"/>
      <c r="N124" s="359"/>
      <c r="O124" s="359"/>
      <c r="P124" s="359"/>
      <c r="Q124" s="359"/>
      <c r="R124" s="359"/>
      <c r="S124" s="359"/>
      <c r="T124" s="359"/>
      <c r="U124" s="359"/>
      <c r="V124" s="359"/>
      <c r="W124" s="359"/>
      <c r="X124" s="359"/>
      <c r="Y124" s="359"/>
      <c r="Z124" s="359"/>
      <c r="AA124" s="562"/>
      <c r="AB124" s="359"/>
      <c r="AC124" s="359"/>
      <c r="AD124" s="359"/>
      <c r="AE124" s="359"/>
      <c r="AF124" s="359"/>
      <c r="AG124" s="359"/>
      <c r="AH124" s="359"/>
      <c r="AI124" s="359"/>
      <c r="AJ124" s="359"/>
      <c r="AK124" s="359"/>
    </row>
    <row r="125" spans="1:37" s="145" customFormat="1" ht="78.75">
      <c r="A125" s="13"/>
      <c r="B125" s="486" t="s">
        <v>637</v>
      </c>
      <c r="C125" s="486" t="s">
        <v>1138</v>
      </c>
      <c r="D125" s="487" t="s">
        <v>991</v>
      </c>
      <c r="E125" s="487" t="s">
        <v>992</v>
      </c>
      <c r="F125" s="487" t="s">
        <v>1815</v>
      </c>
      <c r="G125" s="487" t="s">
        <v>1144</v>
      </c>
      <c r="H125" s="488" t="s">
        <v>1145</v>
      </c>
      <c r="I125" s="488" t="s">
        <v>1816</v>
      </c>
      <c r="J125" s="487" t="s">
        <v>1148</v>
      </c>
      <c r="K125" s="487" t="s">
        <v>1149</v>
      </c>
      <c r="L125" s="487" t="s">
        <v>1817</v>
      </c>
      <c r="M125" s="487" t="s">
        <v>1139</v>
      </c>
      <c r="N125" s="487" t="s">
        <v>1140</v>
      </c>
      <c r="O125" s="487" t="s">
        <v>1818</v>
      </c>
      <c r="P125" s="487" t="s">
        <v>1154</v>
      </c>
      <c r="Q125" s="487" t="s">
        <v>1155</v>
      </c>
      <c r="R125" s="487" t="s">
        <v>1819</v>
      </c>
      <c r="S125" s="487" t="s">
        <v>1150</v>
      </c>
      <c r="T125" s="487" t="s">
        <v>1151</v>
      </c>
      <c r="U125" s="487" t="s">
        <v>1820</v>
      </c>
      <c r="AA125" s="558"/>
    </row>
    <row r="126" spans="1:37" s="145" customFormat="1">
      <c r="A126" s="13" t="str">
        <f>INPUTS!C17</f>
        <v>Cows (improved)</v>
      </c>
      <c r="B126" s="1076">
        <f>(B108*365+C108*365+D108*365+E108*365+'Livestock parameters'!T2*F108+G108*'Livestock parameters'!U2)*INPUTS!D17</f>
        <v>25375.755827560133</v>
      </c>
      <c r="C126" s="489">
        <f>(H108*365+I108*365+J108*365+K108*365+'Livestock parameters'!T2*L108+M108*'Livestock parameters'!U2)*INPUTS!D17</f>
        <v>286.49</v>
      </c>
      <c r="D126" s="490">
        <f>B126*Feed!$G$3</f>
        <v>15434.021352653013</v>
      </c>
      <c r="E126" s="490">
        <f>B126*Feed!$P$3</f>
        <v>9941.7344749071199</v>
      </c>
      <c r="F126" s="490">
        <f>B126*Feed!$Y$3</f>
        <v>0</v>
      </c>
      <c r="G126" s="490">
        <f>IFERROR(D126/Feed!L10,0)</f>
        <v>3750.4611166981344</v>
      </c>
      <c r="H126" s="490">
        <f>IFERROR(E126/Feed!U10,0)</f>
        <v>2415.8375661614105</v>
      </c>
      <c r="I126" s="490">
        <f>IFERROR(F126/Feed!AD10,0)</f>
        <v>0</v>
      </c>
      <c r="J126" s="490">
        <f t="shared" ref="J126:J139" si="97">IFERROR(G126*$L$11/100, 0)</f>
        <v>2138.3629102966083</v>
      </c>
      <c r="K126" s="490">
        <f t="shared" ref="K126:K139" si="98">IFERROR(H126*$U$11/100, 0)</f>
        <v>1377.4139467225896</v>
      </c>
      <c r="L126" s="490">
        <f>IFERROR(I126*$AD$11/100, 0)</f>
        <v>0</v>
      </c>
      <c r="M126" s="490">
        <f>IFERROR(C126*Feed!$G$3, 0)</f>
        <v>174.24871232876714</v>
      </c>
      <c r="N126" s="490">
        <f>IFERROR(C126*Feed!$P$3, 0)</f>
        <v>112.24128767123288</v>
      </c>
      <c r="O126" s="490">
        <f>IFERROR(C126*Feed!$Y$3, 0)</f>
        <v>0</v>
      </c>
      <c r="P126" s="490">
        <f>IFERROR(M126/(Feed!L8/100),0)</f>
        <v>5261.2279307223907</v>
      </c>
      <c r="Q126" s="490">
        <f>IFERROR(N126/(Feed!U8/100),0)</f>
        <v>3388.9891625824407</v>
      </c>
      <c r="R126" s="490">
        <f>IFERROR(O126/(Feed!AD8/100),0)</f>
        <v>0</v>
      </c>
      <c r="S126" s="490">
        <f t="shared" ref="S126:S139" si="99">IFERROR(P126*$L$11/100, 0)</f>
        <v>2999.7417169806781</v>
      </c>
      <c r="T126" s="490">
        <f t="shared" ref="T126:T139" si="100">IFERROR(Q126*$U$11/100, 0)</f>
        <v>1932.2660609380043</v>
      </c>
      <c r="U126" s="490">
        <f>IFERROR(R126*$AD$11/100, 0)</f>
        <v>0</v>
      </c>
      <c r="AA126" s="558"/>
    </row>
    <row r="127" spans="1:37" s="145" customFormat="1">
      <c r="A127" s="13" t="str">
        <f>INPUTS!C18</f>
        <v>Steers/heifers (improved)</v>
      </c>
      <c r="B127" s="1076">
        <f>(B109*365+C109*365+D109*365+E109*365+'Livestock parameters'!T3*F109+G109*'Livestock parameters'!U3)*INPUTS!D18</f>
        <v>20625.117929225431</v>
      </c>
      <c r="C127" s="489">
        <f>(H109*365+I109*365+J109*365+K109*365+'Livestock parameters'!T3*L109+M109*'Livestock parameters'!U3)*INPUTS!D18</f>
        <v>168.25</v>
      </c>
      <c r="D127" s="490">
        <f>B127*Feed!$G$3</f>
        <v>12544.59227476177</v>
      </c>
      <c r="E127" s="490">
        <f>B127*Feed!$P$3</f>
        <v>8080.5256544636622</v>
      </c>
      <c r="F127" s="490">
        <f>B127*Feed!$Y$3</f>
        <v>0</v>
      </c>
      <c r="G127" s="490">
        <f>IFERROR(D127/Feed!L17,0)</f>
        <v>3048.3309875192413</v>
      </c>
      <c r="H127" s="490">
        <f>IFERROR(E127/Feed!U17,0)</f>
        <v>1963.5645550236554</v>
      </c>
      <c r="I127" s="490">
        <f>IFERROR(F127/Feed!AD17,0)</f>
        <v>0</v>
      </c>
      <c r="J127" s="490">
        <f t="shared" si="97"/>
        <v>1738.0363958439705</v>
      </c>
      <c r="K127" s="490">
        <f t="shared" si="98"/>
        <v>1119.5459666922873</v>
      </c>
      <c r="L127" s="490">
        <f t="shared" ref="L127:L139" si="101">IFERROR(I127*$AD$11/100, 0)</f>
        <v>0</v>
      </c>
      <c r="M127" s="490">
        <f>IFERROR(C127*Feed!$G$3, 0)</f>
        <v>102.33287671232878</v>
      </c>
      <c r="N127" s="490">
        <f>IFERROR(C127*Feed!$P$3, 0)</f>
        <v>65.917123287671231</v>
      </c>
      <c r="O127" s="490">
        <f>IFERROR(C127*Feed!$Y$3, 0)</f>
        <v>0</v>
      </c>
      <c r="P127" s="490">
        <f>IFERROR(M127/(Feed!L15/100),0)</f>
        <v>3089.8167452408193</v>
      </c>
      <c r="Q127" s="490">
        <f>IFERROR(N127/(Feed!U15/100),0)</f>
        <v>1990.287362925392</v>
      </c>
      <c r="R127" s="490">
        <f>IFERROR(O127/(Feed!AD15/100),0)</f>
        <v>0</v>
      </c>
      <c r="S127" s="490">
        <f t="shared" si="99"/>
        <v>1761.6899154665052</v>
      </c>
      <c r="T127" s="490">
        <f t="shared" si="100"/>
        <v>1134.7822428455415</v>
      </c>
      <c r="U127" s="490">
        <f t="shared" ref="U127:U139" si="102">IFERROR(R127*$AD$11/100, 0)</f>
        <v>0</v>
      </c>
      <c r="AA127" s="558"/>
    </row>
    <row r="128" spans="1:37" s="145" customFormat="1">
      <c r="A128" s="13">
        <f>INPUTS!C19</f>
        <v>0</v>
      </c>
      <c r="B128" s="1076">
        <f>(B110*365+C110*365+D110*365+E110*365+'Livestock parameters'!T4*F110+G110*'Livestock parameters'!U4)*INPUTS!D19</f>
        <v>0</v>
      </c>
      <c r="C128" s="489">
        <f>(H110*365+I110*365+J110*365+K110*365+'Livestock parameters'!T4*L110+M110*'Livestock parameters'!U4)*INPUTS!D19</f>
        <v>0</v>
      </c>
      <c r="D128" s="490">
        <f>B128*Feed!$G$3</f>
        <v>0</v>
      </c>
      <c r="E128" s="490">
        <f>B128*Feed!$P$3</f>
        <v>0</v>
      </c>
      <c r="F128" s="490">
        <f>B128*Feed!$Y$3</f>
        <v>0</v>
      </c>
      <c r="G128" s="490">
        <f>IFERROR(D128/Feed!L24,0)</f>
        <v>0</v>
      </c>
      <c r="H128" s="490">
        <f>IFERROR(E128/Feed!U24,0)</f>
        <v>0</v>
      </c>
      <c r="I128" s="490">
        <f>IFERROR(F128/Feed!AD24,0)</f>
        <v>0</v>
      </c>
      <c r="J128" s="490">
        <f t="shared" si="97"/>
        <v>0</v>
      </c>
      <c r="K128" s="490">
        <f t="shared" si="98"/>
        <v>0</v>
      </c>
      <c r="L128" s="490">
        <f t="shared" si="101"/>
        <v>0</v>
      </c>
      <c r="M128" s="490">
        <f>IFERROR(C128*Feed!$G$3, 0)</f>
        <v>0</v>
      </c>
      <c r="N128" s="490">
        <f>IFERROR(C128*Feed!$P$3, 0)</f>
        <v>0</v>
      </c>
      <c r="O128" s="490">
        <f>IFERROR(C128*Feed!$Y$3, 0)</f>
        <v>0</v>
      </c>
      <c r="P128" s="490">
        <f>IFERROR(M128/(Feed!L22/100),0)</f>
        <v>0</v>
      </c>
      <c r="Q128" s="490">
        <f>IFERROR(N128/(Feed!U22/100),0)</f>
        <v>0</v>
      </c>
      <c r="R128" s="490">
        <f>IFERROR(O128/(Feed!AD22/100),0)</f>
        <v>0</v>
      </c>
      <c r="S128" s="490">
        <f t="shared" si="99"/>
        <v>0</v>
      </c>
      <c r="T128" s="490">
        <f t="shared" si="100"/>
        <v>0</v>
      </c>
      <c r="U128" s="490">
        <f t="shared" si="102"/>
        <v>0</v>
      </c>
      <c r="AA128" s="558"/>
    </row>
    <row r="129" spans="1:33" s="145" customFormat="1">
      <c r="A129" s="13">
        <f>INPUTS!C20</f>
        <v>0</v>
      </c>
      <c r="B129" s="1076">
        <f>(B111*365+C111*365+D111*365+E111*365+'Livestock parameters'!T5*F111+G111*'Livestock parameters'!U5)*INPUTS!D20</f>
        <v>0</v>
      </c>
      <c r="C129" s="489">
        <f>(H111*365+I111*365+J111*365+K111*365+'Livestock parameters'!T5*L111+M111*'Livestock parameters'!U5)*INPUTS!D20</f>
        <v>0</v>
      </c>
      <c r="D129" s="490">
        <f>B129*Feed!$G$3</f>
        <v>0</v>
      </c>
      <c r="E129" s="490">
        <f>B129*Feed!$P$3</f>
        <v>0</v>
      </c>
      <c r="F129" s="490">
        <f>B129*Feed!$Y$3</f>
        <v>0</v>
      </c>
      <c r="G129" s="490">
        <f>IFERROR(D129/Feed!L31,0)</f>
        <v>0</v>
      </c>
      <c r="H129" s="490">
        <f>IFERROR(E129/Feed!U31,0)</f>
        <v>0</v>
      </c>
      <c r="I129" s="490">
        <f>IFERROR(F129/Feed!AD31,0)</f>
        <v>0</v>
      </c>
      <c r="J129" s="490">
        <f t="shared" si="97"/>
        <v>0</v>
      </c>
      <c r="K129" s="490">
        <f t="shared" si="98"/>
        <v>0</v>
      </c>
      <c r="L129" s="490">
        <f t="shared" si="101"/>
        <v>0</v>
      </c>
      <c r="M129" s="490">
        <f>IFERROR(C129*Feed!$G$3, 0)</f>
        <v>0</v>
      </c>
      <c r="N129" s="490">
        <f>IFERROR(C129*Feed!$P$3, 0)</f>
        <v>0</v>
      </c>
      <c r="O129" s="490">
        <f>IFERROR(C129*Feed!$Y$3, 0)</f>
        <v>0</v>
      </c>
      <c r="P129" s="490">
        <f>IFERROR(M129/(Feed!L29/100),0)</f>
        <v>0</v>
      </c>
      <c r="Q129" s="490">
        <f>IFERROR(N129/(Feed!U29/100),0)</f>
        <v>0</v>
      </c>
      <c r="R129" s="490">
        <f>IFERROR(O129/(Feed!AD29/100),0)</f>
        <v>0</v>
      </c>
      <c r="S129" s="490">
        <f t="shared" si="99"/>
        <v>0</v>
      </c>
      <c r="T129" s="490">
        <f t="shared" si="100"/>
        <v>0</v>
      </c>
      <c r="U129" s="490">
        <f t="shared" si="102"/>
        <v>0</v>
      </c>
      <c r="AA129" s="558"/>
    </row>
    <row r="130" spans="1:33" s="145" customFormat="1">
      <c r="A130" s="13">
        <f>INPUTS!C21</f>
        <v>0</v>
      </c>
      <c r="B130" s="1076">
        <f>(B112*365+C112*365+D112*365+E112*365+'Livestock parameters'!T6*F112+G112*'Livestock parameters'!U6)*INPUTS!D21</f>
        <v>0</v>
      </c>
      <c r="C130" s="489">
        <f>(H112*365+I112*365+J112*365+K112*365+'Livestock parameters'!T6*L112+M112*'Livestock parameters'!U6)*INPUTS!D21</f>
        <v>0</v>
      </c>
      <c r="D130" s="490">
        <f>B130*Feed!$G$3</f>
        <v>0</v>
      </c>
      <c r="E130" s="490">
        <f>B130*Feed!$P$3</f>
        <v>0</v>
      </c>
      <c r="F130" s="490">
        <f>B130*Feed!$Y$3</f>
        <v>0</v>
      </c>
      <c r="G130" s="490">
        <f>IFERROR(D130/Feed!L38,0)</f>
        <v>0</v>
      </c>
      <c r="H130" s="490">
        <f>IFERROR(E130/Feed!U38,0)</f>
        <v>0</v>
      </c>
      <c r="I130" s="490">
        <f>IFERROR(F130/Feed!AD38,0)</f>
        <v>0</v>
      </c>
      <c r="J130" s="490">
        <f t="shared" si="97"/>
        <v>0</v>
      </c>
      <c r="K130" s="490">
        <f t="shared" si="98"/>
        <v>0</v>
      </c>
      <c r="L130" s="490">
        <f t="shared" si="101"/>
        <v>0</v>
      </c>
      <c r="M130" s="490">
        <f>IFERROR(C130*Feed!$G$3, 0)</f>
        <v>0</v>
      </c>
      <c r="N130" s="490">
        <f>IFERROR(C130*Feed!$P$3, 0)</f>
        <v>0</v>
      </c>
      <c r="O130" s="490">
        <f>IFERROR(C130*Feed!$Y$3, 0)</f>
        <v>0</v>
      </c>
      <c r="P130" s="490">
        <f>IFERROR(M130/(Feed!L36/100),0)</f>
        <v>0</v>
      </c>
      <c r="Q130" s="490">
        <f>IFERROR(N130/(Feed!U36/100),0)</f>
        <v>0</v>
      </c>
      <c r="R130" s="490">
        <f>IFERROR(O130/(Feed!AD36/100),0)</f>
        <v>0</v>
      </c>
      <c r="S130" s="490">
        <f t="shared" si="99"/>
        <v>0</v>
      </c>
      <c r="T130" s="490">
        <f t="shared" si="100"/>
        <v>0</v>
      </c>
      <c r="U130" s="490">
        <f t="shared" si="102"/>
        <v>0</v>
      </c>
      <c r="AA130" s="558"/>
    </row>
    <row r="131" spans="1:33" s="145" customFormat="1">
      <c r="A131" s="13">
        <f>INPUTS!C22</f>
        <v>0</v>
      </c>
      <c r="B131" s="1076">
        <f>(B113*365+C113*365+D113*365+E113*365+'Livestock parameters'!T7*F113+G113*'Livestock parameters'!U7)*INPUTS!D22</f>
        <v>0</v>
      </c>
      <c r="C131" s="489">
        <f>(H113*365+I113*365+J113*365+K113*365+'Livestock parameters'!T7*L113+M113*'Livestock parameters'!U7)*INPUTS!D22</f>
        <v>0</v>
      </c>
      <c r="D131" s="490">
        <f>B131*Feed!$G$3</f>
        <v>0</v>
      </c>
      <c r="E131" s="490">
        <f>B131*Feed!$P$3</f>
        <v>0</v>
      </c>
      <c r="F131" s="490">
        <f>B131*Feed!$Y$3</f>
        <v>0</v>
      </c>
      <c r="G131" s="490">
        <f>IFERROR(D131/Feed!L45,0)</f>
        <v>0</v>
      </c>
      <c r="H131" s="490">
        <f>IFERROR(E131/Feed!U45,0)</f>
        <v>0</v>
      </c>
      <c r="I131" s="490">
        <f>IFERROR(F131/Feed!AD45,0)</f>
        <v>0</v>
      </c>
      <c r="J131" s="490">
        <f t="shared" si="97"/>
        <v>0</v>
      </c>
      <c r="K131" s="490">
        <f t="shared" si="98"/>
        <v>0</v>
      </c>
      <c r="L131" s="490">
        <f t="shared" si="101"/>
        <v>0</v>
      </c>
      <c r="M131" s="490">
        <f>IFERROR(C131*Feed!$G$3, 0)</f>
        <v>0</v>
      </c>
      <c r="N131" s="490">
        <f>IFERROR(C131*Feed!$P$3, 0)</f>
        <v>0</v>
      </c>
      <c r="O131" s="490">
        <f>IFERROR(C131*Feed!$Y$3, 0)</f>
        <v>0</v>
      </c>
      <c r="P131" s="490">
        <f>IFERROR(M131/(Feed!L43/100),0)</f>
        <v>0</v>
      </c>
      <c r="Q131" s="490">
        <f>IFERROR(N131/(Feed!U43/100),0)</f>
        <v>0</v>
      </c>
      <c r="R131" s="490">
        <f>IFERROR(O131/(Feed!AD43/100),0)</f>
        <v>0</v>
      </c>
      <c r="S131" s="490">
        <f t="shared" si="99"/>
        <v>0</v>
      </c>
      <c r="T131" s="490">
        <f t="shared" si="100"/>
        <v>0</v>
      </c>
      <c r="U131" s="490">
        <f t="shared" si="102"/>
        <v>0</v>
      </c>
      <c r="AA131" s="558"/>
    </row>
    <row r="132" spans="1:33" s="145" customFormat="1">
      <c r="A132" s="13">
        <f>INPUTS!C23</f>
        <v>0</v>
      </c>
      <c r="B132" s="1076">
        <f>(B114*365+C114*365+D114*365+E114*365+'Livestock parameters'!T8*F114+G114*'Livestock parameters'!U8)*INPUTS!D23</f>
        <v>0</v>
      </c>
      <c r="C132" s="489">
        <f>(H114*365+I114*365+J114*365+K114*365+'Livestock parameters'!T8*L114+M114*'Livestock parameters'!U8)*INPUTS!D23</f>
        <v>0</v>
      </c>
      <c r="D132" s="490">
        <f>B132*Feed!$G$3</f>
        <v>0</v>
      </c>
      <c r="E132" s="490">
        <f>B132*Feed!$P$3</f>
        <v>0</v>
      </c>
      <c r="F132" s="490">
        <f>B132*Feed!$Y$3</f>
        <v>0</v>
      </c>
      <c r="G132" s="490">
        <f>IFERROR(D132/Feed!L52,0)</f>
        <v>0</v>
      </c>
      <c r="H132" s="490">
        <f>IFERROR(E132/Feed!U52,0)</f>
        <v>0</v>
      </c>
      <c r="I132" s="490">
        <f>IFERROR(F132/Feed!AD52,0)</f>
        <v>0</v>
      </c>
      <c r="J132" s="490">
        <f t="shared" si="97"/>
        <v>0</v>
      </c>
      <c r="K132" s="490">
        <f t="shared" si="98"/>
        <v>0</v>
      </c>
      <c r="L132" s="490">
        <f t="shared" si="101"/>
        <v>0</v>
      </c>
      <c r="M132" s="490">
        <f>IFERROR(C132*Feed!$G$3, 0)</f>
        <v>0</v>
      </c>
      <c r="N132" s="490">
        <f>IFERROR(C132*Feed!$P$3, 0)</f>
        <v>0</v>
      </c>
      <c r="O132" s="490">
        <f>IFERROR(C132*Feed!$Y$3, 0)</f>
        <v>0</v>
      </c>
      <c r="P132" s="490">
        <f>IFERROR(M132/(Feed!L50/100),0)</f>
        <v>0</v>
      </c>
      <c r="Q132" s="490">
        <f>IFERROR(N132/(Feed!U50/100),0)</f>
        <v>0</v>
      </c>
      <c r="R132" s="490">
        <f>IFERROR(O132/(Feed!AD50/100),0)</f>
        <v>0</v>
      </c>
      <c r="S132" s="490">
        <f t="shared" si="99"/>
        <v>0</v>
      </c>
      <c r="T132" s="490">
        <f t="shared" si="100"/>
        <v>0</v>
      </c>
      <c r="U132" s="490">
        <f t="shared" si="102"/>
        <v>0</v>
      </c>
      <c r="AA132" s="558"/>
    </row>
    <row r="133" spans="1:33" s="145" customFormat="1">
      <c r="A133" s="13">
        <f>INPUTS!C24</f>
        <v>0</v>
      </c>
      <c r="B133" s="1076">
        <f>(B115*365+C115*365+D115*365+E115*365+'Livestock parameters'!T9*F115+G115*'Livestock parameters'!U9)*INPUTS!D24</f>
        <v>0</v>
      </c>
      <c r="C133" s="489">
        <f>(H115*365+I115*365+J115*365+K115*365+'Livestock parameters'!T9*L115+M115*'Livestock parameters'!U9)*INPUTS!D24</f>
        <v>0</v>
      </c>
      <c r="D133" s="490">
        <f>B133*Feed!$G$3</f>
        <v>0</v>
      </c>
      <c r="E133" s="490">
        <f>B133*Feed!$P$3</f>
        <v>0</v>
      </c>
      <c r="F133" s="490">
        <f>B133*Feed!$Y$3</f>
        <v>0</v>
      </c>
      <c r="G133" s="490">
        <f>IFERROR(D133/Feed!L57,0)</f>
        <v>0</v>
      </c>
      <c r="H133" s="490">
        <f>IFERROR(E133/Feed!U57,0)</f>
        <v>0</v>
      </c>
      <c r="I133" s="490">
        <f>IFERROR(F133/Feed!AD57,0)</f>
        <v>0</v>
      </c>
      <c r="J133" s="490">
        <f t="shared" si="97"/>
        <v>0</v>
      </c>
      <c r="K133" s="490">
        <f t="shared" si="98"/>
        <v>0</v>
      </c>
      <c r="L133" s="490">
        <f t="shared" si="101"/>
        <v>0</v>
      </c>
      <c r="M133" s="490">
        <f>IFERROR(C133*Feed!$G$3, 0)</f>
        <v>0</v>
      </c>
      <c r="N133" s="490">
        <f>IFERROR(C133*Feed!$P$3, 0)</f>
        <v>0</v>
      </c>
      <c r="O133" s="490">
        <f>IFERROR(C133*Feed!$Y$3, 0)</f>
        <v>0</v>
      </c>
      <c r="P133" s="490">
        <f>IFERROR(M133/(Feed!L57/100),0)</f>
        <v>0</v>
      </c>
      <c r="Q133" s="490">
        <f>IFERROR(N133/(Feed!U57/100),0)</f>
        <v>0</v>
      </c>
      <c r="R133" s="490">
        <f>IFERROR(O133/(Feed!AD57/100),0)</f>
        <v>0</v>
      </c>
      <c r="S133" s="490">
        <f t="shared" si="99"/>
        <v>0</v>
      </c>
      <c r="T133" s="490">
        <f t="shared" si="100"/>
        <v>0</v>
      </c>
      <c r="U133" s="490">
        <f t="shared" si="102"/>
        <v>0</v>
      </c>
      <c r="AA133" s="558"/>
    </row>
    <row r="134" spans="1:33" s="145" customFormat="1">
      <c r="A134" s="13">
        <f>INPUTS!C25</f>
        <v>0</v>
      </c>
      <c r="B134" s="1076">
        <f>(B116*365+C116*365+D116*365+E116*365+'Livestock parameters'!T10*F116+G116*'Livestock parameters'!U10)*INPUTS!D25</f>
        <v>0</v>
      </c>
      <c r="C134" s="489">
        <f>(H116*365+I116*365+J116*365+K116*365+'Livestock parameters'!T10*L116+M116*'Livestock parameters'!U10)*INPUTS!D25</f>
        <v>0</v>
      </c>
      <c r="D134" s="490">
        <f>B134*Feed!$G$3</f>
        <v>0</v>
      </c>
      <c r="E134" s="490">
        <f>B134*Feed!$P$3</f>
        <v>0</v>
      </c>
      <c r="F134" s="490">
        <f>B134*Feed!$Y$3</f>
        <v>0</v>
      </c>
      <c r="G134" s="490">
        <f>IFERROR(D134/Feed!L64,0)</f>
        <v>0</v>
      </c>
      <c r="H134" s="490">
        <f>IFERROR(E134/Feed!U64,0)</f>
        <v>0</v>
      </c>
      <c r="I134" s="490">
        <f>IFERROR(F134/Feed!AD64,0)</f>
        <v>0</v>
      </c>
      <c r="J134" s="490">
        <f t="shared" si="97"/>
        <v>0</v>
      </c>
      <c r="K134" s="490">
        <f t="shared" si="98"/>
        <v>0</v>
      </c>
      <c r="L134" s="490">
        <f t="shared" si="101"/>
        <v>0</v>
      </c>
      <c r="M134" s="490">
        <f>IFERROR(C134*Feed!$G$3, 0)</f>
        <v>0</v>
      </c>
      <c r="N134" s="490">
        <f>IFERROR(C134*Feed!$P$3, 0)</f>
        <v>0</v>
      </c>
      <c r="O134" s="490">
        <f>IFERROR(C134*Feed!$Y$3, 0)</f>
        <v>0</v>
      </c>
      <c r="P134" s="490">
        <f>IFERROR(M134/(Feed!L64/100),0)</f>
        <v>0</v>
      </c>
      <c r="Q134" s="490">
        <f>IFERROR(N134/(Feed!U64/100),0)</f>
        <v>0</v>
      </c>
      <c r="R134" s="490">
        <f>IFERROR(O134/(Feed!AD64/100),0)</f>
        <v>0</v>
      </c>
      <c r="S134" s="490">
        <f t="shared" si="99"/>
        <v>0</v>
      </c>
      <c r="T134" s="490">
        <f t="shared" si="100"/>
        <v>0</v>
      </c>
      <c r="U134" s="490">
        <f t="shared" si="102"/>
        <v>0</v>
      </c>
      <c r="AA134" s="558"/>
    </row>
    <row r="135" spans="1:33" s="145" customFormat="1">
      <c r="A135" s="13">
        <f>INPUTS!C26</f>
        <v>0</v>
      </c>
      <c r="B135" s="1076">
        <f>(B117*365+C117*365+D117*365+E117*365+'Livestock parameters'!T11*F117+G117*'Livestock parameters'!U11)*INPUTS!D26</f>
        <v>0</v>
      </c>
      <c r="C135" s="489">
        <f>(H117*365+I117*365+J117*365+K117*365+'Livestock parameters'!T11*L117+M117*'Livestock parameters'!U11)*INPUTS!D26</f>
        <v>0</v>
      </c>
      <c r="D135" s="490">
        <f>B135*Feed!$G$3</f>
        <v>0</v>
      </c>
      <c r="E135" s="490">
        <f>B135*Feed!$P$3</f>
        <v>0</v>
      </c>
      <c r="F135" s="490">
        <f>B135*Feed!$Y$3</f>
        <v>0</v>
      </c>
      <c r="G135" s="490">
        <f>IFERROR(D135/Feed!L71,0)</f>
        <v>0</v>
      </c>
      <c r="H135" s="490">
        <f>IFERROR(E135/Feed!U71,0)</f>
        <v>0</v>
      </c>
      <c r="I135" s="490">
        <f>IFERROR(F135/Feed!AD71,0)</f>
        <v>0</v>
      </c>
      <c r="J135" s="490">
        <f t="shared" si="97"/>
        <v>0</v>
      </c>
      <c r="K135" s="490">
        <f t="shared" si="98"/>
        <v>0</v>
      </c>
      <c r="L135" s="490">
        <f t="shared" si="101"/>
        <v>0</v>
      </c>
      <c r="M135" s="490">
        <f>IFERROR(C135*Feed!$G$3, 0)</f>
        <v>0</v>
      </c>
      <c r="N135" s="490">
        <f>IFERROR(C135*Feed!$P$3, 0)</f>
        <v>0</v>
      </c>
      <c r="O135" s="490">
        <f>IFERROR(C135*Feed!$Y$3, 0)</f>
        <v>0</v>
      </c>
      <c r="P135" s="490">
        <f>IFERROR(M135/(Feed!L71/100),0)</f>
        <v>0</v>
      </c>
      <c r="Q135" s="490">
        <f>IFERROR(N135/(Feed!U71/100),0)</f>
        <v>0</v>
      </c>
      <c r="R135" s="490">
        <f>IFERROR(O135/(Feed!AD71/100),0)</f>
        <v>0</v>
      </c>
      <c r="S135" s="490">
        <f t="shared" si="99"/>
        <v>0</v>
      </c>
      <c r="T135" s="490">
        <f t="shared" si="100"/>
        <v>0</v>
      </c>
      <c r="U135" s="490">
        <f t="shared" si="102"/>
        <v>0</v>
      </c>
      <c r="AA135" s="558"/>
    </row>
    <row r="136" spans="1:33" s="145" customFormat="1">
      <c r="A136" s="13">
        <f>INPUTS!C27</f>
        <v>0</v>
      </c>
      <c r="B136" s="1076">
        <f>(B118*365+C118*365+D118*365+E118*365+'Livestock parameters'!T12*F118+G118*'Livestock parameters'!U12)*INPUTS!D27</f>
        <v>0</v>
      </c>
      <c r="C136" s="489">
        <f>(H118*365+I118*365+J118*365+K118*365+'Livestock parameters'!T12*L118+M118*'Livestock parameters'!U12)*INPUTS!D27</f>
        <v>0</v>
      </c>
      <c r="D136" s="490">
        <f>B136*Feed!$G$3</f>
        <v>0</v>
      </c>
      <c r="E136" s="490">
        <f>B136*Feed!$P$3</f>
        <v>0</v>
      </c>
      <c r="F136" s="490">
        <f>B136*Feed!$Y$3</f>
        <v>0</v>
      </c>
      <c r="G136" s="490">
        <f>IFERROR(D136/Feed!L78,0)</f>
        <v>0</v>
      </c>
      <c r="H136" s="490">
        <f>IFERROR(E136/Feed!U78,0)</f>
        <v>0</v>
      </c>
      <c r="I136" s="490">
        <f>IFERROR(F136/Feed!AD78,0)</f>
        <v>0</v>
      </c>
      <c r="J136" s="490">
        <f t="shared" si="97"/>
        <v>0</v>
      </c>
      <c r="K136" s="490">
        <f t="shared" si="98"/>
        <v>0</v>
      </c>
      <c r="L136" s="490">
        <f t="shared" si="101"/>
        <v>0</v>
      </c>
      <c r="M136" s="490">
        <f>IFERROR(C136*Feed!$G$3, 0)</f>
        <v>0</v>
      </c>
      <c r="N136" s="490">
        <f>IFERROR(C136*Feed!$P$3, 0)</f>
        <v>0</v>
      </c>
      <c r="O136" s="490">
        <f>IFERROR(C136*Feed!$Y$3, 0)</f>
        <v>0</v>
      </c>
      <c r="P136" s="490">
        <f>IFERROR(M136/(Feed!L78/100),0)</f>
        <v>0</v>
      </c>
      <c r="Q136" s="490">
        <f>IFERROR(N136/(Feed!U78/100),0)</f>
        <v>0</v>
      </c>
      <c r="R136" s="490">
        <f>IFERROR(O136/(Feed!AD78/100),0)</f>
        <v>0</v>
      </c>
      <c r="S136" s="490">
        <f t="shared" si="99"/>
        <v>0</v>
      </c>
      <c r="T136" s="490">
        <f t="shared" si="100"/>
        <v>0</v>
      </c>
      <c r="U136" s="490">
        <f t="shared" si="102"/>
        <v>0</v>
      </c>
      <c r="AA136" s="558"/>
    </row>
    <row r="137" spans="1:33" s="145" customFormat="1">
      <c r="A137" s="13">
        <f>INPUTS!C28</f>
        <v>0</v>
      </c>
      <c r="B137" s="1076">
        <f>(B119*365+C119*365+D119*365+E119*365+'Livestock parameters'!T13*F119+G119*'Livestock parameters'!U13)*INPUTS!D28</f>
        <v>0</v>
      </c>
      <c r="C137" s="489">
        <f>(H119*365+I119*365+J119*365+K119*365+'Livestock parameters'!T13*L119+M119*'Livestock parameters'!U13)*INPUTS!D28</f>
        <v>0</v>
      </c>
      <c r="D137" s="490">
        <f>B137*Feed!$G$3</f>
        <v>0</v>
      </c>
      <c r="E137" s="490">
        <f>B137*Feed!$P$3</f>
        <v>0</v>
      </c>
      <c r="F137" s="490">
        <f>B137*Feed!$Y$3</f>
        <v>0</v>
      </c>
      <c r="G137" s="490">
        <f>IFERROR(D137/Feed!L85,0)</f>
        <v>0</v>
      </c>
      <c r="H137" s="490">
        <f>IFERROR(E137/Feed!U85,0)</f>
        <v>0</v>
      </c>
      <c r="I137" s="490">
        <f>IFERROR(F137/Feed!AD85,0)</f>
        <v>0</v>
      </c>
      <c r="J137" s="490">
        <f t="shared" si="97"/>
        <v>0</v>
      </c>
      <c r="K137" s="490">
        <f t="shared" si="98"/>
        <v>0</v>
      </c>
      <c r="L137" s="490">
        <f t="shared" si="101"/>
        <v>0</v>
      </c>
      <c r="M137" s="490">
        <f>IFERROR(C137*Feed!$G$3, 0)</f>
        <v>0</v>
      </c>
      <c r="N137" s="490">
        <f>IFERROR(C137*Feed!$P$3, 0)</f>
        <v>0</v>
      </c>
      <c r="O137" s="490">
        <f>IFERROR(C137*Feed!$Y$3, 0)</f>
        <v>0</v>
      </c>
      <c r="P137" s="490">
        <f>IFERROR(M137/(Feed!L85/100),0)</f>
        <v>0</v>
      </c>
      <c r="Q137" s="490">
        <f>IFERROR(N137/(Feed!U85/100),0)</f>
        <v>0</v>
      </c>
      <c r="R137" s="490">
        <f>IFERROR(O137/(Feed!AD85/100),0)</f>
        <v>0</v>
      </c>
      <c r="S137" s="490">
        <f t="shared" si="99"/>
        <v>0</v>
      </c>
      <c r="T137" s="490">
        <f t="shared" si="100"/>
        <v>0</v>
      </c>
      <c r="U137" s="490">
        <f t="shared" si="102"/>
        <v>0</v>
      </c>
      <c r="AA137" s="558"/>
    </row>
    <row r="138" spans="1:33" s="145" customFormat="1">
      <c r="A138" s="13">
        <f>INPUTS!C29</f>
        <v>0</v>
      </c>
      <c r="B138" s="1076">
        <f>(B120*365+C120*365+D120*365+E120*365+'Livestock parameters'!T14*F120+G120*'Livestock parameters'!U14)*INPUTS!D29</f>
        <v>0</v>
      </c>
      <c r="C138" s="489">
        <f>(H120*365+I120*365+J120*365+K120*365+'Livestock parameters'!T14*L120+M120*'Livestock parameters'!U14)*INPUTS!D29</f>
        <v>0</v>
      </c>
      <c r="D138" s="490">
        <f>B138*Feed!$G$3</f>
        <v>0</v>
      </c>
      <c r="E138" s="490">
        <f>B138*Feed!$P$3</f>
        <v>0</v>
      </c>
      <c r="F138" s="490">
        <f>B138*Feed!$Y$3</f>
        <v>0</v>
      </c>
      <c r="G138" s="490">
        <f>IFERROR(D138/Feed!L92,0)</f>
        <v>0</v>
      </c>
      <c r="H138" s="490">
        <f>IFERROR(E138/Feed!U92,0)</f>
        <v>0</v>
      </c>
      <c r="I138" s="490">
        <f>IFERROR(F138/Feed!AD92,0)</f>
        <v>0</v>
      </c>
      <c r="J138" s="490">
        <f t="shared" si="97"/>
        <v>0</v>
      </c>
      <c r="K138" s="490">
        <f t="shared" si="98"/>
        <v>0</v>
      </c>
      <c r="L138" s="490">
        <f t="shared" si="101"/>
        <v>0</v>
      </c>
      <c r="M138" s="490">
        <f>IFERROR(C138*Feed!$G$3, 0)</f>
        <v>0</v>
      </c>
      <c r="N138" s="490">
        <f>IFERROR(C138*Feed!$P$3, 0)</f>
        <v>0</v>
      </c>
      <c r="O138" s="490">
        <f>IFERROR(C138*Feed!$Y$3, 0)</f>
        <v>0</v>
      </c>
      <c r="P138" s="490">
        <f>IFERROR(M138/(Feed!L92/100),0)</f>
        <v>0</v>
      </c>
      <c r="Q138" s="490">
        <f>IFERROR(N138/(Feed!U92/100),0)</f>
        <v>0</v>
      </c>
      <c r="R138" s="490">
        <f>IFERROR(O138/(Feed!AD92/100),0)</f>
        <v>0</v>
      </c>
      <c r="S138" s="490">
        <f t="shared" si="99"/>
        <v>0</v>
      </c>
      <c r="T138" s="490">
        <f t="shared" si="100"/>
        <v>0</v>
      </c>
      <c r="U138" s="490">
        <f t="shared" si="102"/>
        <v>0</v>
      </c>
      <c r="AA138" s="558"/>
    </row>
    <row r="139" spans="1:33" s="145" customFormat="1">
      <c r="A139" s="13">
        <f>INPUTS!C30</f>
        <v>0</v>
      </c>
      <c r="B139" s="1076">
        <f>(B121*365+C121*365+D121*365+E121*365+'Livestock parameters'!T15*F121+G121*'Livestock parameters'!U15)*INPUTS!D30</f>
        <v>0</v>
      </c>
      <c r="C139" s="489">
        <f>(H121*365+I121*365+J121*365+K121*365+'Livestock parameters'!T15*L121+M121*'Livestock parameters'!U15)*INPUTS!D30</f>
        <v>0</v>
      </c>
      <c r="D139" s="490">
        <f>B139*Feed!$G$3</f>
        <v>0</v>
      </c>
      <c r="E139" s="490">
        <f>B139*Feed!$P$3</f>
        <v>0</v>
      </c>
      <c r="F139" s="490">
        <f>B139*Feed!$Y$3</f>
        <v>0</v>
      </c>
      <c r="G139" s="490">
        <f>IFERROR(D139/Feed!L99,0)</f>
        <v>0</v>
      </c>
      <c r="H139" s="490">
        <f>IFERROR(E139/Feed!U99,0)</f>
        <v>0</v>
      </c>
      <c r="I139" s="490">
        <f>IFERROR(F139/Feed!AD99,0)</f>
        <v>0</v>
      </c>
      <c r="J139" s="490">
        <f t="shared" si="97"/>
        <v>0</v>
      </c>
      <c r="K139" s="490">
        <f t="shared" si="98"/>
        <v>0</v>
      </c>
      <c r="L139" s="490">
        <f t="shared" si="101"/>
        <v>0</v>
      </c>
      <c r="M139" s="490">
        <f>IFERROR(C139*Feed!$G$3, 0)</f>
        <v>0</v>
      </c>
      <c r="N139" s="490">
        <f>IFERROR(C139*Feed!$P$3, 0)</f>
        <v>0</v>
      </c>
      <c r="O139" s="490">
        <f>IFERROR(C139*Feed!$Y$3, 0)</f>
        <v>0</v>
      </c>
      <c r="P139" s="490">
        <f>IFERROR(M139/(Feed!L99/100),0)</f>
        <v>0</v>
      </c>
      <c r="Q139" s="490">
        <f>IFERROR(N139/(Feed!U99/100),0)</f>
        <v>0</v>
      </c>
      <c r="R139" s="490">
        <f>IFERROR(O139/(Feed!AD99/100),0)</f>
        <v>0</v>
      </c>
      <c r="S139" s="490">
        <f t="shared" si="99"/>
        <v>0</v>
      </c>
      <c r="T139" s="490">
        <f t="shared" si="100"/>
        <v>0</v>
      </c>
      <c r="U139" s="490">
        <f t="shared" si="102"/>
        <v>0</v>
      </c>
      <c r="X139" s="228"/>
      <c r="AA139" s="558"/>
      <c r="AG139" s="226"/>
    </row>
    <row r="140" spans="1:33" s="145" customFormat="1">
      <c r="O140" s="227"/>
      <c r="S140" s="228"/>
      <c r="V140" s="558"/>
      <c r="AB140" s="226"/>
    </row>
    <row r="141" spans="1:33" s="145" customFormat="1">
      <c r="O141" s="227"/>
      <c r="S141" s="228"/>
      <c r="V141" s="558"/>
      <c r="AB141" s="226"/>
    </row>
    <row r="142" spans="1:33" s="145" customFormat="1">
      <c r="A142" s="174"/>
      <c r="B142" s="174" t="s">
        <v>1142</v>
      </c>
      <c r="C142" s="174" t="s">
        <v>1143</v>
      </c>
      <c r="D142" s="174" t="s">
        <v>1821</v>
      </c>
      <c r="E142" s="174" t="s">
        <v>1156</v>
      </c>
      <c r="F142" s="174" t="s">
        <v>1157</v>
      </c>
      <c r="G142" s="174" t="s">
        <v>1822</v>
      </c>
      <c r="H142" s="175" t="s">
        <v>1160</v>
      </c>
      <c r="I142" s="175" t="s">
        <v>1161</v>
      </c>
      <c r="J142" s="175" t="s">
        <v>1823</v>
      </c>
      <c r="K142" s="175" t="s">
        <v>1162</v>
      </c>
      <c r="L142" s="175" t="s">
        <v>1163</v>
      </c>
      <c r="M142" s="175" t="s">
        <v>1824</v>
      </c>
      <c r="N142" s="557" t="s">
        <v>1167</v>
      </c>
      <c r="O142" s="557" t="s">
        <v>1168</v>
      </c>
      <c r="P142" s="557" t="s">
        <v>1294</v>
      </c>
      <c r="R142" s="145" t="s">
        <v>1314</v>
      </c>
      <c r="S142" s="227"/>
      <c r="T142" s="145" t="s">
        <v>1315</v>
      </c>
      <c r="U142" s="227"/>
      <c r="V142" s="145" t="s">
        <v>1316</v>
      </c>
      <c r="W142" s="227"/>
      <c r="X142" s="145" t="s">
        <v>1317</v>
      </c>
      <c r="Y142" s="227"/>
      <c r="Z142" s="145" t="s">
        <v>1318</v>
      </c>
      <c r="AA142" s="227"/>
      <c r="AB142" s="145" t="s">
        <v>1319</v>
      </c>
      <c r="AC142" s="227"/>
      <c r="AD142" s="145" t="s">
        <v>1320</v>
      </c>
      <c r="AE142" s="227"/>
      <c r="AF142" s="145" t="s">
        <v>1321</v>
      </c>
    </row>
    <row r="143" spans="1:33" s="145" customFormat="1">
      <c r="A143" s="174" t="str">
        <f>INPUTS!C17</f>
        <v>Cows (improved)</v>
      </c>
      <c r="B143" s="243">
        <f>J126</f>
        <v>2138.3629102966083</v>
      </c>
      <c r="C143" s="243">
        <f>K126</f>
        <v>1377.4139467225896</v>
      </c>
      <c r="D143" s="243">
        <f>L126</f>
        <v>0</v>
      </c>
      <c r="E143" s="243">
        <f t="shared" ref="E143:G156" si="103">S126</f>
        <v>2999.7417169806781</v>
      </c>
      <c r="F143" s="243">
        <f t="shared" si="103"/>
        <v>1932.2660609380043</v>
      </c>
      <c r="G143" s="243">
        <f t="shared" si="103"/>
        <v>0</v>
      </c>
      <c r="H143" s="243">
        <f>IF(E143&gt;B143,E143,B143)</f>
        <v>2999.7417169806781</v>
      </c>
      <c r="I143" s="243">
        <f>IF(F143&gt;C143,F143,C143)</f>
        <v>1932.2660609380043</v>
      </c>
      <c r="J143" s="243">
        <f>IF(G143&gt;D143,G143,D143)</f>
        <v>0</v>
      </c>
      <c r="K143" s="243" t="str">
        <f>IF(OR(B143=0,E143=0),"",IF(E143&gt;B143,"CP","ENERGY"))</f>
        <v>CP</v>
      </c>
      <c r="L143" s="243" t="str">
        <f>IF(OR(C143=0,F143=0),"",IF(F143&gt;C143,"CP","ENERGY"))</f>
        <v>CP</v>
      </c>
      <c r="M143" s="243" t="str">
        <f>IF(OR(D143=0,G143=0),"",IF(G143&gt;D143,"CP","ENERGY"))</f>
        <v/>
      </c>
      <c r="N143" s="719">
        <f>IFERROR(H143*L10*100/L11,0)+IFERROR(I143*U10*100/U11,0)+IFERROR(J143*AD10*100/AD11,0)</f>
        <v>35597.658839532123</v>
      </c>
      <c r="O143" s="719">
        <f>IFERROR(N143/0.81,0)</f>
        <v>43947.726962385335</v>
      </c>
      <c r="P143" s="719">
        <f>(H143+I143+J143)*18.45</f>
        <v>90995.543502599685</v>
      </c>
      <c r="R143" s="734">
        <f t="shared" ref="R143:R156" si="104">H143+I143</f>
        <v>4932.0077779186822</v>
      </c>
      <c r="S143" s="227">
        <f t="shared" ref="S143:S156" si="105">E12*$G$3+N12*$P$3</f>
        <v>7.8925213975024555E-2</v>
      </c>
      <c r="T143" s="145">
        <f t="shared" ref="T143:T156" si="106">$R143*S143</f>
        <v>389.25976919871738</v>
      </c>
      <c r="U143" s="227">
        <f t="shared" ref="U143:U156" si="107">F12*$G$3+O12*$P$3</f>
        <v>0.26494317384593802</v>
      </c>
      <c r="V143" s="145">
        <f t="shared" ref="V143:V156" si="108">$R143*U143</f>
        <v>1306.701794114628</v>
      </c>
      <c r="W143" s="227">
        <f t="shared" ref="W143:W156" si="109">G12*$G$3+P12*$P$3</f>
        <v>0.65613161217903737</v>
      </c>
      <c r="X143" s="145">
        <f t="shared" ref="X143:X156" si="110">$R143*W143</f>
        <v>3236.0462146053369</v>
      </c>
      <c r="Y143" s="227">
        <f t="shared" ref="Y143:Y156" si="111">H12*$G$3+Q12*$P$3</f>
        <v>0</v>
      </c>
      <c r="Z143" s="145">
        <f t="shared" ref="Z143:Z156" si="112">$R143*Y143</f>
        <v>0</v>
      </c>
      <c r="AA143" s="227">
        <f t="shared" ref="AA143:AA156" si="113">I12*$G$3+R12*$P$3</f>
        <v>0</v>
      </c>
      <c r="AB143" s="145">
        <f t="shared" ref="AB143:AB156" si="114">$R143*AA143</f>
        <v>0</v>
      </c>
      <c r="AC143" s="227">
        <f t="shared" ref="AC143:AC156" si="115">J12*$G$3+S12*$P$3</f>
        <v>0</v>
      </c>
      <c r="AD143" s="145">
        <f t="shared" ref="AD143:AD156" si="116">$R143*AC143</f>
        <v>0</v>
      </c>
      <c r="AE143" s="227">
        <f t="shared" ref="AE143:AE156" si="117">K12*$G$3+T12*$K$3</f>
        <v>0</v>
      </c>
      <c r="AF143" s="145">
        <f t="shared" ref="AF143:AF156" si="118">$R143*AE143</f>
        <v>0</v>
      </c>
    </row>
    <row r="144" spans="1:33" s="145" customFormat="1">
      <c r="A144" s="174" t="str">
        <f>INPUTS!C18</f>
        <v>Steers/heifers (improved)</v>
      </c>
      <c r="B144" s="243">
        <f t="shared" ref="B144:D156" si="119">J127</f>
        <v>1738.0363958439705</v>
      </c>
      <c r="C144" s="243">
        <f t="shared" si="119"/>
        <v>1119.5459666922873</v>
      </c>
      <c r="D144" s="243">
        <f t="shared" si="119"/>
        <v>0</v>
      </c>
      <c r="E144" s="243">
        <f t="shared" si="103"/>
        <v>1761.6899154665052</v>
      </c>
      <c r="F144" s="243">
        <f t="shared" si="103"/>
        <v>1134.7822428455415</v>
      </c>
      <c r="G144" s="243">
        <f t="shared" si="103"/>
        <v>0</v>
      </c>
      <c r="H144" s="243">
        <f t="shared" ref="H144:J156" si="120">IF(E144&gt;B144,E144,B144)</f>
        <v>1761.6899154665052</v>
      </c>
      <c r="I144" s="243">
        <f t="shared" si="120"/>
        <v>1134.7822428455415</v>
      </c>
      <c r="J144" s="243">
        <f t="shared" si="120"/>
        <v>0</v>
      </c>
      <c r="K144" s="243" t="str">
        <f t="shared" ref="K144:M156" si="121">IF(OR(B144=0,E144=0),"",IF(E144&gt;B144,"CP","ENERGY"))</f>
        <v>CP</v>
      </c>
      <c r="L144" s="243" t="str">
        <f t="shared" si="121"/>
        <v>CP</v>
      </c>
      <c r="M144" s="243" t="str">
        <f t="shared" si="121"/>
        <v/>
      </c>
      <c r="N144" s="719">
        <f>IFERROR(H144*L17*100/L18,0)+IFERROR(I144*U17*100/U18,0)+IFERROR(J144*AD17*100/AD18,0)</f>
        <v>20905.812069361164</v>
      </c>
      <c r="O144" s="719">
        <f t="shared" ref="O144:O156" si="122">IFERROR(N144/0.81,0)</f>
        <v>25809.644530075508</v>
      </c>
      <c r="P144" s="719">
        <f t="shared" ref="P144:P156" si="123">(H144+I144+J144)*18.45</f>
        <v>53439.91132085726</v>
      </c>
      <c r="R144" s="734">
        <f t="shared" si="104"/>
        <v>2896.4721583120468</v>
      </c>
      <c r="S144" s="227">
        <f t="shared" si="105"/>
        <v>0</v>
      </c>
      <c r="T144" s="145">
        <f t="shared" si="106"/>
        <v>0</v>
      </c>
      <c r="U144" s="227">
        <f t="shared" si="107"/>
        <v>0</v>
      </c>
      <c r="V144" s="145">
        <f t="shared" si="108"/>
        <v>0</v>
      </c>
      <c r="W144" s="227">
        <f t="shared" si="109"/>
        <v>0</v>
      </c>
      <c r="X144" s="145">
        <f t="shared" si="110"/>
        <v>0</v>
      </c>
      <c r="Y144" s="227">
        <f t="shared" si="111"/>
        <v>0</v>
      </c>
      <c r="Z144" s="145">
        <f t="shared" si="112"/>
        <v>0</v>
      </c>
      <c r="AA144" s="227">
        <f t="shared" si="113"/>
        <v>0</v>
      </c>
      <c r="AB144" s="145">
        <f t="shared" si="114"/>
        <v>0</v>
      </c>
      <c r="AC144" s="227">
        <f t="shared" si="115"/>
        <v>0</v>
      </c>
      <c r="AD144" s="145">
        <f t="shared" si="116"/>
        <v>0</v>
      </c>
      <c r="AE144" s="227">
        <f t="shared" si="117"/>
        <v>0</v>
      </c>
      <c r="AF144" s="145">
        <f t="shared" si="118"/>
        <v>0</v>
      </c>
    </row>
    <row r="145" spans="1:32" s="145" customFormat="1">
      <c r="A145" s="174">
        <f>INPUTS!C19</f>
        <v>0</v>
      </c>
      <c r="B145" s="243">
        <f t="shared" si="119"/>
        <v>0</v>
      </c>
      <c r="C145" s="243">
        <f t="shared" si="119"/>
        <v>0</v>
      </c>
      <c r="D145" s="243">
        <f t="shared" si="119"/>
        <v>0</v>
      </c>
      <c r="E145" s="243">
        <f t="shared" si="103"/>
        <v>0</v>
      </c>
      <c r="F145" s="243">
        <f t="shared" si="103"/>
        <v>0</v>
      </c>
      <c r="G145" s="243">
        <f t="shared" si="103"/>
        <v>0</v>
      </c>
      <c r="H145" s="243">
        <f t="shared" si="120"/>
        <v>0</v>
      </c>
      <c r="I145" s="243">
        <f t="shared" si="120"/>
        <v>0</v>
      </c>
      <c r="J145" s="243">
        <f t="shared" si="120"/>
        <v>0</v>
      </c>
      <c r="K145" s="243" t="str">
        <f t="shared" si="121"/>
        <v/>
      </c>
      <c r="L145" s="243" t="str">
        <f t="shared" si="121"/>
        <v/>
      </c>
      <c r="M145" s="243" t="str">
        <f t="shared" si="121"/>
        <v/>
      </c>
      <c r="N145" s="719">
        <f>IFERROR(H145*L24*100/L25,0)+IFERROR(I145*U24*100/U25,0)+IFERROR(J145*AD24*100/AD25,0)</f>
        <v>0</v>
      </c>
      <c r="O145" s="719">
        <f t="shared" si="122"/>
        <v>0</v>
      </c>
      <c r="P145" s="719">
        <f t="shared" si="123"/>
        <v>0</v>
      </c>
      <c r="R145" s="734">
        <f t="shared" si="104"/>
        <v>0</v>
      </c>
      <c r="S145" s="227">
        <f t="shared" si="105"/>
        <v>0.05</v>
      </c>
      <c r="T145" s="145">
        <f t="shared" si="106"/>
        <v>0</v>
      </c>
      <c r="U145" s="227">
        <f t="shared" si="107"/>
        <v>0.52</v>
      </c>
      <c r="V145" s="145">
        <f t="shared" si="108"/>
        <v>0</v>
      </c>
      <c r="W145" s="227">
        <f t="shared" si="109"/>
        <v>0.43</v>
      </c>
      <c r="X145" s="145">
        <f t="shared" si="110"/>
        <v>0</v>
      </c>
      <c r="Y145" s="227">
        <f t="shared" si="111"/>
        <v>0</v>
      </c>
      <c r="Z145" s="145">
        <f t="shared" si="112"/>
        <v>0</v>
      </c>
      <c r="AA145" s="227">
        <f t="shared" si="113"/>
        <v>0</v>
      </c>
      <c r="AB145" s="145">
        <f t="shared" si="114"/>
        <v>0</v>
      </c>
      <c r="AC145" s="227">
        <f t="shared" si="115"/>
        <v>0</v>
      </c>
      <c r="AD145" s="145">
        <f t="shared" si="116"/>
        <v>0</v>
      </c>
      <c r="AE145" s="227">
        <f t="shared" si="117"/>
        <v>0</v>
      </c>
      <c r="AF145" s="145">
        <f t="shared" si="118"/>
        <v>0</v>
      </c>
    </row>
    <row r="146" spans="1:32" s="145" customFormat="1">
      <c r="A146" s="174">
        <f>INPUTS!C20</f>
        <v>0</v>
      </c>
      <c r="B146" s="243">
        <f t="shared" si="119"/>
        <v>0</v>
      </c>
      <c r="C146" s="243">
        <f t="shared" si="119"/>
        <v>0</v>
      </c>
      <c r="D146" s="243">
        <f t="shared" si="119"/>
        <v>0</v>
      </c>
      <c r="E146" s="243">
        <f t="shared" si="103"/>
        <v>0</v>
      </c>
      <c r="F146" s="243">
        <f t="shared" si="103"/>
        <v>0</v>
      </c>
      <c r="G146" s="243">
        <f t="shared" si="103"/>
        <v>0</v>
      </c>
      <c r="H146" s="243">
        <f t="shared" si="120"/>
        <v>0</v>
      </c>
      <c r="I146" s="243">
        <f t="shared" si="120"/>
        <v>0</v>
      </c>
      <c r="J146" s="243">
        <f t="shared" si="120"/>
        <v>0</v>
      </c>
      <c r="K146" s="243" t="str">
        <f t="shared" si="121"/>
        <v/>
      </c>
      <c r="L146" s="243" t="str">
        <f t="shared" si="121"/>
        <v/>
      </c>
      <c r="M146" s="243" t="str">
        <f t="shared" si="121"/>
        <v/>
      </c>
      <c r="N146" s="719">
        <f>IFERROR(H146*L31*100/L32,0)+IFERROR(I146*U31*100/U32,0)+IFERROR(J146*AD31*100/AD32,0)</f>
        <v>0</v>
      </c>
      <c r="O146" s="719">
        <f t="shared" si="122"/>
        <v>0</v>
      </c>
      <c r="P146" s="719">
        <f t="shared" si="123"/>
        <v>0</v>
      </c>
      <c r="R146" s="734">
        <f t="shared" si="104"/>
        <v>0</v>
      </c>
      <c r="S146" s="227">
        <f t="shared" si="105"/>
        <v>14.4</v>
      </c>
      <c r="T146" s="145">
        <f t="shared" si="106"/>
        <v>0</v>
      </c>
      <c r="U146" s="227">
        <f t="shared" si="107"/>
        <v>2.17875</v>
      </c>
      <c r="V146" s="145">
        <f t="shared" si="108"/>
        <v>0</v>
      </c>
      <c r="W146" s="227">
        <f t="shared" si="109"/>
        <v>3.3930000000000007</v>
      </c>
      <c r="X146" s="145">
        <f t="shared" si="110"/>
        <v>0</v>
      </c>
      <c r="Y146" s="227">
        <f t="shared" si="111"/>
        <v>0</v>
      </c>
      <c r="Z146" s="145">
        <f t="shared" si="112"/>
        <v>0</v>
      </c>
      <c r="AA146" s="227">
        <f t="shared" si="113"/>
        <v>0</v>
      </c>
      <c r="AB146" s="145">
        <f t="shared" si="114"/>
        <v>0</v>
      </c>
      <c r="AC146" s="227">
        <f t="shared" si="115"/>
        <v>0</v>
      </c>
      <c r="AD146" s="145">
        <f t="shared" si="116"/>
        <v>0</v>
      </c>
      <c r="AE146" s="227">
        <f t="shared" si="117"/>
        <v>0</v>
      </c>
      <c r="AF146" s="145">
        <f t="shared" si="118"/>
        <v>0</v>
      </c>
    </row>
    <row r="147" spans="1:32" s="145" customFormat="1">
      <c r="A147" s="174">
        <f>INPUTS!C21</f>
        <v>0</v>
      </c>
      <c r="B147" s="243">
        <f t="shared" si="119"/>
        <v>0</v>
      </c>
      <c r="C147" s="243">
        <f t="shared" si="119"/>
        <v>0</v>
      </c>
      <c r="D147" s="243">
        <f t="shared" si="119"/>
        <v>0</v>
      </c>
      <c r="E147" s="243">
        <f t="shared" si="103"/>
        <v>0</v>
      </c>
      <c r="F147" s="243">
        <f t="shared" si="103"/>
        <v>0</v>
      </c>
      <c r="G147" s="243">
        <f t="shared" si="103"/>
        <v>0</v>
      </c>
      <c r="H147" s="243">
        <f t="shared" si="120"/>
        <v>0</v>
      </c>
      <c r="I147" s="243">
        <f t="shared" si="120"/>
        <v>0</v>
      </c>
      <c r="J147" s="243">
        <f t="shared" si="120"/>
        <v>0</v>
      </c>
      <c r="K147" s="243" t="str">
        <f t="shared" si="121"/>
        <v/>
      </c>
      <c r="L147" s="243" t="str">
        <f t="shared" si="121"/>
        <v/>
      </c>
      <c r="M147" s="243" t="str">
        <f t="shared" si="121"/>
        <v/>
      </c>
      <c r="N147" s="719">
        <f>IFERROR(H147*L38*100/L39,0)+IFERROR(I147*U38*100/U39,0)+IFERROR(J147*AD38*100/AD39,0)</f>
        <v>0</v>
      </c>
      <c r="O147" s="719">
        <f t="shared" si="122"/>
        <v>0</v>
      </c>
      <c r="P147" s="719">
        <f t="shared" si="123"/>
        <v>0</v>
      </c>
      <c r="R147" s="734">
        <f t="shared" si="104"/>
        <v>0</v>
      </c>
      <c r="S147" s="227">
        <f t="shared" si="105"/>
        <v>0.79859999999999998</v>
      </c>
      <c r="T147" s="145">
        <f t="shared" si="106"/>
        <v>0</v>
      </c>
      <c r="U147" s="227">
        <f t="shared" si="107"/>
        <v>0.43230000000000002</v>
      </c>
      <c r="V147" s="145">
        <f t="shared" si="108"/>
        <v>0</v>
      </c>
      <c r="W147" s="227">
        <f t="shared" si="109"/>
        <v>0.45540000000000003</v>
      </c>
      <c r="X147" s="145">
        <f t="shared" si="110"/>
        <v>0</v>
      </c>
      <c r="Y147" s="227">
        <f t="shared" si="111"/>
        <v>0</v>
      </c>
      <c r="Z147" s="145">
        <f t="shared" si="112"/>
        <v>0</v>
      </c>
      <c r="AA147" s="227">
        <f t="shared" si="113"/>
        <v>0</v>
      </c>
      <c r="AB147" s="145">
        <f t="shared" si="114"/>
        <v>0</v>
      </c>
      <c r="AC147" s="227">
        <f t="shared" si="115"/>
        <v>0</v>
      </c>
      <c r="AD147" s="145">
        <f t="shared" si="116"/>
        <v>0</v>
      </c>
      <c r="AE147" s="227">
        <f t="shared" si="117"/>
        <v>0</v>
      </c>
      <c r="AF147" s="145">
        <f t="shared" si="118"/>
        <v>0</v>
      </c>
    </row>
    <row r="148" spans="1:32" s="145" customFormat="1">
      <c r="A148" s="174">
        <f>INPUTS!C22</f>
        <v>0</v>
      </c>
      <c r="B148" s="243">
        <f t="shared" si="119"/>
        <v>0</v>
      </c>
      <c r="C148" s="243">
        <f t="shared" si="119"/>
        <v>0</v>
      </c>
      <c r="D148" s="243">
        <f t="shared" si="119"/>
        <v>0</v>
      </c>
      <c r="E148" s="243">
        <f t="shared" si="103"/>
        <v>0</v>
      </c>
      <c r="F148" s="243">
        <f t="shared" si="103"/>
        <v>0</v>
      </c>
      <c r="G148" s="243">
        <f t="shared" si="103"/>
        <v>0</v>
      </c>
      <c r="H148" s="243">
        <f t="shared" si="120"/>
        <v>0</v>
      </c>
      <c r="I148" s="243">
        <f t="shared" si="120"/>
        <v>0</v>
      </c>
      <c r="J148" s="243">
        <f t="shared" si="120"/>
        <v>0</v>
      </c>
      <c r="K148" s="243" t="str">
        <f t="shared" si="121"/>
        <v/>
      </c>
      <c r="L148" s="243" t="str">
        <f t="shared" si="121"/>
        <v/>
      </c>
      <c r="M148" s="243" t="str">
        <f t="shared" si="121"/>
        <v/>
      </c>
      <c r="N148" s="719">
        <f>IFERROR(H148*L45*100/L46,0)+IFERROR(I148*U45*100/U46,0)+IFERROR(J148*AD45*100/AD46,0)</f>
        <v>0</v>
      </c>
      <c r="O148" s="719">
        <f t="shared" si="122"/>
        <v>0</v>
      </c>
      <c r="P148" s="719">
        <f t="shared" si="123"/>
        <v>0</v>
      </c>
      <c r="R148" s="734">
        <f t="shared" si="104"/>
        <v>0</v>
      </c>
      <c r="S148" s="227">
        <f t="shared" si="105"/>
        <v>10.89</v>
      </c>
      <c r="T148" s="145">
        <f t="shared" si="106"/>
        <v>0</v>
      </c>
      <c r="U148" s="227">
        <f t="shared" si="107"/>
        <v>1.9027750000000003</v>
      </c>
      <c r="V148" s="145">
        <f t="shared" si="108"/>
        <v>0</v>
      </c>
      <c r="W148" s="227">
        <f t="shared" si="109"/>
        <v>6.0030000000000001</v>
      </c>
      <c r="X148" s="145">
        <f t="shared" si="110"/>
        <v>0</v>
      </c>
      <c r="Y148" s="227">
        <f t="shared" si="111"/>
        <v>0</v>
      </c>
      <c r="Z148" s="145">
        <f t="shared" si="112"/>
        <v>0</v>
      </c>
      <c r="AA148" s="227">
        <f t="shared" si="113"/>
        <v>0</v>
      </c>
      <c r="AB148" s="145">
        <f t="shared" si="114"/>
        <v>0</v>
      </c>
      <c r="AC148" s="227">
        <f t="shared" si="115"/>
        <v>0</v>
      </c>
      <c r="AD148" s="145">
        <f t="shared" si="116"/>
        <v>0</v>
      </c>
      <c r="AE148" s="227">
        <f t="shared" si="117"/>
        <v>0</v>
      </c>
      <c r="AF148" s="145">
        <f t="shared" si="118"/>
        <v>0</v>
      </c>
    </row>
    <row r="149" spans="1:32" s="145" customFormat="1">
      <c r="A149" s="174">
        <f>INPUTS!C23</f>
        <v>0</v>
      </c>
      <c r="B149" s="243">
        <f t="shared" si="119"/>
        <v>0</v>
      </c>
      <c r="C149" s="243">
        <f t="shared" si="119"/>
        <v>0</v>
      </c>
      <c r="D149" s="243">
        <f t="shared" si="119"/>
        <v>0</v>
      </c>
      <c r="E149" s="243">
        <f t="shared" si="103"/>
        <v>0</v>
      </c>
      <c r="F149" s="243">
        <f t="shared" si="103"/>
        <v>0</v>
      </c>
      <c r="G149" s="243">
        <f t="shared" si="103"/>
        <v>0</v>
      </c>
      <c r="H149" s="243">
        <f t="shared" si="120"/>
        <v>0</v>
      </c>
      <c r="I149" s="243">
        <f t="shared" si="120"/>
        <v>0</v>
      </c>
      <c r="J149" s="243">
        <f t="shared" si="120"/>
        <v>0</v>
      </c>
      <c r="K149" s="243" t="str">
        <f t="shared" si="121"/>
        <v/>
      </c>
      <c r="L149" s="243" t="str">
        <f t="shared" si="121"/>
        <v/>
      </c>
      <c r="M149" s="243" t="str">
        <f t="shared" si="121"/>
        <v/>
      </c>
      <c r="N149" s="719">
        <f>IFERROR(H149*L52*100/L53,0)+IFERROR(I149*U52*100/U53,0)+IFERROR(J149*AD52*100/AD53,0)</f>
        <v>0</v>
      </c>
      <c r="O149" s="719">
        <f t="shared" si="122"/>
        <v>0</v>
      </c>
      <c r="P149" s="719">
        <f t="shared" si="123"/>
        <v>0</v>
      </c>
      <c r="R149" s="734">
        <f t="shared" si="104"/>
        <v>0</v>
      </c>
      <c r="S149" s="227">
        <f t="shared" si="105"/>
        <v>90</v>
      </c>
      <c r="T149" s="145">
        <f t="shared" si="106"/>
        <v>0</v>
      </c>
      <c r="U149" s="227">
        <f t="shared" si="107"/>
        <v>29.05</v>
      </c>
      <c r="V149" s="145">
        <f t="shared" si="108"/>
        <v>0</v>
      </c>
      <c r="W149" s="227">
        <f t="shared" si="109"/>
        <v>87</v>
      </c>
      <c r="X149" s="145">
        <f t="shared" si="110"/>
        <v>0</v>
      </c>
      <c r="Y149" s="227">
        <f t="shared" si="111"/>
        <v>0</v>
      </c>
      <c r="Z149" s="145">
        <f t="shared" si="112"/>
        <v>0</v>
      </c>
      <c r="AA149" s="227">
        <f t="shared" si="113"/>
        <v>0</v>
      </c>
      <c r="AB149" s="145">
        <f t="shared" si="114"/>
        <v>0</v>
      </c>
      <c r="AC149" s="227">
        <f t="shared" si="115"/>
        <v>0</v>
      </c>
      <c r="AD149" s="145">
        <f t="shared" si="116"/>
        <v>0</v>
      </c>
      <c r="AE149" s="227">
        <f t="shared" si="117"/>
        <v>0</v>
      </c>
      <c r="AF149" s="145">
        <f t="shared" si="118"/>
        <v>0</v>
      </c>
    </row>
    <row r="150" spans="1:32" s="145" customFormat="1">
      <c r="A150" s="174">
        <f>INPUTS!C24</f>
        <v>0</v>
      </c>
      <c r="B150" s="243">
        <f t="shared" si="119"/>
        <v>0</v>
      </c>
      <c r="C150" s="243">
        <f t="shared" si="119"/>
        <v>0</v>
      </c>
      <c r="D150" s="243">
        <f t="shared" si="119"/>
        <v>0</v>
      </c>
      <c r="E150" s="243">
        <f t="shared" si="103"/>
        <v>0</v>
      </c>
      <c r="F150" s="243">
        <f t="shared" si="103"/>
        <v>0</v>
      </c>
      <c r="G150" s="243">
        <f t="shared" si="103"/>
        <v>0</v>
      </c>
      <c r="H150" s="243">
        <f t="shared" si="120"/>
        <v>0</v>
      </c>
      <c r="I150" s="243">
        <f t="shared" si="120"/>
        <v>0</v>
      </c>
      <c r="J150" s="243">
        <f t="shared" si="120"/>
        <v>0</v>
      </c>
      <c r="K150" s="243" t="str">
        <f t="shared" si="121"/>
        <v/>
      </c>
      <c r="L150" s="243" t="str">
        <f t="shared" si="121"/>
        <v/>
      </c>
      <c r="M150" s="243" t="str">
        <f t="shared" si="121"/>
        <v/>
      </c>
      <c r="N150" s="719">
        <f>IFERROR(H150*L59*100/L60,0)+IFERROR(I150*U59*100/U60,0)+IFERROR(J150*AD59*100/AD60,0)</f>
        <v>0</v>
      </c>
      <c r="O150" s="719">
        <f t="shared" si="122"/>
        <v>0</v>
      </c>
      <c r="P150" s="719">
        <f t="shared" si="123"/>
        <v>0</v>
      </c>
      <c r="R150" s="734">
        <f t="shared" si="104"/>
        <v>0</v>
      </c>
      <c r="S150" s="227">
        <f t="shared" si="105"/>
        <v>7.8925213975024555E-2</v>
      </c>
      <c r="T150" s="145">
        <f t="shared" si="106"/>
        <v>0</v>
      </c>
      <c r="U150" s="227">
        <f t="shared" si="107"/>
        <v>0.26494317384593802</v>
      </c>
      <c r="V150" s="145">
        <f t="shared" si="108"/>
        <v>0</v>
      </c>
      <c r="W150" s="227">
        <f t="shared" si="109"/>
        <v>0.65613161217903737</v>
      </c>
      <c r="X150" s="145">
        <f t="shared" si="110"/>
        <v>0</v>
      </c>
      <c r="Y150" s="227">
        <f t="shared" si="111"/>
        <v>0</v>
      </c>
      <c r="Z150" s="145">
        <f t="shared" si="112"/>
        <v>0</v>
      </c>
      <c r="AA150" s="227">
        <f t="shared" si="113"/>
        <v>0</v>
      </c>
      <c r="AB150" s="145">
        <f t="shared" si="114"/>
        <v>0</v>
      </c>
      <c r="AC150" s="227">
        <f t="shared" si="115"/>
        <v>0</v>
      </c>
      <c r="AD150" s="145">
        <f t="shared" si="116"/>
        <v>0</v>
      </c>
      <c r="AE150" s="227">
        <f t="shared" si="117"/>
        <v>0</v>
      </c>
      <c r="AF150" s="145">
        <f t="shared" si="118"/>
        <v>0</v>
      </c>
    </row>
    <row r="151" spans="1:32" s="145" customFormat="1">
      <c r="A151" s="174">
        <f>INPUTS!C25</f>
        <v>0</v>
      </c>
      <c r="B151" s="243">
        <f t="shared" si="119"/>
        <v>0</v>
      </c>
      <c r="C151" s="243">
        <f t="shared" si="119"/>
        <v>0</v>
      </c>
      <c r="D151" s="243">
        <f t="shared" si="119"/>
        <v>0</v>
      </c>
      <c r="E151" s="243">
        <f t="shared" si="103"/>
        <v>0</v>
      </c>
      <c r="F151" s="243">
        <f t="shared" si="103"/>
        <v>0</v>
      </c>
      <c r="G151" s="243">
        <f t="shared" si="103"/>
        <v>0</v>
      </c>
      <c r="H151" s="243">
        <f t="shared" si="120"/>
        <v>0</v>
      </c>
      <c r="I151" s="243">
        <f t="shared" si="120"/>
        <v>0</v>
      </c>
      <c r="J151" s="243">
        <f t="shared" si="120"/>
        <v>0</v>
      </c>
      <c r="K151" s="243" t="str">
        <f t="shared" si="121"/>
        <v/>
      </c>
      <c r="L151" s="243" t="str">
        <f t="shared" si="121"/>
        <v/>
      </c>
      <c r="M151" s="243" t="str">
        <f t="shared" si="121"/>
        <v/>
      </c>
      <c r="N151" s="719">
        <f>IFERROR(H151*L66*100/L67,0)+IFERROR(I151*U66*100/U67,0)+IFERROR(J151*AD66*100/AD67,0)</f>
        <v>0</v>
      </c>
      <c r="O151" s="719">
        <f t="shared" si="122"/>
        <v>0</v>
      </c>
      <c r="P151" s="719">
        <f t="shared" si="123"/>
        <v>0</v>
      </c>
      <c r="R151" s="734">
        <f t="shared" si="104"/>
        <v>0</v>
      </c>
      <c r="S151" s="227">
        <f t="shared" si="105"/>
        <v>0</v>
      </c>
      <c r="T151" s="145">
        <f t="shared" si="106"/>
        <v>0</v>
      </c>
      <c r="U151" s="227">
        <f t="shared" si="107"/>
        <v>0</v>
      </c>
      <c r="V151" s="145">
        <f t="shared" si="108"/>
        <v>0</v>
      </c>
      <c r="W151" s="227">
        <f t="shared" si="109"/>
        <v>0</v>
      </c>
      <c r="X151" s="145">
        <f t="shared" si="110"/>
        <v>0</v>
      </c>
      <c r="Y151" s="227">
        <f t="shared" si="111"/>
        <v>0</v>
      </c>
      <c r="Z151" s="145">
        <f t="shared" si="112"/>
        <v>0</v>
      </c>
      <c r="AA151" s="227">
        <f t="shared" si="113"/>
        <v>0</v>
      </c>
      <c r="AB151" s="145">
        <f t="shared" si="114"/>
        <v>0</v>
      </c>
      <c r="AC151" s="227">
        <f t="shared" si="115"/>
        <v>0</v>
      </c>
      <c r="AD151" s="145">
        <f t="shared" si="116"/>
        <v>0</v>
      </c>
      <c r="AE151" s="227">
        <f t="shared" si="117"/>
        <v>0</v>
      </c>
      <c r="AF151" s="145">
        <f t="shared" si="118"/>
        <v>0</v>
      </c>
    </row>
    <row r="152" spans="1:32" s="145" customFormat="1">
      <c r="A152" s="174">
        <f>INPUTS!C26</f>
        <v>0</v>
      </c>
      <c r="B152" s="243">
        <f t="shared" si="119"/>
        <v>0</v>
      </c>
      <c r="C152" s="243">
        <f t="shared" si="119"/>
        <v>0</v>
      </c>
      <c r="D152" s="243">
        <f t="shared" si="119"/>
        <v>0</v>
      </c>
      <c r="E152" s="243">
        <f t="shared" si="103"/>
        <v>0</v>
      </c>
      <c r="F152" s="243">
        <f t="shared" si="103"/>
        <v>0</v>
      </c>
      <c r="G152" s="243">
        <f t="shared" si="103"/>
        <v>0</v>
      </c>
      <c r="H152" s="243">
        <f t="shared" si="120"/>
        <v>0</v>
      </c>
      <c r="I152" s="243">
        <f t="shared" si="120"/>
        <v>0</v>
      </c>
      <c r="J152" s="243">
        <f t="shared" si="120"/>
        <v>0</v>
      </c>
      <c r="K152" s="243" t="str">
        <f t="shared" si="121"/>
        <v/>
      </c>
      <c r="L152" s="243" t="str">
        <f t="shared" si="121"/>
        <v/>
      </c>
      <c r="M152" s="243" t="str">
        <f t="shared" si="121"/>
        <v/>
      </c>
      <c r="N152" s="719">
        <f>IFERROR(H152*L73*100/L74,0)+IFERROR(I152*U73*100/U74,0)+IFERROR(J152*AD73*100/AD74,0)</f>
        <v>0</v>
      </c>
      <c r="O152" s="719">
        <f t="shared" si="122"/>
        <v>0</v>
      </c>
      <c r="P152" s="719">
        <f t="shared" si="123"/>
        <v>0</v>
      </c>
      <c r="R152" s="734">
        <f t="shared" si="104"/>
        <v>0</v>
      </c>
      <c r="S152" s="227">
        <f t="shared" si="105"/>
        <v>3.1342465753424656E-2</v>
      </c>
      <c r="T152" s="145">
        <f t="shared" si="106"/>
        <v>0</v>
      </c>
      <c r="U152" s="227">
        <f t="shared" si="107"/>
        <v>7.8356164383561647E-2</v>
      </c>
      <c r="V152" s="145">
        <f t="shared" si="108"/>
        <v>0</v>
      </c>
      <c r="W152" s="227">
        <f t="shared" si="109"/>
        <v>5.8767123287671232E-2</v>
      </c>
      <c r="X152" s="145">
        <f t="shared" si="110"/>
        <v>0</v>
      </c>
      <c r="Y152" s="227">
        <f t="shared" si="111"/>
        <v>0</v>
      </c>
      <c r="Z152" s="145">
        <f t="shared" si="112"/>
        <v>0</v>
      </c>
      <c r="AA152" s="227">
        <f t="shared" si="113"/>
        <v>0</v>
      </c>
      <c r="AB152" s="145">
        <f t="shared" si="114"/>
        <v>0</v>
      </c>
      <c r="AC152" s="227">
        <f t="shared" si="115"/>
        <v>0</v>
      </c>
      <c r="AD152" s="145">
        <f t="shared" si="116"/>
        <v>0</v>
      </c>
      <c r="AE152" s="227">
        <f t="shared" si="117"/>
        <v>0</v>
      </c>
      <c r="AF152" s="145">
        <f t="shared" si="118"/>
        <v>0</v>
      </c>
    </row>
    <row r="153" spans="1:32" s="145" customFormat="1">
      <c r="A153" s="174">
        <f>INPUTS!C27</f>
        <v>0</v>
      </c>
      <c r="B153" s="243">
        <f t="shared" si="119"/>
        <v>0</v>
      </c>
      <c r="C153" s="243">
        <f t="shared" si="119"/>
        <v>0</v>
      </c>
      <c r="D153" s="243">
        <f t="shared" si="119"/>
        <v>0</v>
      </c>
      <c r="E153" s="243">
        <f t="shared" si="103"/>
        <v>0</v>
      </c>
      <c r="F153" s="243">
        <f t="shared" si="103"/>
        <v>0</v>
      </c>
      <c r="G153" s="243">
        <f t="shared" si="103"/>
        <v>0</v>
      </c>
      <c r="H153" s="243">
        <f t="shared" si="120"/>
        <v>0</v>
      </c>
      <c r="I153" s="243">
        <f t="shared" si="120"/>
        <v>0</v>
      </c>
      <c r="J153" s="243">
        <f t="shared" si="120"/>
        <v>0</v>
      </c>
      <c r="K153" s="243" t="str">
        <f t="shared" si="121"/>
        <v/>
      </c>
      <c r="L153" s="243" t="str">
        <f t="shared" si="121"/>
        <v/>
      </c>
      <c r="M153" s="243" t="str">
        <f t="shared" si="121"/>
        <v/>
      </c>
      <c r="N153" s="719">
        <f>IFERROR(H153*L80*100/L81,0)+IFERROR(I153*U80*100/U81,0)+IFERROR(J153*AD80*100/AD81,0)</f>
        <v>0</v>
      </c>
      <c r="O153" s="719">
        <f t="shared" si="122"/>
        <v>0</v>
      </c>
      <c r="P153" s="719">
        <f t="shared" si="123"/>
        <v>0</v>
      </c>
      <c r="R153" s="734">
        <f t="shared" si="104"/>
        <v>0</v>
      </c>
      <c r="S153" s="227">
        <f t="shared" si="105"/>
        <v>14.4</v>
      </c>
      <c r="T153" s="145">
        <f t="shared" si="106"/>
        <v>0</v>
      </c>
      <c r="U153" s="227">
        <f t="shared" si="107"/>
        <v>2.17875</v>
      </c>
      <c r="V153" s="145">
        <f t="shared" si="108"/>
        <v>0</v>
      </c>
      <c r="W153" s="227">
        <f t="shared" si="109"/>
        <v>3.3930000000000007</v>
      </c>
      <c r="X153" s="145">
        <f t="shared" si="110"/>
        <v>0</v>
      </c>
      <c r="Y153" s="227">
        <f t="shared" si="111"/>
        <v>0</v>
      </c>
      <c r="Z153" s="145">
        <f t="shared" si="112"/>
        <v>0</v>
      </c>
      <c r="AA153" s="227">
        <f t="shared" si="113"/>
        <v>0</v>
      </c>
      <c r="AB153" s="145">
        <f t="shared" si="114"/>
        <v>0</v>
      </c>
      <c r="AC153" s="227">
        <f t="shared" si="115"/>
        <v>0</v>
      </c>
      <c r="AD153" s="145">
        <f t="shared" si="116"/>
        <v>0</v>
      </c>
      <c r="AE153" s="227">
        <f t="shared" si="117"/>
        <v>0</v>
      </c>
      <c r="AF153" s="145">
        <f t="shared" si="118"/>
        <v>0</v>
      </c>
    </row>
    <row r="154" spans="1:32" s="145" customFormat="1">
      <c r="A154" s="174">
        <f>INPUTS!C28</f>
        <v>0</v>
      </c>
      <c r="B154" s="243">
        <f t="shared" si="119"/>
        <v>0</v>
      </c>
      <c r="C154" s="243">
        <f t="shared" si="119"/>
        <v>0</v>
      </c>
      <c r="D154" s="243">
        <f t="shared" si="119"/>
        <v>0</v>
      </c>
      <c r="E154" s="243">
        <f t="shared" si="103"/>
        <v>0</v>
      </c>
      <c r="F154" s="243">
        <f t="shared" si="103"/>
        <v>0</v>
      </c>
      <c r="G154" s="243">
        <f t="shared" si="103"/>
        <v>0</v>
      </c>
      <c r="H154" s="243">
        <f t="shared" si="120"/>
        <v>0</v>
      </c>
      <c r="I154" s="243">
        <f t="shared" si="120"/>
        <v>0</v>
      </c>
      <c r="J154" s="243">
        <f t="shared" si="120"/>
        <v>0</v>
      </c>
      <c r="K154" s="243" t="str">
        <f t="shared" si="121"/>
        <v/>
      </c>
      <c r="L154" s="243" t="str">
        <f t="shared" si="121"/>
        <v/>
      </c>
      <c r="M154" s="243" t="str">
        <f t="shared" si="121"/>
        <v/>
      </c>
      <c r="N154" s="719">
        <f>IFERROR(H154*L87*100/L88,0)+IFERROR(I154*U87*100/U88,0)+IFERROR(J154*AD87*100/AD88,0)</f>
        <v>0</v>
      </c>
      <c r="O154" s="719">
        <f t="shared" si="122"/>
        <v>0</v>
      </c>
      <c r="P154" s="719">
        <f t="shared" si="123"/>
        <v>0</v>
      </c>
      <c r="R154" s="734">
        <f t="shared" si="104"/>
        <v>0</v>
      </c>
      <c r="S154" s="227">
        <f t="shared" si="105"/>
        <v>0.79859999999999998</v>
      </c>
      <c r="T154" s="145">
        <f t="shared" si="106"/>
        <v>0</v>
      </c>
      <c r="U154" s="227">
        <f t="shared" si="107"/>
        <v>0.43230000000000002</v>
      </c>
      <c r="V154" s="145">
        <f t="shared" si="108"/>
        <v>0</v>
      </c>
      <c r="W154" s="227">
        <f t="shared" si="109"/>
        <v>0.45540000000000003</v>
      </c>
      <c r="X154" s="145">
        <f t="shared" si="110"/>
        <v>0</v>
      </c>
      <c r="Y154" s="227">
        <f t="shared" si="111"/>
        <v>0</v>
      </c>
      <c r="Z154" s="145">
        <f t="shared" si="112"/>
        <v>0</v>
      </c>
      <c r="AA154" s="227">
        <f t="shared" si="113"/>
        <v>0</v>
      </c>
      <c r="AB154" s="145">
        <f t="shared" si="114"/>
        <v>0</v>
      </c>
      <c r="AC154" s="227">
        <f t="shared" si="115"/>
        <v>0</v>
      </c>
      <c r="AD154" s="145">
        <f t="shared" si="116"/>
        <v>0</v>
      </c>
      <c r="AE154" s="227">
        <f t="shared" si="117"/>
        <v>0</v>
      </c>
      <c r="AF154" s="145">
        <f t="shared" si="118"/>
        <v>0</v>
      </c>
    </row>
    <row r="155" spans="1:32" s="145" customFormat="1">
      <c r="A155" s="174">
        <f>INPUTS!C29</f>
        <v>0</v>
      </c>
      <c r="B155" s="243">
        <f t="shared" si="119"/>
        <v>0</v>
      </c>
      <c r="C155" s="243">
        <f t="shared" si="119"/>
        <v>0</v>
      </c>
      <c r="D155" s="243">
        <f t="shared" si="119"/>
        <v>0</v>
      </c>
      <c r="E155" s="243">
        <f t="shared" si="103"/>
        <v>0</v>
      </c>
      <c r="F155" s="243">
        <f t="shared" si="103"/>
        <v>0</v>
      </c>
      <c r="G155" s="243">
        <f t="shared" si="103"/>
        <v>0</v>
      </c>
      <c r="H155" s="243">
        <f t="shared" si="120"/>
        <v>0</v>
      </c>
      <c r="I155" s="243">
        <f t="shared" si="120"/>
        <v>0</v>
      </c>
      <c r="J155" s="243">
        <f t="shared" si="120"/>
        <v>0</v>
      </c>
      <c r="K155" s="243" t="str">
        <f t="shared" si="121"/>
        <v/>
      </c>
      <c r="L155" s="243" t="str">
        <f t="shared" si="121"/>
        <v/>
      </c>
      <c r="M155" s="243" t="str">
        <f t="shared" si="121"/>
        <v/>
      </c>
      <c r="N155" s="719">
        <f>IFERROR(H155*L94*100/L95,0)+IFERROR(I155*U94*100/U95,0)+IFERROR(J155*AD94*100/AD95,0)</f>
        <v>0</v>
      </c>
      <c r="O155" s="719">
        <f t="shared" si="122"/>
        <v>0</v>
      </c>
      <c r="P155" s="719">
        <f t="shared" si="123"/>
        <v>0</v>
      </c>
      <c r="R155" s="734">
        <f t="shared" si="104"/>
        <v>0</v>
      </c>
      <c r="S155" s="227">
        <f t="shared" si="105"/>
        <v>10.89</v>
      </c>
      <c r="T155" s="145">
        <f t="shared" si="106"/>
        <v>0</v>
      </c>
      <c r="U155" s="227">
        <f t="shared" si="107"/>
        <v>1.9027750000000003</v>
      </c>
      <c r="V155" s="145">
        <f t="shared" si="108"/>
        <v>0</v>
      </c>
      <c r="W155" s="227">
        <f t="shared" si="109"/>
        <v>6.0030000000000001</v>
      </c>
      <c r="X155" s="145">
        <f t="shared" si="110"/>
        <v>0</v>
      </c>
      <c r="Y155" s="227">
        <f t="shared" si="111"/>
        <v>0</v>
      </c>
      <c r="Z155" s="145">
        <f t="shared" si="112"/>
        <v>0</v>
      </c>
      <c r="AA155" s="227">
        <f t="shared" si="113"/>
        <v>0</v>
      </c>
      <c r="AB155" s="145">
        <f t="shared" si="114"/>
        <v>0</v>
      </c>
      <c r="AC155" s="227">
        <f t="shared" si="115"/>
        <v>0</v>
      </c>
      <c r="AD155" s="145">
        <f t="shared" si="116"/>
        <v>0</v>
      </c>
      <c r="AE155" s="227">
        <f t="shared" si="117"/>
        <v>0</v>
      </c>
      <c r="AF155" s="145">
        <f t="shared" si="118"/>
        <v>0</v>
      </c>
    </row>
    <row r="156" spans="1:32" s="145" customFormat="1">
      <c r="A156" s="174">
        <f>INPUTS!C30</f>
        <v>0</v>
      </c>
      <c r="B156" s="243">
        <f t="shared" si="119"/>
        <v>0</v>
      </c>
      <c r="C156" s="243">
        <f t="shared" si="119"/>
        <v>0</v>
      </c>
      <c r="D156" s="243">
        <f t="shared" si="119"/>
        <v>0</v>
      </c>
      <c r="E156" s="243">
        <f t="shared" si="103"/>
        <v>0</v>
      </c>
      <c r="F156" s="243">
        <f t="shared" si="103"/>
        <v>0</v>
      </c>
      <c r="G156" s="243">
        <f t="shared" si="103"/>
        <v>0</v>
      </c>
      <c r="H156" s="243">
        <f t="shared" si="120"/>
        <v>0</v>
      </c>
      <c r="I156" s="243">
        <f t="shared" si="120"/>
        <v>0</v>
      </c>
      <c r="J156" s="243">
        <f t="shared" si="120"/>
        <v>0</v>
      </c>
      <c r="K156" s="243" t="str">
        <f t="shared" si="121"/>
        <v/>
      </c>
      <c r="L156" s="243" t="str">
        <f t="shared" si="121"/>
        <v/>
      </c>
      <c r="M156" s="243" t="str">
        <f t="shared" si="121"/>
        <v/>
      </c>
      <c r="N156" s="719">
        <f>IFERROR(H156*L101*100/L102,0)+IFERROR(I156*U101*100/U102,0)+IFERROR(J156*AD101*100/AD102,0)</f>
        <v>0</v>
      </c>
      <c r="O156" s="719">
        <f t="shared" si="122"/>
        <v>0</v>
      </c>
      <c r="P156" s="719">
        <f t="shared" si="123"/>
        <v>0</v>
      </c>
      <c r="R156" s="734">
        <f t="shared" si="104"/>
        <v>0</v>
      </c>
      <c r="S156" s="227">
        <f t="shared" si="105"/>
        <v>90</v>
      </c>
      <c r="T156" s="145">
        <f t="shared" si="106"/>
        <v>0</v>
      </c>
      <c r="U156" s="227">
        <f t="shared" si="107"/>
        <v>29.05</v>
      </c>
      <c r="V156" s="145">
        <f t="shared" si="108"/>
        <v>0</v>
      </c>
      <c r="W156" s="227">
        <f t="shared" si="109"/>
        <v>87</v>
      </c>
      <c r="X156" s="145">
        <f t="shared" si="110"/>
        <v>0</v>
      </c>
      <c r="Y156" s="227">
        <f t="shared" si="111"/>
        <v>0</v>
      </c>
      <c r="Z156" s="145">
        <f t="shared" si="112"/>
        <v>0</v>
      </c>
      <c r="AA156" s="227">
        <f t="shared" si="113"/>
        <v>0</v>
      </c>
      <c r="AB156" s="145">
        <f t="shared" si="114"/>
        <v>0</v>
      </c>
      <c r="AC156" s="227">
        <f t="shared" si="115"/>
        <v>0</v>
      </c>
      <c r="AD156" s="145">
        <f t="shared" si="116"/>
        <v>0</v>
      </c>
      <c r="AE156" s="227">
        <f t="shared" si="117"/>
        <v>0</v>
      </c>
      <c r="AF156" s="145">
        <f t="shared" si="118"/>
        <v>0</v>
      </c>
    </row>
    <row r="157" spans="1:32" s="145" customFormat="1">
      <c r="D157" s="522"/>
      <c r="O157" s="718">
        <f>SUM(O143:O156)</f>
        <v>69757.371492460836</v>
      </c>
      <c r="R157" s="718">
        <f>SUM(R143:R156)</f>
        <v>7828.4799362307294</v>
      </c>
      <c r="S157" s="228"/>
      <c r="V157" s="558"/>
      <c r="AB157" s="226"/>
    </row>
    <row r="158" spans="1:32" s="145" customFormat="1">
      <c r="O158" s="227"/>
      <c r="S158" s="228"/>
      <c r="V158" s="558"/>
      <c r="AB158" s="226"/>
    </row>
    <row r="159" spans="1:32" s="145" customFormat="1">
      <c r="A159" s="359" t="s">
        <v>1146</v>
      </c>
      <c r="B159" s="359"/>
      <c r="C159" s="359"/>
      <c r="D159" s="359"/>
      <c r="E159" s="359"/>
      <c r="F159" s="359"/>
      <c r="G159" s="359"/>
      <c r="H159" s="359"/>
      <c r="I159" s="359"/>
      <c r="J159" s="359"/>
      <c r="K159" s="359"/>
      <c r="L159" s="359"/>
      <c r="M159" s="359"/>
      <c r="N159" s="359"/>
      <c r="O159" s="359"/>
      <c r="P159" s="359"/>
      <c r="Q159" s="359"/>
      <c r="R159" s="359"/>
      <c r="S159" s="359"/>
      <c r="T159" s="359"/>
      <c r="U159" s="359"/>
      <c r="V159" s="562"/>
      <c r="W159" s="359"/>
      <c r="X159" s="359"/>
      <c r="Y159" s="359"/>
      <c r="Z159" s="359"/>
      <c r="AA159" s="359"/>
      <c r="AB159" s="359"/>
      <c r="AC159" s="359"/>
      <c r="AD159" s="359"/>
      <c r="AE159" s="359"/>
      <c r="AF159" s="359"/>
    </row>
    <row r="160" spans="1:32" s="145" customFormat="1" ht="141.75">
      <c r="A160" s="13"/>
      <c r="B160" s="487" t="s">
        <v>993</v>
      </c>
      <c r="C160" s="487" t="s">
        <v>994</v>
      </c>
      <c r="D160" s="487" t="s">
        <v>1825</v>
      </c>
      <c r="E160" s="487" t="s">
        <v>1158</v>
      </c>
      <c r="F160" s="487" t="s">
        <v>1540</v>
      </c>
      <c r="G160" s="707" t="s">
        <v>1276</v>
      </c>
      <c r="H160" s="707" t="s">
        <v>1277</v>
      </c>
      <c r="I160" s="707" t="s">
        <v>1278</v>
      </c>
      <c r="J160" s="707" t="s">
        <v>1279</v>
      </c>
      <c r="K160" s="707" t="s">
        <v>1280</v>
      </c>
      <c r="L160" s="707" t="s">
        <v>1539</v>
      </c>
      <c r="M160" s="707" t="s">
        <v>1281</v>
      </c>
      <c r="N160" s="707" t="s">
        <v>1282</v>
      </c>
      <c r="O160" s="488" t="s">
        <v>1541</v>
      </c>
      <c r="P160" s="1309" t="s">
        <v>1283</v>
      </c>
      <c r="Q160" s="488" t="s">
        <v>1284</v>
      </c>
      <c r="R160" s="1309" t="s">
        <v>1285</v>
      </c>
      <c r="S160" s="488" t="s">
        <v>1542</v>
      </c>
      <c r="T160" s="1309" t="s">
        <v>1286</v>
      </c>
      <c r="V160" s="558"/>
    </row>
    <row r="161" spans="1:28" s="145" customFormat="1">
      <c r="A161" s="13" t="str">
        <f>INPUTS!C17</f>
        <v>Cows (improved)</v>
      </c>
      <c r="B161" s="630">
        <f>MAX(B143,E143)</f>
        <v>2999.7417169806781</v>
      </c>
      <c r="C161" s="630">
        <f>MAX(C143,F143)</f>
        <v>1932.2660609380043</v>
      </c>
      <c r="D161" s="630">
        <f>MAX(D143,G143)</f>
        <v>0</v>
      </c>
      <c r="E161" s="636">
        <f>IF(B161+C161+D161 = 0, 0, IFERROR(((B161+C161+D161)/365)*0.365,""))</f>
        <v>4.9320077779186819</v>
      </c>
      <c r="F161" s="491">
        <f>IFERROR(E161*365,"")</f>
        <v>1800.182838940319</v>
      </c>
      <c r="G161" s="708">
        <f>INPUTS!H17</f>
        <v>1</v>
      </c>
      <c r="H161" s="708">
        <f>INPUTS!I17</f>
        <v>0</v>
      </c>
      <c r="I161" s="708">
        <f>INPUTS!J17</f>
        <v>0</v>
      </c>
      <c r="J161" s="708">
        <f>INPUTS!K17</f>
        <v>0</v>
      </c>
      <c r="K161" s="708">
        <f>INPUTS!M17</f>
        <v>1</v>
      </c>
      <c r="L161" s="708">
        <f>INPUTS!N17</f>
        <v>0</v>
      </c>
      <c r="M161" s="708">
        <f>INPUTS!O17</f>
        <v>0</v>
      </c>
      <c r="N161" s="708">
        <f>INPUTS!Q17</f>
        <v>0.9</v>
      </c>
      <c r="O161" s="709">
        <f>F161*I161 - F161*I161*M161</f>
        <v>0</v>
      </c>
      <c r="P161" s="710">
        <f>O161*'Livestock parameters'!AD2</f>
        <v>0</v>
      </c>
      <c r="Q161" s="709">
        <f>F161*(G161*K161+H161*L161+I161*M161)*N161</f>
        <v>1620.1645550462872</v>
      </c>
      <c r="R161" s="710">
        <f>Q161*'Livestock parameters'!AD2</f>
        <v>46.984772096342333</v>
      </c>
      <c r="S161" s="709">
        <f>P161+R161</f>
        <v>46.984772096342333</v>
      </c>
      <c r="T161" s="1431">
        <f>SUM(INPUTS!D38:D42)</f>
        <v>4.66</v>
      </c>
      <c r="V161" s="558"/>
    </row>
    <row r="162" spans="1:28" s="145" customFormat="1">
      <c r="A162" s="13" t="str">
        <f>INPUTS!C18</f>
        <v>Steers/heifers (improved)</v>
      </c>
      <c r="B162" s="630">
        <f t="shared" ref="B162:D174" si="124">MAX(B144,E144)</f>
        <v>1761.6899154665052</v>
      </c>
      <c r="C162" s="630">
        <f t="shared" si="124"/>
        <v>1134.7822428455415</v>
      </c>
      <c r="D162" s="630">
        <f t="shared" si="124"/>
        <v>0</v>
      </c>
      <c r="E162" s="636">
        <f t="shared" ref="E162:E174" si="125">IF(B162+C162+D162 = 0, 0, IFERROR(((B162+C162+D162)/365)*0.365,""))</f>
        <v>2.8964721583120467</v>
      </c>
      <c r="F162" s="491">
        <f t="shared" ref="F162:F174" si="126">IFERROR(E162*365,"")</f>
        <v>1057.2123377838971</v>
      </c>
      <c r="G162" s="708">
        <f>INPUTS!H18</f>
        <v>1</v>
      </c>
      <c r="H162" s="708">
        <f>INPUTS!I18</f>
        <v>0</v>
      </c>
      <c r="I162" s="708">
        <f>INPUTS!J18</f>
        <v>0</v>
      </c>
      <c r="J162" s="708">
        <f>INPUTS!K18</f>
        <v>0</v>
      </c>
      <c r="K162" s="708">
        <f>INPUTS!M18</f>
        <v>1</v>
      </c>
      <c r="L162" s="708">
        <f>INPUTS!N18</f>
        <v>0</v>
      </c>
      <c r="M162" s="708">
        <f>INPUTS!O18</f>
        <v>0</v>
      </c>
      <c r="N162" s="708">
        <f>INPUTS!Q18</f>
        <v>0.9</v>
      </c>
      <c r="O162" s="709">
        <f t="shared" ref="O162:O174" si="127">F162*I162 - F162*I162*M162</f>
        <v>0</v>
      </c>
      <c r="P162" s="710">
        <f>O162*'Livestock parameters'!AD3</f>
        <v>0</v>
      </c>
      <c r="Q162" s="709">
        <f t="shared" ref="Q162:Q174" si="128">F162*(G162*K162+H162*L162+I162*M162)*N162</f>
        <v>951.4911040055074</v>
      </c>
      <c r="R162" s="710">
        <f>Q162*'Livestock parameters'!AD3</f>
        <v>27.593242016159717</v>
      </c>
      <c r="S162" s="709">
        <f t="shared" ref="S162:S174" si="129">P162+R162</f>
        <v>27.593242016159717</v>
      </c>
      <c r="T162" s="1432"/>
      <c r="V162" s="558"/>
    </row>
    <row r="163" spans="1:28" s="145" customFormat="1">
      <c r="A163" s="13">
        <f>INPUTS!C19</f>
        <v>0</v>
      </c>
      <c r="B163" s="630">
        <f t="shared" si="124"/>
        <v>0</v>
      </c>
      <c r="C163" s="630">
        <f t="shared" si="124"/>
        <v>0</v>
      </c>
      <c r="D163" s="630">
        <f t="shared" si="124"/>
        <v>0</v>
      </c>
      <c r="E163" s="636">
        <f t="shared" si="125"/>
        <v>0</v>
      </c>
      <c r="F163" s="491">
        <f t="shared" si="126"/>
        <v>0</v>
      </c>
      <c r="G163" s="708">
        <f>INPUTS!H19</f>
        <v>1</v>
      </c>
      <c r="H163" s="708">
        <f>INPUTS!I19</f>
        <v>0</v>
      </c>
      <c r="I163" s="708">
        <f>INPUTS!J19</f>
        <v>0</v>
      </c>
      <c r="J163" s="708">
        <f>INPUTS!K19</f>
        <v>0</v>
      </c>
      <c r="K163" s="708">
        <f>INPUTS!M19</f>
        <v>1</v>
      </c>
      <c r="L163" s="708">
        <f>INPUTS!N19</f>
        <v>0</v>
      </c>
      <c r="M163" s="708">
        <f>INPUTS!O19</f>
        <v>0</v>
      </c>
      <c r="N163" s="708">
        <f>INPUTS!Q19</f>
        <v>0.9</v>
      </c>
      <c r="O163" s="709">
        <f t="shared" si="127"/>
        <v>0</v>
      </c>
      <c r="P163" s="710">
        <f>O163*'Livestock parameters'!AD4</f>
        <v>0</v>
      </c>
      <c r="Q163" s="709">
        <f t="shared" si="128"/>
        <v>0</v>
      </c>
      <c r="R163" s="710">
        <f>Q163*'Livestock parameters'!AD4</f>
        <v>0</v>
      </c>
      <c r="S163" s="709">
        <f t="shared" si="129"/>
        <v>0</v>
      </c>
      <c r="T163" s="1432"/>
      <c r="V163" s="558"/>
    </row>
    <row r="164" spans="1:28" s="145" customFormat="1">
      <c r="A164" s="13">
        <f>INPUTS!C20</f>
        <v>0</v>
      </c>
      <c r="B164" s="630">
        <f t="shared" si="124"/>
        <v>0</v>
      </c>
      <c r="C164" s="630">
        <f t="shared" si="124"/>
        <v>0</v>
      </c>
      <c r="D164" s="630">
        <f t="shared" si="124"/>
        <v>0</v>
      </c>
      <c r="E164" s="636">
        <f t="shared" si="125"/>
        <v>0</v>
      </c>
      <c r="F164" s="491">
        <f t="shared" si="126"/>
        <v>0</v>
      </c>
      <c r="G164" s="708">
        <f>INPUTS!H20</f>
        <v>0</v>
      </c>
      <c r="H164" s="708">
        <f>INPUTS!I20</f>
        <v>0</v>
      </c>
      <c r="I164" s="708">
        <f>INPUTS!J20</f>
        <v>0</v>
      </c>
      <c r="J164" s="708">
        <f>INPUTS!K20</f>
        <v>0</v>
      </c>
      <c r="K164" s="708">
        <f>INPUTS!M20</f>
        <v>0</v>
      </c>
      <c r="L164" s="708">
        <f>INPUTS!N20</f>
        <v>0</v>
      </c>
      <c r="M164" s="708">
        <f>INPUTS!O20</f>
        <v>0</v>
      </c>
      <c r="N164" s="708">
        <f>INPUTS!Q20</f>
        <v>0</v>
      </c>
      <c r="O164" s="709">
        <f t="shared" si="127"/>
        <v>0</v>
      </c>
      <c r="P164" s="710">
        <f>O164*'Livestock parameters'!AD5</f>
        <v>0</v>
      </c>
      <c r="Q164" s="709">
        <f t="shared" si="128"/>
        <v>0</v>
      </c>
      <c r="R164" s="710">
        <f>Q164*'Livestock parameters'!AD5</f>
        <v>0</v>
      </c>
      <c r="S164" s="709">
        <f t="shared" si="129"/>
        <v>0</v>
      </c>
      <c r="T164" s="1432"/>
      <c r="V164" s="558"/>
    </row>
    <row r="165" spans="1:28" s="145" customFormat="1">
      <c r="A165" s="13">
        <f>INPUTS!C21</f>
        <v>0</v>
      </c>
      <c r="B165" s="630">
        <f t="shared" si="124"/>
        <v>0</v>
      </c>
      <c r="C165" s="630">
        <f t="shared" si="124"/>
        <v>0</v>
      </c>
      <c r="D165" s="630">
        <f t="shared" si="124"/>
        <v>0</v>
      </c>
      <c r="E165" s="636">
        <f t="shared" si="125"/>
        <v>0</v>
      </c>
      <c r="F165" s="491">
        <f t="shared" si="126"/>
        <v>0</v>
      </c>
      <c r="G165" s="708">
        <f>INPUTS!H21</f>
        <v>0</v>
      </c>
      <c r="H165" s="708">
        <f>INPUTS!I21</f>
        <v>0</v>
      </c>
      <c r="I165" s="708">
        <f>INPUTS!J21</f>
        <v>0</v>
      </c>
      <c r="J165" s="708">
        <f>INPUTS!K21</f>
        <v>0</v>
      </c>
      <c r="K165" s="708">
        <f>INPUTS!M21</f>
        <v>0</v>
      </c>
      <c r="L165" s="708">
        <f>INPUTS!N21</f>
        <v>0</v>
      </c>
      <c r="M165" s="708">
        <f>INPUTS!O21</f>
        <v>0</v>
      </c>
      <c r="N165" s="708">
        <f>INPUTS!Q21</f>
        <v>0</v>
      </c>
      <c r="O165" s="709">
        <f t="shared" si="127"/>
        <v>0</v>
      </c>
      <c r="P165" s="710">
        <f>O165*'Livestock parameters'!AD6</f>
        <v>0</v>
      </c>
      <c r="Q165" s="709">
        <f t="shared" si="128"/>
        <v>0</v>
      </c>
      <c r="R165" s="710">
        <f>Q165*'Livestock parameters'!AD6</f>
        <v>0</v>
      </c>
      <c r="S165" s="709">
        <f t="shared" si="129"/>
        <v>0</v>
      </c>
      <c r="T165" s="1432"/>
      <c r="V165" s="558"/>
    </row>
    <row r="166" spans="1:28" s="145" customFormat="1">
      <c r="A166" s="13">
        <f>INPUTS!C22</f>
        <v>0</v>
      </c>
      <c r="B166" s="630">
        <f t="shared" si="124"/>
        <v>0</v>
      </c>
      <c r="C166" s="630">
        <f t="shared" si="124"/>
        <v>0</v>
      </c>
      <c r="D166" s="630">
        <f t="shared" si="124"/>
        <v>0</v>
      </c>
      <c r="E166" s="636">
        <f t="shared" si="125"/>
        <v>0</v>
      </c>
      <c r="F166" s="491">
        <f t="shared" si="126"/>
        <v>0</v>
      </c>
      <c r="G166" s="708">
        <f>INPUTS!H22</f>
        <v>0</v>
      </c>
      <c r="H166" s="708">
        <f>INPUTS!I22</f>
        <v>0</v>
      </c>
      <c r="I166" s="708">
        <f>INPUTS!J22</f>
        <v>0</v>
      </c>
      <c r="J166" s="708">
        <f>INPUTS!K22</f>
        <v>0</v>
      </c>
      <c r="K166" s="708">
        <f>INPUTS!M22</f>
        <v>0</v>
      </c>
      <c r="L166" s="708">
        <f>INPUTS!N22</f>
        <v>0</v>
      </c>
      <c r="M166" s="708">
        <f>INPUTS!O22</f>
        <v>0</v>
      </c>
      <c r="N166" s="708">
        <f>INPUTS!Q22</f>
        <v>0</v>
      </c>
      <c r="O166" s="709">
        <f t="shared" si="127"/>
        <v>0</v>
      </c>
      <c r="P166" s="710">
        <f>O166*'Livestock parameters'!AD7</f>
        <v>0</v>
      </c>
      <c r="Q166" s="709">
        <f t="shared" si="128"/>
        <v>0</v>
      </c>
      <c r="R166" s="710">
        <f>Q166*'Livestock parameters'!AD7</f>
        <v>0</v>
      </c>
      <c r="S166" s="709">
        <f t="shared" si="129"/>
        <v>0</v>
      </c>
      <c r="T166" s="1432"/>
      <c r="V166" s="558"/>
    </row>
    <row r="167" spans="1:28" s="145" customFormat="1">
      <c r="A167" s="13">
        <f>INPUTS!C23</f>
        <v>0</v>
      </c>
      <c r="B167" s="630">
        <f t="shared" si="124"/>
        <v>0</v>
      </c>
      <c r="C167" s="630">
        <f t="shared" si="124"/>
        <v>0</v>
      </c>
      <c r="D167" s="630">
        <f t="shared" si="124"/>
        <v>0</v>
      </c>
      <c r="E167" s="636">
        <f t="shared" si="125"/>
        <v>0</v>
      </c>
      <c r="F167" s="491">
        <f t="shared" si="126"/>
        <v>0</v>
      </c>
      <c r="G167" s="708">
        <f>INPUTS!H23</f>
        <v>0</v>
      </c>
      <c r="H167" s="708">
        <f>INPUTS!I23</f>
        <v>0</v>
      </c>
      <c r="I167" s="708">
        <f>INPUTS!J23</f>
        <v>0</v>
      </c>
      <c r="J167" s="708">
        <f>INPUTS!K23</f>
        <v>0</v>
      </c>
      <c r="K167" s="708">
        <f>INPUTS!M23</f>
        <v>0</v>
      </c>
      <c r="L167" s="708">
        <f>INPUTS!N23</f>
        <v>0</v>
      </c>
      <c r="M167" s="708">
        <f>INPUTS!O23</f>
        <v>0</v>
      </c>
      <c r="N167" s="708">
        <f>INPUTS!Q23</f>
        <v>0</v>
      </c>
      <c r="O167" s="709">
        <f t="shared" si="127"/>
        <v>0</v>
      </c>
      <c r="P167" s="710">
        <f>O167*'Livestock parameters'!AD8</f>
        <v>0</v>
      </c>
      <c r="Q167" s="709">
        <f t="shared" si="128"/>
        <v>0</v>
      </c>
      <c r="R167" s="710">
        <f>Q167*'Livestock parameters'!AD8</f>
        <v>0</v>
      </c>
      <c r="S167" s="709">
        <f t="shared" si="129"/>
        <v>0</v>
      </c>
      <c r="T167" s="1432"/>
      <c r="V167" s="558"/>
    </row>
    <row r="168" spans="1:28" s="145" customFormat="1">
      <c r="A168" s="13">
        <f>INPUTS!C24</f>
        <v>0</v>
      </c>
      <c r="B168" s="630">
        <f t="shared" si="124"/>
        <v>0</v>
      </c>
      <c r="C168" s="630">
        <f t="shared" si="124"/>
        <v>0</v>
      </c>
      <c r="D168" s="630">
        <f t="shared" si="124"/>
        <v>0</v>
      </c>
      <c r="E168" s="636">
        <f t="shared" si="125"/>
        <v>0</v>
      </c>
      <c r="F168" s="491">
        <f t="shared" si="126"/>
        <v>0</v>
      </c>
      <c r="G168" s="708">
        <f>INPUTS!H24</f>
        <v>0</v>
      </c>
      <c r="H168" s="708">
        <f>INPUTS!I24</f>
        <v>0</v>
      </c>
      <c r="I168" s="708">
        <f>INPUTS!J24</f>
        <v>0</v>
      </c>
      <c r="J168" s="708">
        <f>INPUTS!K24</f>
        <v>0</v>
      </c>
      <c r="K168" s="708">
        <f>INPUTS!M24</f>
        <v>0</v>
      </c>
      <c r="L168" s="708">
        <f>INPUTS!N24</f>
        <v>0</v>
      </c>
      <c r="M168" s="708">
        <f>INPUTS!O24</f>
        <v>0</v>
      </c>
      <c r="N168" s="708">
        <f>INPUTS!Q24</f>
        <v>0</v>
      </c>
      <c r="O168" s="709">
        <f t="shared" si="127"/>
        <v>0</v>
      </c>
      <c r="P168" s="710">
        <f>O168*'Livestock parameters'!AD9</f>
        <v>0</v>
      </c>
      <c r="Q168" s="709">
        <f t="shared" si="128"/>
        <v>0</v>
      </c>
      <c r="R168" s="710">
        <f>Q168*'Livestock parameters'!AD9</f>
        <v>0</v>
      </c>
      <c r="S168" s="709">
        <f t="shared" si="129"/>
        <v>0</v>
      </c>
      <c r="T168" s="1432"/>
      <c r="V168" s="558"/>
    </row>
    <row r="169" spans="1:28" s="145" customFormat="1">
      <c r="A169" s="13">
        <f>INPUTS!C25</f>
        <v>0</v>
      </c>
      <c r="B169" s="630">
        <f t="shared" si="124"/>
        <v>0</v>
      </c>
      <c r="C169" s="630">
        <f t="shared" si="124"/>
        <v>0</v>
      </c>
      <c r="D169" s="630">
        <f t="shared" si="124"/>
        <v>0</v>
      </c>
      <c r="E169" s="636">
        <f t="shared" si="125"/>
        <v>0</v>
      </c>
      <c r="F169" s="491">
        <f t="shared" si="126"/>
        <v>0</v>
      </c>
      <c r="G169" s="708">
        <f>INPUTS!H25</f>
        <v>0</v>
      </c>
      <c r="H169" s="708">
        <f>INPUTS!I25</f>
        <v>0</v>
      </c>
      <c r="I169" s="708">
        <f>INPUTS!J25</f>
        <v>0</v>
      </c>
      <c r="J169" s="708">
        <f>INPUTS!K25</f>
        <v>0</v>
      </c>
      <c r="K169" s="708">
        <f>INPUTS!M25</f>
        <v>0</v>
      </c>
      <c r="L169" s="708">
        <f>INPUTS!N25</f>
        <v>0</v>
      </c>
      <c r="M169" s="708">
        <f>INPUTS!O25</f>
        <v>0</v>
      </c>
      <c r="N169" s="708">
        <f>INPUTS!Q25</f>
        <v>0</v>
      </c>
      <c r="O169" s="709">
        <f t="shared" si="127"/>
        <v>0</v>
      </c>
      <c r="P169" s="710">
        <f>O169*'Livestock parameters'!AD10</f>
        <v>0</v>
      </c>
      <c r="Q169" s="709">
        <f t="shared" si="128"/>
        <v>0</v>
      </c>
      <c r="R169" s="710">
        <f>Q169*'Livestock parameters'!AD10</f>
        <v>0</v>
      </c>
      <c r="S169" s="709">
        <f t="shared" si="129"/>
        <v>0</v>
      </c>
      <c r="T169" s="1432"/>
      <c r="V169" s="558"/>
    </row>
    <row r="170" spans="1:28" s="145" customFormat="1">
      <c r="A170" s="13">
        <f>INPUTS!C26</f>
        <v>0</v>
      </c>
      <c r="B170" s="630">
        <f t="shared" si="124"/>
        <v>0</v>
      </c>
      <c r="C170" s="630">
        <f t="shared" si="124"/>
        <v>0</v>
      </c>
      <c r="D170" s="630">
        <f t="shared" si="124"/>
        <v>0</v>
      </c>
      <c r="E170" s="636">
        <f t="shared" si="125"/>
        <v>0</v>
      </c>
      <c r="F170" s="491">
        <f t="shared" si="126"/>
        <v>0</v>
      </c>
      <c r="G170" s="708">
        <f>INPUTS!H26</f>
        <v>0</v>
      </c>
      <c r="H170" s="708">
        <f>INPUTS!I26</f>
        <v>0</v>
      </c>
      <c r="I170" s="708">
        <f>INPUTS!J26</f>
        <v>0</v>
      </c>
      <c r="J170" s="708">
        <f>INPUTS!K26</f>
        <v>0</v>
      </c>
      <c r="K170" s="708">
        <f>INPUTS!M26</f>
        <v>0</v>
      </c>
      <c r="L170" s="708">
        <f>INPUTS!N26</f>
        <v>0</v>
      </c>
      <c r="M170" s="708">
        <f>INPUTS!O26</f>
        <v>0</v>
      </c>
      <c r="N170" s="708">
        <f>INPUTS!Q26</f>
        <v>0</v>
      </c>
      <c r="O170" s="709">
        <f t="shared" si="127"/>
        <v>0</v>
      </c>
      <c r="P170" s="710">
        <f>O170*'Livestock parameters'!AD11</f>
        <v>0</v>
      </c>
      <c r="Q170" s="709">
        <f t="shared" si="128"/>
        <v>0</v>
      </c>
      <c r="R170" s="710">
        <f>Q170*'Livestock parameters'!AD11</f>
        <v>0</v>
      </c>
      <c r="S170" s="709">
        <f t="shared" si="129"/>
        <v>0</v>
      </c>
      <c r="T170" s="1432"/>
      <c r="V170" s="558"/>
    </row>
    <row r="171" spans="1:28" s="145" customFormat="1">
      <c r="A171" s="13">
        <f>INPUTS!C27</f>
        <v>0</v>
      </c>
      <c r="B171" s="630">
        <f t="shared" si="124"/>
        <v>0</v>
      </c>
      <c r="C171" s="630">
        <f t="shared" si="124"/>
        <v>0</v>
      </c>
      <c r="D171" s="630">
        <f t="shared" si="124"/>
        <v>0</v>
      </c>
      <c r="E171" s="636">
        <f t="shared" si="125"/>
        <v>0</v>
      </c>
      <c r="F171" s="491">
        <f t="shared" si="126"/>
        <v>0</v>
      </c>
      <c r="G171" s="708">
        <f>INPUTS!H27</f>
        <v>0</v>
      </c>
      <c r="H171" s="708">
        <f>INPUTS!I27</f>
        <v>0</v>
      </c>
      <c r="I171" s="708">
        <f>INPUTS!J27</f>
        <v>0</v>
      </c>
      <c r="J171" s="708">
        <f>INPUTS!K27</f>
        <v>0</v>
      </c>
      <c r="K171" s="708">
        <f>INPUTS!M27</f>
        <v>0</v>
      </c>
      <c r="L171" s="708">
        <f>INPUTS!N27</f>
        <v>0</v>
      </c>
      <c r="M171" s="708">
        <f>INPUTS!O27</f>
        <v>0</v>
      </c>
      <c r="N171" s="708">
        <f>INPUTS!Q27</f>
        <v>0</v>
      </c>
      <c r="O171" s="709">
        <f t="shared" si="127"/>
        <v>0</v>
      </c>
      <c r="P171" s="710">
        <f>O171*'Livestock parameters'!AD12</f>
        <v>0</v>
      </c>
      <c r="Q171" s="709">
        <f t="shared" si="128"/>
        <v>0</v>
      </c>
      <c r="R171" s="710">
        <f>Q171*'Livestock parameters'!AD12</f>
        <v>0</v>
      </c>
      <c r="S171" s="709">
        <f t="shared" si="129"/>
        <v>0</v>
      </c>
      <c r="T171" s="1432"/>
      <c r="V171" s="558"/>
    </row>
    <row r="172" spans="1:28" s="145" customFormat="1">
      <c r="A172" s="13">
        <f>INPUTS!C28</f>
        <v>0</v>
      </c>
      <c r="B172" s="630">
        <f t="shared" si="124"/>
        <v>0</v>
      </c>
      <c r="C172" s="630">
        <f t="shared" si="124"/>
        <v>0</v>
      </c>
      <c r="D172" s="630">
        <f t="shared" si="124"/>
        <v>0</v>
      </c>
      <c r="E172" s="636">
        <f t="shared" si="125"/>
        <v>0</v>
      </c>
      <c r="F172" s="491">
        <f t="shared" si="126"/>
        <v>0</v>
      </c>
      <c r="G172" s="708">
        <f>INPUTS!H28</f>
        <v>0</v>
      </c>
      <c r="H172" s="708">
        <f>INPUTS!I28</f>
        <v>0</v>
      </c>
      <c r="I172" s="708">
        <f>INPUTS!J28</f>
        <v>0</v>
      </c>
      <c r="J172" s="708">
        <f>INPUTS!K28</f>
        <v>0</v>
      </c>
      <c r="K172" s="708">
        <f>INPUTS!M28</f>
        <v>0</v>
      </c>
      <c r="L172" s="708">
        <f>INPUTS!N28</f>
        <v>0</v>
      </c>
      <c r="M172" s="708">
        <f>INPUTS!O28</f>
        <v>0</v>
      </c>
      <c r="N172" s="708">
        <f>INPUTS!Q28</f>
        <v>0</v>
      </c>
      <c r="O172" s="709">
        <f t="shared" si="127"/>
        <v>0</v>
      </c>
      <c r="P172" s="710">
        <f>O172*'Livestock parameters'!AD13</f>
        <v>0</v>
      </c>
      <c r="Q172" s="709">
        <f t="shared" si="128"/>
        <v>0</v>
      </c>
      <c r="R172" s="710">
        <f>Q172*'Livestock parameters'!AD13</f>
        <v>0</v>
      </c>
      <c r="S172" s="709">
        <f t="shared" si="129"/>
        <v>0</v>
      </c>
      <c r="T172" s="1432"/>
      <c r="V172" s="558"/>
    </row>
    <row r="173" spans="1:28" s="145" customFormat="1">
      <c r="A173" s="13">
        <f>INPUTS!C29</f>
        <v>0</v>
      </c>
      <c r="B173" s="630">
        <f t="shared" si="124"/>
        <v>0</v>
      </c>
      <c r="C173" s="630">
        <f t="shared" si="124"/>
        <v>0</v>
      </c>
      <c r="D173" s="630">
        <f t="shared" si="124"/>
        <v>0</v>
      </c>
      <c r="E173" s="636">
        <f t="shared" si="125"/>
        <v>0</v>
      </c>
      <c r="F173" s="491">
        <f t="shared" si="126"/>
        <v>0</v>
      </c>
      <c r="G173" s="708">
        <f>INPUTS!H29</f>
        <v>0</v>
      </c>
      <c r="H173" s="708">
        <f>INPUTS!I29</f>
        <v>0</v>
      </c>
      <c r="I173" s="708">
        <f>INPUTS!J29</f>
        <v>0</v>
      </c>
      <c r="J173" s="708">
        <f>INPUTS!K29</f>
        <v>0</v>
      </c>
      <c r="K173" s="708">
        <f>INPUTS!M29</f>
        <v>0</v>
      </c>
      <c r="L173" s="708">
        <f>INPUTS!N29</f>
        <v>0</v>
      </c>
      <c r="M173" s="708">
        <f>INPUTS!O29</f>
        <v>0</v>
      </c>
      <c r="N173" s="708">
        <f>INPUTS!Q29</f>
        <v>0</v>
      </c>
      <c r="O173" s="709">
        <f t="shared" si="127"/>
        <v>0</v>
      </c>
      <c r="P173" s="710">
        <f>O173*'Livestock parameters'!AD14</f>
        <v>0</v>
      </c>
      <c r="Q173" s="709">
        <f t="shared" si="128"/>
        <v>0</v>
      </c>
      <c r="R173" s="710">
        <f>Q173*'Livestock parameters'!AD14</f>
        <v>0</v>
      </c>
      <c r="S173" s="709">
        <f t="shared" si="129"/>
        <v>0</v>
      </c>
      <c r="T173" s="1432"/>
      <c r="V173" s="558"/>
    </row>
    <row r="174" spans="1:28" s="145" customFormat="1">
      <c r="A174" s="13">
        <f>INPUTS!C30</f>
        <v>0</v>
      </c>
      <c r="B174" s="630">
        <f t="shared" si="124"/>
        <v>0</v>
      </c>
      <c r="C174" s="630">
        <f t="shared" si="124"/>
        <v>0</v>
      </c>
      <c r="D174" s="630">
        <f t="shared" si="124"/>
        <v>0</v>
      </c>
      <c r="E174" s="636">
        <f t="shared" si="125"/>
        <v>0</v>
      </c>
      <c r="F174" s="491">
        <f t="shared" si="126"/>
        <v>0</v>
      </c>
      <c r="G174" s="708">
        <f>INPUTS!H30</f>
        <v>0</v>
      </c>
      <c r="H174" s="708">
        <f>INPUTS!I30</f>
        <v>0</v>
      </c>
      <c r="I174" s="708">
        <f>INPUTS!J30</f>
        <v>0</v>
      </c>
      <c r="J174" s="708">
        <f>INPUTS!K30</f>
        <v>0</v>
      </c>
      <c r="K174" s="708">
        <f>INPUTS!M30</f>
        <v>0</v>
      </c>
      <c r="L174" s="708">
        <f>INPUTS!N30</f>
        <v>0</v>
      </c>
      <c r="M174" s="708">
        <f>INPUTS!O30</f>
        <v>0</v>
      </c>
      <c r="N174" s="708">
        <f>INPUTS!Q30</f>
        <v>0</v>
      </c>
      <c r="O174" s="709">
        <f t="shared" si="127"/>
        <v>0</v>
      </c>
      <c r="P174" s="710">
        <f>O174*'Livestock parameters'!AD15</f>
        <v>0</v>
      </c>
      <c r="Q174" s="709">
        <f t="shared" si="128"/>
        <v>0</v>
      </c>
      <c r="R174" s="710">
        <f>Q174*'Livestock parameters'!AD15</f>
        <v>0</v>
      </c>
      <c r="S174" s="709">
        <f t="shared" si="129"/>
        <v>0</v>
      </c>
      <c r="T174" s="1432"/>
      <c r="V174" s="558"/>
    </row>
    <row r="175" spans="1:28" s="145" customFormat="1">
      <c r="F175" s="596">
        <f>SUM(F161:F174)</f>
        <v>2857.3951767242161</v>
      </c>
      <c r="O175" s="596">
        <f t="shared" ref="O175:T175" si="130">SUM(O161:O174)</f>
        <v>0</v>
      </c>
      <c r="P175" s="596">
        <f t="shared" si="130"/>
        <v>0</v>
      </c>
      <c r="Q175" s="596">
        <f t="shared" si="130"/>
        <v>2571.6556590517948</v>
      </c>
      <c r="R175" s="596">
        <f t="shared" si="130"/>
        <v>74.578014112502046</v>
      </c>
      <c r="S175" s="596">
        <f t="shared" si="130"/>
        <v>74.578014112502046</v>
      </c>
      <c r="T175" s="596">
        <f t="shared" si="130"/>
        <v>4.66</v>
      </c>
      <c r="V175" s="558"/>
      <c r="X175" s="226"/>
    </row>
    <row r="176" spans="1:28" s="145" customFormat="1">
      <c r="O176" s="227"/>
      <c r="S176" s="228"/>
      <c r="V176" s="558"/>
      <c r="AB176" s="226"/>
    </row>
    <row r="177" spans="15:28" s="145" customFormat="1">
      <c r="O177" s="227"/>
      <c r="S177" s="228"/>
      <c r="V177" s="558"/>
      <c r="AB177" s="226"/>
    </row>
    <row r="178" spans="15:28" s="145" customFormat="1">
      <c r="O178" s="227"/>
      <c r="S178" s="228"/>
      <c r="V178" s="558"/>
      <c r="AB178" s="226"/>
    </row>
    <row r="179" spans="15:28" s="145" customFormat="1">
      <c r="O179" s="227"/>
      <c r="S179" s="228"/>
      <c r="V179" s="558"/>
      <c r="AB179" s="226"/>
    </row>
    <row r="180" spans="15:28" s="145" customFormat="1">
      <c r="O180" s="227"/>
      <c r="S180" s="228"/>
      <c r="V180" s="558"/>
      <c r="AB180" s="226"/>
    </row>
    <row r="181" spans="15:28" s="145" customFormat="1">
      <c r="O181" s="227"/>
      <c r="S181" s="228"/>
      <c r="V181" s="558"/>
      <c r="AB181" s="226"/>
    </row>
    <row r="182" spans="15:28" s="145" customFormat="1">
      <c r="O182" s="227"/>
      <c r="S182" s="228"/>
      <c r="V182" s="558"/>
      <c r="AB182" s="226"/>
    </row>
    <row r="183" spans="15:28" s="145" customFormat="1">
      <c r="O183" s="227"/>
      <c r="S183" s="228"/>
      <c r="V183" s="558"/>
      <c r="AB183" s="226"/>
    </row>
    <row r="184" spans="15:28" s="145" customFormat="1">
      <c r="O184" s="227"/>
      <c r="S184" s="228"/>
      <c r="V184" s="558"/>
      <c r="AB184" s="226"/>
    </row>
    <row r="185" spans="15:28" s="145" customFormat="1">
      <c r="O185" s="227"/>
      <c r="S185" s="228"/>
      <c r="V185" s="558"/>
      <c r="AB185" s="226"/>
    </row>
    <row r="186" spans="15:28" s="145" customFormat="1">
      <c r="O186" s="227"/>
      <c r="S186" s="228"/>
      <c r="V186" s="558"/>
      <c r="AB186" s="226"/>
    </row>
    <row r="187" spans="15:28" s="145" customFormat="1">
      <c r="O187" s="227"/>
      <c r="S187" s="228"/>
      <c r="V187" s="558"/>
      <c r="AB187" s="226"/>
    </row>
    <row r="188" spans="15:28" s="145" customFormat="1">
      <c r="O188" s="227"/>
      <c r="S188" s="228"/>
      <c r="V188" s="558"/>
      <c r="AB188" s="226"/>
    </row>
    <row r="189" spans="15:28" s="145" customFormat="1">
      <c r="O189" s="227"/>
      <c r="S189" s="228"/>
      <c r="V189" s="558"/>
      <c r="AB189" s="226"/>
    </row>
    <row r="190" spans="15:28" s="145" customFormat="1">
      <c r="O190" s="227"/>
      <c r="S190" s="228"/>
      <c r="V190" s="558"/>
      <c r="AB190" s="226"/>
    </row>
    <row r="191" spans="15:28" s="145" customFormat="1">
      <c r="O191" s="227"/>
      <c r="S191" s="228"/>
      <c r="V191" s="558"/>
      <c r="AB191" s="226"/>
    </row>
    <row r="192" spans="15:28" s="145" customFormat="1">
      <c r="O192" s="227"/>
      <c r="S192" s="228"/>
      <c r="V192" s="558"/>
      <c r="AB192" s="226"/>
    </row>
    <row r="193" spans="15:28" s="145" customFormat="1">
      <c r="O193" s="227"/>
      <c r="S193" s="228"/>
      <c r="V193" s="558"/>
      <c r="AB193" s="226"/>
    </row>
    <row r="194" spans="15:28" s="145" customFormat="1">
      <c r="O194" s="227"/>
      <c r="S194" s="228"/>
      <c r="V194" s="558"/>
      <c r="AB194" s="226"/>
    </row>
    <row r="195" spans="15:28" s="145" customFormat="1">
      <c r="O195" s="227"/>
      <c r="S195" s="228"/>
      <c r="V195" s="558"/>
      <c r="AB195" s="226"/>
    </row>
    <row r="196" spans="15:28" s="145" customFormat="1">
      <c r="O196" s="227"/>
      <c r="S196" s="228"/>
      <c r="V196" s="558"/>
      <c r="AB196" s="226"/>
    </row>
    <row r="197" spans="15:28" s="145" customFormat="1">
      <c r="O197" s="227"/>
      <c r="S197" s="228"/>
      <c r="V197" s="558"/>
      <c r="AB197" s="226"/>
    </row>
    <row r="198" spans="15:28" s="145" customFormat="1">
      <c r="O198" s="227"/>
      <c r="S198" s="228"/>
      <c r="V198" s="558"/>
      <c r="AB198" s="226"/>
    </row>
    <row r="199" spans="15:28" s="145" customFormat="1">
      <c r="O199" s="227"/>
      <c r="S199" s="228"/>
      <c r="V199" s="558"/>
      <c r="AB199" s="226"/>
    </row>
    <row r="200" spans="15:28" s="145" customFormat="1">
      <c r="O200" s="227"/>
      <c r="S200" s="228"/>
      <c r="V200" s="558"/>
      <c r="AB200" s="226"/>
    </row>
    <row r="201" spans="15:28" s="145" customFormat="1">
      <c r="O201" s="227"/>
      <c r="S201" s="228"/>
      <c r="V201" s="558"/>
      <c r="AB201" s="226"/>
    </row>
    <row r="202" spans="15:28" s="145" customFormat="1">
      <c r="O202" s="227"/>
      <c r="S202" s="228"/>
      <c r="V202" s="558"/>
      <c r="AB202" s="226"/>
    </row>
    <row r="203" spans="15:28" s="145" customFormat="1">
      <c r="O203" s="227"/>
      <c r="S203" s="228"/>
      <c r="V203" s="558"/>
      <c r="AB203" s="226"/>
    </row>
    <row r="204" spans="15:28" s="145" customFormat="1">
      <c r="O204" s="227"/>
      <c r="S204" s="228"/>
      <c r="V204" s="558"/>
      <c r="AB204" s="226"/>
    </row>
    <row r="205" spans="15:28" s="145" customFormat="1">
      <c r="O205" s="227"/>
      <c r="S205" s="228"/>
      <c r="V205" s="558"/>
      <c r="AB205" s="226"/>
    </row>
    <row r="206" spans="15:28" s="145" customFormat="1">
      <c r="O206" s="227"/>
      <c r="S206" s="228"/>
      <c r="V206" s="558"/>
      <c r="AB206" s="226"/>
    </row>
    <row r="207" spans="15:28" s="145" customFormat="1">
      <c r="O207" s="227"/>
      <c r="S207" s="228"/>
      <c r="V207" s="558"/>
      <c r="AB207" s="226"/>
    </row>
    <row r="208" spans="15:28" s="145" customFormat="1">
      <c r="O208" s="227"/>
      <c r="S208" s="228"/>
      <c r="V208" s="558"/>
      <c r="AB208" s="226"/>
    </row>
    <row r="209" spans="15:28" s="145" customFormat="1">
      <c r="O209" s="227"/>
      <c r="S209" s="228"/>
      <c r="V209" s="558"/>
      <c r="AB209" s="226"/>
    </row>
    <row r="210" spans="15:28" s="145" customFormat="1">
      <c r="O210" s="227"/>
      <c r="S210" s="228"/>
      <c r="V210" s="558"/>
      <c r="AB210" s="226"/>
    </row>
    <row r="211" spans="15:28" s="145" customFormat="1">
      <c r="O211" s="227"/>
      <c r="S211" s="228"/>
      <c r="V211" s="558"/>
      <c r="AB211" s="226"/>
    </row>
    <row r="212" spans="15:28" s="145" customFormat="1">
      <c r="O212" s="227"/>
      <c r="S212" s="228"/>
      <c r="V212" s="558"/>
      <c r="AB212" s="226"/>
    </row>
    <row r="213" spans="15:28" s="145" customFormat="1">
      <c r="O213" s="227"/>
      <c r="S213" s="228"/>
      <c r="V213" s="558"/>
      <c r="AB213" s="226"/>
    </row>
    <row r="214" spans="15:28" s="145" customFormat="1">
      <c r="O214" s="227"/>
      <c r="S214" s="228"/>
      <c r="V214" s="558"/>
      <c r="AB214" s="226"/>
    </row>
    <row r="215" spans="15:28" s="145" customFormat="1">
      <c r="O215" s="227"/>
      <c r="S215" s="228"/>
      <c r="V215" s="558"/>
      <c r="AB215" s="226"/>
    </row>
    <row r="216" spans="15:28" s="145" customFormat="1">
      <c r="O216" s="227"/>
      <c r="S216" s="228"/>
      <c r="V216" s="558"/>
      <c r="AB216" s="226"/>
    </row>
    <row r="217" spans="15:28" s="145" customFormat="1">
      <c r="O217" s="227"/>
      <c r="S217" s="228"/>
      <c r="V217" s="558"/>
      <c r="AB217" s="226"/>
    </row>
    <row r="218" spans="15:28" s="145" customFormat="1">
      <c r="O218" s="227"/>
      <c r="S218" s="228"/>
      <c r="V218" s="558"/>
      <c r="AB218" s="226"/>
    </row>
    <row r="219" spans="15:28" s="145" customFormat="1">
      <c r="O219" s="227"/>
      <c r="S219" s="228"/>
      <c r="V219" s="558"/>
      <c r="AB219" s="226"/>
    </row>
    <row r="220" spans="15:28" s="145" customFormat="1">
      <c r="O220" s="227"/>
      <c r="S220" s="228"/>
      <c r="V220" s="558"/>
      <c r="AB220" s="226"/>
    </row>
    <row r="221" spans="15:28" s="145" customFormat="1">
      <c r="O221" s="227"/>
      <c r="S221" s="228"/>
      <c r="V221" s="558"/>
      <c r="AB221" s="226"/>
    </row>
    <row r="222" spans="15:28" s="145" customFormat="1">
      <c r="O222" s="227"/>
      <c r="S222" s="228"/>
      <c r="V222" s="558"/>
      <c r="AB222" s="226"/>
    </row>
    <row r="223" spans="15:28" s="145" customFormat="1">
      <c r="O223" s="227"/>
      <c r="S223" s="228"/>
      <c r="V223" s="558"/>
      <c r="AB223" s="226"/>
    </row>
    <row r="224" spans="15:28" s="145" customFormat="1">
      <c r="O224" s="227"/>
      <c r="S224" s="228"/>
      <c r="V224" s="558"/>
      <c r="AB224" s="226"/>
    </row>
    <row r="225" spans="15:28" s="145" customFormat="1">
      <c r="O225" s="227"/>
      <c r="S225" s="228"/>
      <c r="V225" s="558"/>
      <c r="AB225" s="226"/>
    </row>
    <row r="226" spans="15:28" s="145" customFormat="1">
      <c r="O226" s="227"/>
      <c r="S226" s="228"/>
      <c r="V226" s="558"/>
      <c r="AB226" s="226"/>
    </row>
    <row r="227" spans="15:28" s="145" customFormat="1">
      <c r="O227" s="227"/>
      <c r="S227" s="228"/>
      <c r="V227" s="558"/>
      <c r="AB227" s="226"/>
    </row>
    <row r="228" spans="15:28" s="145" customFormat="1">
      <c r="O228" s="227"/>
      <c r="S228" s="228"/>
      <c r="V228" s="558"/>
      <c r="AB228" s="226"/>
    </row>
    <row r="229" spans="15:28" s="145" customFormat="1">
      <c r="O229" s="227"/>
      <c r="S229" s="228"/>
      <c r="V229" s="558"/>
      <c r="AB229" s="226"/>
    </row>
    <row r="230" spans="15:28" s="145" customFormat="1">
      <c r="O230" s="227"/>
      <c r="S230" s="228"/>
      <c r="V230" s="558"/>
      <c r="AB230" s="226"/>
    </row>
    <row r="231" spans="15:28" s="145" customFormat="1">
      <c r="O231" s="227"/>
      <c r="S231" s="228"/>
      <c r="V231" s="558"/>
      <c r="AB231" s="226"/>
    </row>
    <row r="232" spans="15:28" s="145" customFormat="1">
      <c r="O232" s="227"/>
      <c r="S232" s="228"/>
      <c r="V232" s="558"/>
      <c r="AB232" s="226"/>
    </row>
    <row r="233" spans="15:28" s="145" customFormat="1">
      <c r="O233" s="227"/>
      <c r="S233" s="228"/>
      <c r="V233" s="558"/>
      <c r="AB233" s="226"/>
    </row>
    <row r="234" spans="15:28" s="145" customFormat="1">
      <c r="O234" s="227"/>
      <c r="S234" s="228"/>
      <c r="V234" s="558"/>
      <c r="AB234" s="226"/>
    </row>
    <row r="235" spans="15:28" s="145" customFormat="1">
      <c r="O235" s="227"/>
      <c r="S235" s="228"/>
      <c r="V235" s="558"/>
      <c r="AB235" s="226"/>
    </row>
    <row r="236" spans="15:28" s="145" customFormat="1">
      <c r="O236" s="227"/>
      <c r="S236" s="228"/>
      <c r="V236" s="558"/>
      <c r="AB236" s="226"/>
    </row>
    <row r="237" spans="15:28" s="145" customFormat="1">
      <c r="O237" s="227"/>
      <c r="S237" s="228"/>
      <c r="V237" s="558"/>
      <c r="AB237" s="226"/>
    </row>
    <row r="238" spans="15:28" s="145" customFormat="1">
      <c r="O238" s="227"/>
      <c r="S238" s="228"/>
      <c r="V238" s="558"/>
      <c r="AB238" s="226"/>
    </row>
    <row r="239" spans="15:28" s="145" customFormat="1">
      <c r="O239" s="227"/>
      <c r="S239" s="228"/>
      <c r="V239" s="558"/>
      <c r="AB239" s="226"/>
    </row>
    <row r="240" spans="15:28" s="145" customFormat="1">
      <c r="O240" s="227"/>
      <c r="S240" s="228"/>
      <c r="V240" s="558"/>
      <c r="AB240" s="226"/>
    </row>
    <row r="241" spans="15:28" s="145" customFormat="1">
      <c r="O241" s="227"/>
      <c r="S241" s="228"/>
      <c r="V241" s="558"/>
      <c r="AB241" s="226"/>
    </row>
    <row r="242" spans="15:28" s="145" customFormat="1">
      <c r="O242" s="227"/>
      <c r="S242" s="228"/>
      <c r="V242" s="558"/>
      <c r="AB242" s="226"/>
    </row>
    <row r="243" spans="15:28" s="145" customFormat="1">
      <c r="O243" s="227"/>
      <c r="S243" s="228"/>
      <c r="V243" s="558"/>
      <c r="AB243" s="226"/>
    </row>
    <row r="244" spans="15:28" s="145" customFormat="1">
      <c r="O244" s="227"/>
      <c r="S244" s="228"/>
      <c r="V244" s="558"/>
      <c r="AB244" s="226"/>
    </row>
    <row r="245" spans="15:28" s="145" customFormat="1">
      <c r="O245" s="227"/>
      <c r="S245" s="228"/>
      <c r="V245" s="558"/>
      <c r="AB245" s="226"/>
    </row>
    <row r="246" spans="15:28" s="145" customFormat="1">
      <c r="O246" s="227"/>
      <c r="S246" s="228"/>
      <c r="V246" s="558"/>
      <c r="AB246" s="226"/>
    </row>
    <row r="247" spans="15:28" s="145" customFormat="1">
      <c r="O247" s="227"/>
      <c r="S247" s="228"/>
      <c r="V247" s="558"/>
      <c r="AB247" s="226"/>
    </row>
    <row r="248" spans="15:28" s="145" customFormat="1">
      <c r="O248" s="227"/>
      <c r="S248" s="228"/>
      <c r="V248" s="558"/>
      <c r="AB248" s="226"/>
    </row>
    <row r="249" spans="15:28" s="145" customFormat="1">
      <c r="O249" s="227"/>
      <c r="S249" s="228"/>
      <c r="V249" s="558"/>
      <c r="AB249" s="226"/>
    </row>
    <row r="250" spans="15:28" s="145" customFormat="1">
      <c r="O250" s="227"/>
      <c r="S250" s="228"/>
      <c r="V250" s="558"/>
      <c r="AB250" s="226"/>
    </row>
    <row r="251" spans="15:28" s="145" customFormat="1">
      <c r="O251" s="227"/>
      <c r="S251" s="228"/>
      <c r="V251" s="558"/>
      <c r="AB251" s="226"/>
    </row>
    <row r="252" spans="15:28" s="145" customFormat="1">
      <c r="O252" s="227"/>
      <c r="S252" s="228"/>
      <c r="V252" s="558"/>
      <c r="AB252" s="226"/>
    </row>
    <row r="253" spans="15:28" s="145" customFormat="1">
      <c r="O253" s="227"/>
      <c r="S253" s="228"/>
      <c r="V253" s="558"/>
      <c r="AB253" s="226"/>
    </row>
    <row r="254" spans="15:28" s="145" customFormat="1">
      <c r="O254" s="227"/>
      <c r="S254" s="228"/>
      <c r="V254" s="558"/>
      <c r="AB254" s="226"/>
    </row>
    <row r="255" spans="15:28" s="145" customFormat="1">
      <c r="O255" s="227"/>
      <c r="S255" s="228"/>
      <c r="V255" s="558"/>
      <c r="AB255" s="226"/>
    </row>
    <row r="256" spans="15:28" s="145" customFormat="1">
      <c r="O256" s="227"/>
      <c r="S256" s="228"/>
      <c r="V256" s="558"/>
      <c r="AB256" s="226"/>
    </row>
    <row r="257" spans="15:28" s="145" customFormat="1">
      <c r="O257" s="227"/>
      <c r="S257" s="228"/>
      <c r="V257" s="558"/>
      <c r="AB257" s="226"/>
    </row>
    <row r="258" spans="15:28" s="145" customFormat="1">
      <c r="O258" s="227"/>
      <c r="S258" s="228"/>
      <c r="V258" s="558"/>
      <c r="AB258" s="226"/>
    </row>
    <row r="259" spans="15:28" s="145" customFormat="1">
      <c r="O259" s="227"/>
      <c r="S259" s="228"/>
      <c r="V259" s="558"/>
      <c r="AB259" s="226"/>
    </row>
    <row r="260" spans="15:28" s="145" customFormat="1">
      <c r="O260" s="227"/>
      <c r="S260" s="228"/>
      <c r="V260" s="558"/>
      <c r="AB260" s="226"/>
    </row>
    <row r="261" spans="15:28" s="145" customFormat="1">
      <c r="O261" s="227"/>
      <c r="S261" s="228"/>
      <c r="V261" s="558"/>
      <c r="AB261" s="226"/>
    </row>
    <row r="262" spans="15:28" s="145" customFormat="1">
      <c r="O262" s="227"/>
      <c r="S262" s="228"/>
      <c r="V262" s="558"/>
      <c r="AB262" s="226"/>
    </row>
    <row r="263" spans="15:28" s="145" customFormat="1">
      <c r="O263" s="227"/>
      <c r="S263" s="228"/>
      <c r="V263" s="558"/>
      <c r="AB263" s="226"/>
    </row>
    <row r="264" spans="15:28" s="145" customFormat="1">
      <c r="O264" s="227"/>
      <c r="S264" s="228"/>
      <c r="V264" s="558"/>
      <c r="AB264" s="226"/>
    </row>
    <row r="265" spans="15:28" s="145" customFormat="1">
      <c r="O265" s="227"/>
      <c r="S265" s="228"/>
      <c r="V265" s="558"/>
      <c r="AB265" s="226"/>
    </row>
    <row r="266" spans="15:28" s="145" customFormat="1">
      <c r="O266" s="227"/>
      <c r="S266" s="228"/>
      <c r="V266" s="558"/>
      <c r="AB266" s="226"/>
    </row>
    <row r="267" spans="15:28" s="145" customFormat="1">
      <c r="O267" s="227"/>
      <c r="S267" s="228"/>
      <c r="V267" s="558"/>
      <c r="AB267" s="226"/>
    </row>
    <row r="268" spans="15:28" s="145" customFormat="1">
      <c r="O268" s="227"/>
      <c r="S268" s="228"/>
      <c r="V268" s="558"/>
      <c r="AB268" s="226"/>
    </row>
    <row r="269" spans="15:28" s="145" customFormat="1">
      <c r="O269" s="227"/>
      <c r="S269" s="228"/>
      <c r="V269" s="558"/>
      <c r="AB269" s="226"/>
    </row>
    <row r="270" spans="15:28" s="145" customFormat="1">
      <c r="O270" s="227"/>
      <c r="S270" s="228"/>
      <c r="V270" s="558"/>
      <c r="AB270" s="226"/>
    </row>
    <row r="271" spans="15:28" s="145" customFormat="1">
      <c r="O271" s="227"/>
      <c r="S271" s="228"/>
      <c r="V271" s="558"/>
      <c r="AB271" s="226"/>
    </row>
    <row r="272" spans="15:28" s="145" customFormat="1">
      <c r="O272" s="227"/>
      <c r="S272" s="228"/>
      <c r="V272" s="558"/>
      <c r="AB272" s="226"/>
    </row>
    <row r="273" spans="15:28" s="145" customFormat="1">
      <c r="O273" s="227"/>
      <c r="S273" s="228"/>
      <c r="V273" s="558"/>
      <c r="AB273" s="226"/>
    </row>
    <row r="274" spans="15:28" s="145" customFormat="1">
      <c r="O274" s="227"/>
      <c r="S274" s="228"/>
      <c r="V274" s="558"/>
      <c r="AB274" s="226"/>
    </row>
    <row r="275" spans="15:28" s="145" customFormat="1">
      <c r="O275" s="227"/>
      <c r="S275" s="228"/>
      <c r="V275" s="558"/>
      <c r="AB275" s="226"/>
    </row>
    <row r="276" spans="15:28" s="145" customFormat="1">
      <c r="O276" s="227"/>
      <c r="S276" s="228"/>
      <c r="V276" s="558"/>
      <c r="AB276" s="226"/>
    </row>
    <row r="277" spans="15:28" s="145" customFormat="1">
      <c r="O277" s="227"/>
      <c r="S277" s="228"/>
      <c r="V277" s="558"/>
      <c r="AB277" s="226"/>
    </row>
    <row r="278" spans="15:28" s="145" customFormat="1">
      <c r="O278" s="227"/>
      <c r="S278" s="228"/>
      <c r="V278" s="558"/>
      <c r="AB278" s="226"/>
    </row>
    <row r="279" spans="15:28" s="145" customFormat="1">
      <c r="O279" s="227"/>
      <c r="S279" s="228"/>
      <c r="V279" s="558"/>
      <c r="AB279" s="226"/>
    </row>
    <row r="280" spans="15:28" s="145" customFormat="1">
      <c r="O280" s="227"/>
      <c r="S280" s="228"/>
      <c r="V280" s="558"/>
      <c r="AB280" s="226"/>
    </row>
    <row r="281" spans="15:28" s="145" customFormat="1">
      <c r="O281" s="227"/>
      <c r="S281" s="228"/>
      <c r="V281" s="558"/>
      <c r="AB281" s="226"/>
    </row>
    <row r="282" spans="15:28" s="145" customFormat="1">
      <c r="O282" s="227"/>
      <c r="S282" s="228"/>
      <c r="V282" s="558"/>
      <c r="AB282" s="226"/>
    </row>
    <row r="283" spans="15:28" s="145" customFormat="1">
      <c r="O283" s="227"/>
      <c r="S283" s="228"/>
      <c r="V283" s="558"/>
      <c r="AB283" s="226"/>
    </row>
    <row r="284" spans="15:28" s="145" customFormat="1">
      <c r="O284" s="227"/>
      <c r="S284" s="228"/>
      <c r="V284" s="558"/>
      <c r="AB284" s="226"/>
    </row>
    <row r="285" spans="15:28" s="145" customFormat="1">
      <c r="O285" s="227"/>
      <c r="S285" s="228"/>
      <c r="V285" s="558"/>
      <c r="AB285" s="226"/>
    </row>
    <row r="286" spans="15:28" s="145" customFormat="1">
      <c r="O286" s="227"/>
      <c r="S286" s="228"/>
      <c r="V286" s="558"/>
      <c r="AB286" s="226"/>
    </row>
    <row r="287" spans="15:28" s="145" customFormat="1">
      <c r="O287" s="227"/>
      <c r="S287" s="228"/>
      <c r="V287" s="558"/>
      <c r="AB287" s="226"/>
    </row>
    <row r="288" spans="15:28" s="145" customFormat="1">
      <c r="O288" s="227"/>
      <c r="S288" s="228"/>
      <c r="V288" s="558"/>
      <c r="AB288" s="226"/>
    </row>
    <row r="289" spans="15:28" s="145" customFormat="1">
      <c r="O289" s="227"/>
      <c r="S289" s="228"/>
      <c r="V289" s="558"/>
      <c r="AB289" s="226"/>
    </row>
    <row r="290" spans="15:28" s="145" customFormat="1">
      <c r="O290" s="227"/>
      <c r="S290" s="228"/>
      <c r="V290" s="558"/>
      <c r="AB290" s="226"/>
    </row>
    <row r="291" spans="15:28" s="145" customFormat="1">
      <c r="O291" s="227"/>
      <c r="S291" s="228"/>
      <c r="V291" s="558"/>
      <c r="AB291" s="226"/>
    </row>
  </sheetData>
  <pageMargins left="0.75" right="0.75" top="1" bottom="1" header="0.5" footer="0.5"/>
  <pageSetup paperSize="9" orientation="portrait" horizontalDpi="4294967292" verticalDpi="4294967292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00B050"/>
  </sheetPr>
  <dimension ref="A2:DO28"/>
  <sheetViews>
    <sheetView workbookViewId="0">
      <selection activeCell="B8" sqref="B8"/>
    </sheetView>
  </sheetViews>
  <sheetFormatPr defaultColWidth="8.625" defaultRowHeight="15.75"/>
  <cols>
    <col min="1" max="1" width="26.25" style="1325" customWidth="1"/>
    <col min="2" max="2" width="11.25" style="1325" customWidth="1"/>
    <col min="3" max="4" width="12.375" style="1325" customWidth="1"/>
    <col min="5" max="7" width="10.25" style="1325" customWidth="1"/>
    <col min="8" max="16" width="11.75" style="1325" customWidth="1"/>
    <col min="17" max="17" width="10.875" style="1325" customWidth="1"/>
    <col min="18" max="18" width="13" style="1325" bestFit="1" customWidth="1"/>
    <col min="19" max="22" width="10.25" style="1325" customWidth="1"/>
    <col min="23" max="23" width="12.25" style="1325" bestFit="1" customWidth="1"/>
    <col min="24" max="24" width="8.625" style="1325"/>
    <col min="25" max="25" width="9" style="1325" customWidth="1"/>
    <col min="26" max="34" width="8.625" style="1325"/>
    <col min="35" max="38" width="11" style="1325" customWidth="1"/>
    <col min="39" max="39" width="11.125" style="1325" customWidth="1"/>
    <col min="40" max="40" width="10.25" style="1325" customWidth="1"/>
    <col min="41" max="49" width="8.625" style="1325"/>
    <col min="50" max="52" width="10.125" style="1325" customWidth="1"/>
    <col min="53" max="65" width="8.625" style="1325"/>
    <col min="66" max="66" width="10.75" style="1325" customWidth="1"/>
    <col min="67" max="68" width="11.25" style="1325" customWidth="1"/>
    <col min="69" max="81" width="8.625" style="1325"/>
    <col min="82" max="82" width="10.75" style="1325" customWidth="1"/>
    <col min="83" max="83" width="11.375" style="1325" bestFit="1" customWidth="1"/>
    <col min="84" max="87" width="11.375" style="1325" customWidth="1"/>
    <col min="88" max="97" width="8.625" style="1325"/>
    <col min="98" max="98" width="9.5" style="1325" customWidth="1"/>
    <col min="99" max="99" width="11.875" style="1325" bestFit="1" customWidth="1"/>
    <col min="100" max="100" width="11.875" style="1325" customWidth="1"/>
    <col min="101" max="113" width="8.625" style="1325"/>
    <col min="114" max="114" width="9" style="1325" customWidth="1"/>
    <col min="115" max="115" width="8.625" style="1325" customWidth="1"/>
    <col min="116" max="16384" width="8.625" style="1325"/>
  </cols>
  <sheetData>
    <row r="2" spans="1:116">
      <c r="A2" s="359" t="s">
        <v>1398</v>
      </c>
      <c r="B2" s="359"/>
      <c r="C2" s="359"/>
      <c r="D2" s="359"/>
      <c r="E2" s="359"/>
      <c r="F2" s="359"/>
      <c r="G2" s="359"/>
      <c r="H2" s="359"/>
      <c r="I2" s="359"/>
      <c r="J2" s="359"/>
      <c r="K2" s="359"/>
      <c r="L2" s="359"/>
      <c r="M2" s="359"/>
      <c r="N2" s="359"/>
      <c r="O2" s="359"/>
      <c r="P2" s="359"/>
      <c r="Q2" s="359"/>
      <c r="R2" s="359"/>
      <c r="S2" s="359"/>
      <c r="T2" s="359"/>
      <c r="U2" s="359"/>
      <c r="V2" s="359"/>
      <c r="W2" s="359"/>
      <c r="X2" s="359"/>
      <c r="Y2" s="359"/>
      <c r="Z2" s="359"/>
      <c r="AA2" s="359"/>
      <c r="AB2" s="359"/>
      <c r="AC2" s="359"/>
      <c r="AD2" s="359"/>
      <c r="AE2" s="359"/>
      <c r="AF2" s="359"/>
      <c r="AG2" s="359"/>
      <c r="AH2" s="359"/>
      <c r="AI2" s="359"/>
      <c r="AJ2" s="359"/>
      <c r="AK2" s="359"/>
      <c r="AL2" s="359"/>
      <c r="AM2" s="359"/>
      <c r="AN2" s="359"/>
      <c r="AO2" s="359"/>
      <c r="AP2" s="359"/>
      <c r="AQ2" s="359"/>
      <c r="AR2" s="359"/>
      <c r="AS2" s="359"/>
      <c r="AT2" s="359"/>
      <c r="AU2" s="359"/>
      <c r="AV2" s="359"/>
      <c r="AW2" s="359"/>
      <c r="AX2" s="359"/>
      <c r="AY2" s="359"/>
      <c r="AZ2" s="359"/>
      <c r="BA2" s="359"/>
      <c r="BB2" s="359"/>
      <c r="BC2" s="359"/>
      <c r="BD2" s="359"/>
      <c r="BE2" s="359"/>
      <c r="BF2" s="359"/>
      <c r="BG2" s="359"/>
      <c r="BH2" s="359"/>
      <c r="BI2" s="359"/>
      <c r="BJ2" s="359"/>
      <c r="BK2" s="359"/>
      <c r="BL2" s="359"/>
      <c r="BM2" s="359"/>
      <c r="BN2" s="359"/>
      <c r="BO2" s="359"/>
      <c r="BP2" s="359"/>
      <c r="BQ2" s="359"/>
      <c r="BR2" s="359"/>
      <c r="BS2" s="359"/>
      <c r="BT2" s="359"/>
      <c r="BU2" s="359"/>
      <c r="BV2" s="359"/>
      <c r="BW2" s="359"/>
      <c r="BX2" s="359"/>
      <c r="BY2" s="359"/>
      <c r="BZ2" s="359"/>
      <c r="CA2" s="359"/>
      <c r="CB2" s="359"/>
      <c r="CC2" s="359"/>
      <c r="CD2" s="359"/>
      <c r="CE2" s="359"/>
      <c r="CF2" s="359"/>
      <c r="CG2" s="359"/>
      <c r="CH2" s="359"/>
      <c r="CI2" s="359"/>
      <c r="CJ2" s="359"/>
      <c r="CK2" s="359"/>
      <c r="CL2" s="359"/>
      <c r="CM2" s="359"/>
      <c r="CN2" s="359"/>
      <c r="CO2" s="359"/>
      <c r="CP2" s="359"/>
      <c r="CQ2" s="359"/>
      <c r="CR2" s="359"/>
      <c r="CS2" s="359"/>
      <c r="CT2" s="359"/>
      <c r="CU2" s="359"/>
      <c r="CV2" s="359"/>
      <c r="CW2" s="359"/>
      <c r="CX2" s="359"/>
      <c r="CY2" s="359"/>
      <c r="CZ2" s="359"/>
      <c r="DA2" s="359"/>
      <c r="DB2" s="359"/>
      <c r="DC2" s="359"/>
      <c r="DD2" s="359"/>
      <c r="DE2" s="359"/>
      <c r="DF2" s="359"/>
      <c r="DG2" s="359"/>
      <c r="DH2" s="359"/>
      <c r="DI2" s="359"/>
      <c r="DJ2" s="359"/>
      <c r="DK2" s="359"/>
    </row>
    <row r="3" spans="1:116" ht="15.75" customHeight="1" thickBot="1">
      <c r="A3" s="122"/>
      <c r="B3" s="1584" t="s">
        <v>1124</v>
      </c>
      <c r="C3" s="1585"/>
      <c r="D3" s="1585"/>
      <c r="E3" s="1585"/>
      <c r="F3" s="1585"/>
      <c r="G3" s="1585"/>
      <c r="H3" s="1585"/>
      <c r="I3" s="1585"/>
      <c r="J3" s="1585"/>
      <c r="K3" s="1585"/>
      <c r="L3" s="1585"/>
      <c r="M3" s="1585"/>
      <c r="N3" s="1585"/>
      <c r="O3" s="1585"/>
      <c r="P3" s="1585"/>
      <c r="Q3" s="1585"/>
      <c r="R3" s="1585"/>
      <c r="S3" s="1585"/>
      <c r="T3" s="1585"/>
      <c r="U3" s="1585"/>
      <c r="V3" s="1585"/>
      <c r="W3" s="1585"/>
      <c r="X3" s="1585"/>
      <c r="Y3" s="1585"/>
      <c r="Z3" s="1585"/>
      <c r="AA3" s="1585"/>
      <c r="AB3" s="1585"/>
      <c r="AC3" s="1585"/>
      <c r="AD3" s="1585"/>
      <c r="AE3" s="1585"/>
      <c r="AF3" s="1585"/>
      <c r="AG3" s="1585"/>
      <c r="AH3" s="1585"/>
      <c r="AI3" s="1585"/>
      <c r="AJ3" s="1585"/>
      <c r="AK3" s="1585"/>
      <c r="AL3" s="1585"/>
      <c r="AM3" s="1585"/>
      <c r="AN3" s="1585"/>
      <c r="AO3" s="1585"/>
      <c r="AP3" s="1585"/>
      <c r="AQ3" s="1585"/>
      <c r="AR3" s="1585"/>
      <c r="AS3" s="1585"/>
      <c r="AT3" s="1585"/>
      <c r="AU3" s="1585"/>
      <c r="AV3" s="1585"/>
      <c r="AW3" s="1585"/>
      <c r="AX3" s="1585"/>
      <c r="AY3" s="1585"/>
      <c r="AZ3" s="1585"/>
      <c r="BA3" s="1585"/>
      <c r="BB3" s="1585"/>
      <c r="BC3" s="1585"/>
      <c r="BD3" s="1585"/>
      <c r="BE3" s="1585"/>
      <c r="BF3" s="1585"/>
      <c r="BG3" s="1585"/>
      <c r="BH3" s="1585"/>
      <c r="BI3" s="1585"/>
      <c r="BJ3" s="1585"/>
      <c r="BK3" s="1585"/>
      <c r="BL3" s="1585"/>
      <c r="BM3" s="1585"/>
      <c r="BN3" s="1585"/>
      <c r="BO3" s="1585"/>
      <c r="BP3" s="1585"/>
      <c r="BQ3" s="1585"/>
      <c r="BR3" s="1585"/>
      <c r="BS3" s="1585"/>
      <c r="BT3" s="1585"/>
      <c r="BU3" s="1585"/>
      <c r="BV3" s="1585"/>
      <c r="BW3" s="1585"/>
      <c r="BX3" s="1585"/>
      <c r="BY3" s="1585"/>
      <c r="BZ3" s="1585"/>
      <c r="CA3" s="1585"/>
      <c r="CB3" s="1585"/>
      <c r="CC3" s="1585"/>
      <c r="CD3" s="1585"/>
      <c r="CE3" s="1585"/>
      <c r="CF3" s="1585"/>
      <c r="CG3" s="1585"/>
      <c r="CH3" s="1585"/>
      <c r="CI3" s="1585"/>
      <c r="CJ3" s="1585"/>
      <c r="CK3" s="1585"/>
      <c r="CL3" s="1585"/>
      <c r="CM3" s="1585"/>
      <c r="CN3" s="1585"/>
      <c r="CO3" s="1585"/>
      <c r="CP3" s="1585"/>
      <c r="CQ3" s="1585"/>
      <c r="CR3" s="1585"/>
      <c r="CS3" s="1585"/>
      <c r="CT3" s="1585"/>
      <c r="CU3" s="1585"/>
      <c r="CV3" s="1585"/>
      <c r="CW3" s="1585"/>
      <c r="CX3" s="1585"/>
      <c r="CY3" s="1585"/>
      <c r="CZ3" s="1585"/>
      <c r="DA3" s="1585"/>
      <c r="DB3" s="1585"/>
      <c r="DC3" s="1585"/>
      <c r="DD3" s="1585"/>
      <c r="DE3" s="1585"/>
      <c r="DF3" s="1585"/>
      <c r="DG3" s="1585"/>
      <c r="DH3" s="1585"/>
      <c r="DI3" s="1585"/>
      <c r="DJ3" s="1585"/>
      <c r="DK3" s="1585"/>
    </row>
    <row r="4" spans="1:116">
      <c r="A4" s="542"/>
      <c r="B4" s="1586" t="str">
        <f>CONCATENATE("Feed Item 1 - ", INPUTS!B56)</f>
        <v>Feed Item 1 - Concentrate (commercial)</v>
      </c>
      <c r="C4" s="1587"/>
      <c r="D4" s="1587"/>
      <c r="E4" s="1587"/>
      <c r="F4" s="1587"/>
      <c r="G4" s="1587"/>
      <c r="H4" s="1587"/>
      <c r="I4" s="1587"/>
      <c r="J4" s="1587"/>
      <c r="K4" s="1587"/>
      <c r="L4" s="1587"/>
      <c r="M4" s="1587"/>
      <c r="N4" s="1587"/>
      <c r="O4" s="1587"/>
      <c r="P4" s="1587"/>
      <c r="Q4" s="1587"/>
      <c r="R4" s="1588" t="str">
        <f>CONCATENATE("Feed Item 2 - ", INPUTS!B57)</f>
        <v xml:space="preserve">Feed Item 2 - Naturally occuring pasture - green fodder </v>
      </c>
      <c r="S4" s="1589"/>
      <c r="T4" s="1589"/>
      <c r="U4" s="1589"/>
      <c r="V4" s="1589"/>
      <c r="W4" s="1589"/>
      <c r="X4" s="1589"/>
      <c r="Y4" s="1590"/>
      <c r="Z4" s="1590"/>
      <c r="AA4" s="1590"/>
      <c r="AB4" s="1590"/>
      <c r="AC4" s="1590"/>
      <c r="AD4" s="1590"/>
      <c r="AE4" s="1590"/>
      <c r="AF4" s="1590"/>
      <c r="AG4" s="1591"/>
      <c r="AH4" s="1588" t="str">
        <f>CONCATENATE("Feed Item 3 - ", INPUTS!B58)</f>
        <v>Feed Item 3 - Maize (Zea mays) - stover</v>
      </c>
      <c r="AI4" s="1589"/>
      <c r="AJ4" s="1589"/>
      <c r="AK4" s="1589"/>
      <c r="AL4" s="1589"/>
      <c r="AM4" s="1589"/>
      <c r="AN4" s="1589"/>
      <c r="AO4" s="1589"/>
      <c r="AP4" s="1590"/>
      <c r="AQ4" s="1590"/>
      <c r="AR4" s="1590"/>
      <c r="AS4" s="1590"/>
      <c r="AT4" s="1590"/>
      <c r="AU4" s="1590"/>
      <c r="AV4" s="1590"/>
      <c r="AW4" s="1591"/>
      <c r="AX4" s="1588" t="str">
        <f>CONCATENATE("Feed Item 4 - ", INPUTS!B59)</f>
        <v>Feed Item 4 - N/A</v>
      </c>
      <c r="AY4" s="1589"/>
      <c r="AZ4" s="1589"/>
      <c r="BA4" s="1589"/>
      <c r="BB4" s="1589"/>
      <c r="BC4" s="1589"/>
      <c r="BD4" s="1589"/>
      <c r="BE4" s="1589"/>
      <c r="BF4" s="1590"/>
      <c r="BG4" s="1590"/>
      <c r="BH4" s="1590"/>
      <c r="BI4" s="1590"/>
      <c r="BJ4" s="1590"/>
      <c r="BK4" s="1590"/>
      <c r="BL4" s="1590"/>
      <c r="BM4" s="1591"/>
      <c r="BN4" s="1588" t="str">
        <f>CONCATENATE("Feed Item 5 - ", INPUTS!B60)</f>
        <v>Feed Item 5 - N/A</v>
      </c>
      <c r="BO4" s="1589"/>
      <c r="BP4" s="1589"/>
      <c r="BQ4" s="1589"/>
      <c r="BR4" s="1589"/>
      <c r="BS4" s="1589"/>
      <c r="BT4" s="1589"/>
      <c r="BU4" s="1589"/>
      <c r="BV4" s="1590"/>
      <c r="BW4" s="1590"/>
      <c r="BX4" s="1590"/>
      <c r="BY4" s="1590"/>
      <c r="BZ4" s="1590"/>
      <c r="CA4" s="1590"/>
      <c r="CB4" s="1590"/>
      <c r="CC4" s="1591"/>
      <c r="CD4" s="1592" t="str">
        <f>CONCATENATE("Feed Item 6 - ", INPUTS!B61)</f>
        <v>Feed Item 6 - N/A</v>
      </c>
      <c r="CE4" s="1593"/>
      <c r="CF4" s="1593"/>
      <c r="CG4" s="1593"/>
      <c r="CH4" s="1593"/>
      <c r="CI4" s="1593"/>
      <c r="CJ4" s="1593"/>
      <c r="CK4" s="1593"/>
      <c r="CL4" s="1594"/>
      <c r="CM4" s="1594"/>
      <c r="CN4" s="1594"/>
      <c r="CO4" s="1594"/>
      <c r="CP4" s="1594"/>
      <c r="CQ4" s="1594"/>
      <c r="CR4" s="1594"/>
      <c r="CS4" s="1595"/>
      <c r="CT4" s="1588" t="str">
        <f>CONCATENATE("Feed Item 7 - ", INPUTS!B62)</f>
        <v>Feed Item 7 - N/A</v>
      </c>
      <c r="CU4" s="1589"/>
      <c r="CV4" s="1589"/>
      <c r="CW4" s="1589"/>
      <c r="CX4" s="1589"/>
      <c r="CY4" s="1589"/>
      <c r="CZ4" s="1589"/>
      <c r="DA4" s="1589"/>
      <c r="DB4" s="1589"/>
      <c r="DC4" s="1589"/>
      <c r="DD4" s="1589"/>
      <c r="DE4" s="1590"/>
      <c r="DF4" s="1590"/>
      <c r="DG4" s="1590"/>
      <c r="DH4" s="1590"/>
      <c r="DI4" s="1591"/>
      <c r="DJ4" s="551"/>
      <c r="DK4" s="552"/>
      <c r="DL4" s="552"/>
    </row>
    <row r="5" spans="1:116" ht="62.25" customHeight="1">
      <c r="A5" s="543"/>
      <c r="B5" s="716" t="s">
        <v>1080</v>
      </c>
      <c r="C5" s="474" t="s">
        <v>1081</v>
      </c>
      <c r="D5" s="474" t="s">
        <v>1826</v>
      </c>
      <c r="E5" s="474" t="s">
        <v>1400</v>
      </c>
      <c r="F5" s="474" t="s">
        <v>1401</v>
      </c>
      <c r="G5" s="474" t="s">
        <v>1399</v>
      </c>
      <c r="H5" s="474" t="s">
        <v>1323</v>
      </c>
      <c r="I5" s="474" t="s">
        <v>1404</v>
      </c>
      <c r="J5" s="474" t="s">
        <v>1405</v>
      </c>
      <c r="K5" s="474" t="s">
        <v>1827</v>
      </c>
      <c r="L5" s="474" t="s">
        <v>1402</v>
      </c>
      <c r="M5" s="474" t="s">
        <v>1403</v>
      </c>
      <c r="N5" s="474" t="s">
        <v>1828</v>
      </c>
      <c r="O5" s="808" t="s">
        <v>1406</v>
      </c>
      <c r="P5" s="714" t="s">
        <v>1407</v>
      </c>
      <c r="Q5" s="714" t="s">
        <v>1829</v>
      </c>
      <c r="R5" s="716" t="s">
        <v>1080</v>
      </c>
      <c r="S5" s="474" t="s">
        <v>1081</v>
      </c>
      <c r="T5" s="474" t="s">
        <v>1826</v>
      </c>
      <c r="U5" s="474" t="s">
        <v>1400</v>
      </c>
      <c r="V5" s="474" t="s">
        <v>1401</v>
      </c>
      <c r="W5" s="474" t="s">
        <v>1399</v>
      </c>
      <c r="X5" s="474" t="s">
        <v>1323</v>
      </c>
      <c r="Y5" s="474" t="s">
        <v>1404</v>
      </c>
      <c r="Z5" s="474" t="s">
        <v>1405</v>
      </c>
      <c r="AA5" s="474" t="s">
        <v>1827</v>
      </c>
      <c r="AB5" s="474" t="s">
        <v>1402</v>
      </c>
      <c r="AC5" s="474" t="s">
        <v>1403</v>
      </c>
      <c r="AD5" s="474" t="s">
        <v>1828</v>
      </c>
      <c r="AE5" s="808" t="s">
        <v>1406</v>
      </c>
      <c r="AF5" s="714" t="s">
        <v>1407</v>
      </c>
      <c r="AG5" s="714" t="s">
        <v>1829</v>
      </c>
      <c r="AH5" s="545" t="s">
        <v>1080</v>
      </c>
      <c r="AI5" s="474" t="s">
        <v>1081</v>
      </c>
      <c r="AJ5" s="474" t="s">
        <v>1826</v>
      </c>
      <c r="AK5" s="474" t="s">
        <v>1400</v>
      </c>
      <c r="AL5" s="474" t="s">
        <v>1401</v>
      </c>
      <c r="AM5" s="474" t="s">
        <v>1399</v>
      </c>
      <c r="AN5" s="474" t="s">
        <v>1323</v>
      </c>
      <c r="AO5" s="474" t="s">
        <v>1404</v>
      </c>
      <c r="AP5" s="474" t="s">
        <v>1405</v>
      </c>
      <c r="AQ5" s="474" t="s">
        <v>1827</v>
      </c>
      <c r="AR5" s="474" t="s">
        <v>1402</v>
      </c>
      <c r="AS5" s="474" t="s">
        <v>1403</v>
      </c>
      <c r="AT5" s="474" t="s">
        <v>1828</v>
      </c>
      <c r="AU5" s="808" t="s">
        <v>1406</v>
      </c>
      <c r="AV5" s="714" t="s">
        <v>1407</v>
      </c>
      <c r="AW5" s="714" t="s">
        <v>1829</v>
      </c>
      <c r="AX5" s="545" t="s">
        <v>1080</v>
      </c>
      <c r="AY5" s="474" t="s">
        <v>1081</v>
      </c>
      <c r="AZ5" s="474" t="s">
        <v>1826</v>
      </c>
      <c r="BA5" s="474" t="s">
        <v>1400</v>
      </c>
      <c r="BB5" s="474" t="s">
        <v>1401</v>
      </c>
      <c r="BC5" s="474" t="s">
        <v>1399</v>
      </c>
      <c r="BD5" s="474" t="s">
        <v>1323</v>
      </c>
      <c r="BE5" s="474" t="s">
        <v>1404</v>
      </c>
      <c r="BF5" s="474" t="s">
        <v>1405</v>
      </c>
      <c r="BG5" s="474" t="s">
        <v>1827</v>
      </c>
      <c r="BH5" s="474" t="s">
        <v>1402</v>
      </c>
      <c r="BI5" s="474" t="s">
        <v>1403</v>
      </c>
      <c r="BJ5" s="474" t="s">
        <v>1828</v>
      </c>
      <c r="BK5" s="808" t="s">
        <v>1406</v>
      </c>
      <c r="BL5" s="714" t="s">
        <v>1407</v>
      </c>
      <c r="BM5" s="714" t="s">
        <v>1829</v>
      </c>
      <c r="BN5" s="545" t="s">
        <v>1080</v>
      </c>
      <c r="BO5" s="474" t="s">
        <v>1081</v>
      </c>
      <c r="BP5" s="474" t="s">
        <v>1826</v>
      </c>
      <c r="BQ5" s="474" t="s">
        <v>1400</v>
      </c>
      <c r="BR5" s="474" t="s">
        <v>1401</v>
      </c>
      <c r="BS5" s="474" t="s">
        <v>1399</v>
      </c>
      <c r="BT5" s="474" t="s">
        <v>1323</v>
      </c>
      <c r="BU5" s="474" t="s">
        <v>1404</v>
      </c>
      <c r="BV5" s="474" t="s">
        <v>1405</v>
      </c>
      <c r="BW5" s="474" t="s">
        <v>1827</v>
      </c>
      <c r="BX5" s="474" t="s">
        <v>1402</v>
      </c>
      <c r="BY5" s="474" t="s">
        <v>1403</v>
      </c>
      <c r="BZ5" s="474" t="s">
        <v>1828</v>
      </c>
      <c r="CA5" s="808" t="s">
        <v>1406</v>
      </c>
      <c r="CB5" s="714" t="s">
        <v>1407</v>
      </c>
      <c r="CC5" s="714" t="s">
        <v>1829</v>
      </c>
      <c r="CD5" s="545" t="s">
        <v>1080</v>
      </c>
      <c r="CE5" s="474" t="s">
        <v>1081</v>
      </c>
      <c r="CF5" s="474" t="s">
        <v>1826</v>
      </c>
      <c r="CG5" s="474" t="s">
        <v>1400</v>
      </c>
      <c r="CH5" s="474" t="s">
        <v>1401</v>
      </c>
      <c r="CI5" s="474" t="s">
        <v>1399</v>
      </c>
      <c r="CJ5" s="474" t="s">
        <v>1323</v>
      </c>
      <c r="CK5" s="474" t="s">
        <v>1404</v>
      </c>
      <c r="CL5" s="474" t="s">
        <v>1405</v>
      </c>
      <c r="CM5" s="474" t="s">
        <v>1827</v>
      </c>
      <c r="CN5" s="474" t="s">
        <v>1402</v>
      </c>
      <c r="CO5" s="474" t="s">
        <v>1403</v>
      </c>
      <c r="CP5" s="474" t="s">
        <v>1828</v>
      </c>
      <c r="CQ5" s="808" t="s">
        <v>1406</v>
      </c>
      <c r="CR5" s="714" t="s">
        <v>1407</v>
      </c>
      <c r="CS5" s="714" t="s">
        <v>1829</v>
      </c>
      <c r="CT5" s="716" t="s">
        <v>1080</v>
      </c>
      <c r="CU5" s="474" t="s">
        <v>1081</v>
      </c>
      <c r="CV5" s="474" t="s">
        <v>1081</v>
      </c>
      <c r="CW5" s="474" t="s">
        <v>1400</v>
      </c>
      <c r="CX5" s="474" t="s">
        <v>1401</v>
      </c>
      <c r="CY5" s="474" t="s">
        <v>1399</v>
      </c>
      <c r="CZ5" s="474" t="s">
        <v>1323</v>
      </c>
      <c r="DA5" s="474" t="s">
        <v>1404</v>
      </c>
      <c r="DB5" s="474" t="s">
        <v>1405</v>
      </c>
      <c r="DC5" s="474" t="s">
        <v>1827</v>
      </c>
      <c r="DD5" s="474" t="s">
        <v>1402</v>
      </c>
      <c r="DE5" s="474" t="s">
        <v>1403</v>
      </c>
      <c r="DF5" s="474" t="s">
        <v>1828</v>
      </c>
      <c r="DG5" s="808" t="s">
        <v>1406</v>
      </c>
      <c r="DH5" s="714" t="s">
        <v>1407</v>
      </c>
      <c r="DI5" s="714" t="s">
        <v>1829</v>
      </c>
      <c r="DJ5" s="546" t="s">
        <v>1291</v>
      </c>
      <c r="DK5" s="546" t="s">
        <v>1292</v>
      </c>
      <c r="DL5" s="546" t="s">
        <v>1830</v>
      </c>
    </row>
    <row r="6" spans="1:116">
      <c r="A6" s="543" t="str">
        <f>'Livestock parameters'!A2</f>
        <v>Cows (improved)</v>
      </c>
      <c r="B6" s="713">
        <f>IFERROR(Feed!H143*Feed!E12,0)</f>
        <v>236.75525688250758</v>
      </c>
      <c r="C6" s="553">
        <f>IFERROR(Feed!I143*Feed!N12,0)</f>
        <v>152.50451231620983</v>
      </c>
      <c r="D6" s="553">
        <f>IFERROR(Feed!J143*Feed!W12,0)</f>
        <v>0</v>
      </c>
      <c r="E6" s="243">
        <f>VLOOKUP(INPUTS!$D$91,'Crop parameters'!$A$2:$Z$43,4,FALSE)*1000</f>
        <v>0</v>
      </c>
      <c r="F6" s="475">
        <f>INPUTS!$E$106</f>
        <v>0</v>
      </c>
      <c r="G6" s="243">
        <f>VLOOKUP(INPUTS!$D$91,'Crop parameters'!$A$2:$Z$43,8,FALSE)*1000</f>
        <v>0</v>
      </c>
      <c r="H6" s="475">
        <f>IF(INPUTS!$E$91="Residue",INPUTS!$F$106,0)</f>
        <v>0</v>
      </c>
      <c r="I6" s="475">
        <f>IFERROR(IF(INPUTS!$E$91="Main",B6/(E6*F6),B6/(G6*H6)),0)</f>
        <v>0</v>
      </c>
      <c r="J6" s="475">
        <f>IFERROR(IF(INPUTS!$E$91="Main",C6/(E6*F6),C6/(G6*H6)),0)</f>
        <v>0</v>
      </c>
      <c r="K6" s="475">
        <f>IFERROR(IF(INPUTS!$E$91="Main",D6/(E6*F6),D6/(G6*H6)),0)</f>
        <v>0</v>
      </c>
      <c r="L6" s="805">
        <f t="shared" ref="L6:L19" si="0">IF(H6&gt;0,I6*(E6*F6/(E6*F6+G6*H6)),0)</f>
        <v>0</v>
      </c>
      <c r="M6" s="821">
        <f t="shared" ref="M6:M19" si="1">IF(H6&gt;0,J6*(E6*F6/(E6*F6+G6*H6)),0)</f>
        <v>0</v>
      </c>
      <c r="N6" s="821">
        <f>IF(H6&gt;0,K6*(F6*G6/(E6*F6+G6*H6)),0)</f>
        <v>0</v>
      </c>
      <c r="O6" s="805">
        <f>IFERROR(IF(H6&gt;0,I6*(G6*H6/(E6*F6+G6*H6)),I6*(E6*F6+G6*H6)/(E6*F6+G6*H6)),0)</f>
        <v>0</v>
      </c>
      <c r="P6" s="805">
        <f>IFERROR(IF(H6&gt;0,J6*(G6*H6/(E6*F6+G6*H6)),J6*(E6*F6+G6*H6)/(E6*F6+G6*H6)),0)</f>
        <v>0</v>
      </c>
      <c r="Q6" s="805">
        <f>IFERROR(IF(H6&gt;0,K6*(G6*H6/(E6*F6+G6*H6)),K6*(E6*F6+G6*H6)/(E6*F6+G6*H6)),0)</f>
        <v>0</v>
      </c>
      <c r="R6" s="713">
        <f>IFERROR(Feed!H143*Feed!F12,0)</f>
        <v>794.76109121492436</v>
      </c>
      <c r="S6" s="553">
        <f>IFERROR(Feed!I143*Feed!O12,0)</f>
        <v>511.94070289970352</v>
      </c>
      <c r="T6" s="553">
        <f>IFERROR(Feed!J143*Feed!X12,0)</f>
        <v>0</v>
      </c>
      <c r="U6" s="243">
        <f>VLOOKUP(INPUTS!$D$92,'Crop parameters'!$A$2:$Z$43,4,FALSE)*1000</f>
        <v>13049.999999999998</v>
      </c>
      <c r="V6" s="475">
        <f>INPUTS!$E$107</f>
        <v>0.9</v>
      </c>
      <c r="W6" s="243">
        <f>VLOOKUP(INPUTS!$D$92,'Crop parameters'!$A$2:$Z$43,8,FALSE)*1000</f>
        <v>4999.9999999999982</v>
      </c>
      <c r="X6" s="475">
        <f>IF(INPUTS!$E$92="Residue",INPUTS!$F$107,0)</f>
        <v>0</v>
      </c>
      <c r="Y6" s="475">
        <f>IFERROR(IF(INPUTS!$E$92="Main",R6/(U6*V6),R6/(W6*X6)),0)</f>
        <v>6.7668036714765817E-2</v>
      </c>
      <c r="Z6" s="475">
        <f>IFERROR(IF(INPUTS!$E$92="Main",S6/(U6*V6),S6/(W6*X6)),0)</f>
        <v>4.3587969595547345E-2</v>
      </c>
      <c r="AA6" s="475">
        <f>IFERROR(IF(INPUTS!$E$92="Main",T6/(U6*V6),T6/(W6*X6)),0)</f>
        <v>0</v>
      </c>
      <c r="AB6" s="805">
        <f t="shared" ref="AB6:AB19" si="2">IF(X6&gt;0,Y6*(U6*V6/(U6*V6+W6*X6)),0)</f>
        <v>0</v>
      </c>
      <c r="AC6" s="821">
        <f t="shared" ref="AC6:AC19" si="3">IF(X6&gt;0,Z6*(U6*V6/(U6*V6+W6*X6)),0)</f>
        <v>0</v>
      </c>
      <c r="AD6" s="821">
        <f>IF(X6&gt;0,AA6*(V6*W6/(U6*V6+W6*X6)),0)</f>
        <v>0</v>
      </c>
      <c r="AE6" s="805">
        <f>IFERROR(IF(X6&gt;0,Y6*(W6*X6/(U6*V6+W6*X6)),Y6*(U6*V6+W6*X6)/(U6*V6+W6*X6)),0)</f>
        <v>6.7668036714765817E-2</v>
      </c>
      <c r="AF6" s="805">
        <f>IFERROR(IF(X6&gt;0,Z6*(W6*X6/(U6*V6+W6*X6)),Z6*(U6*V6+W6*X6)/(U6*V6+W6*X6)),0)</f>
        <v>4.3587969595547345E-2</v>
      </c>
      <c r="AG6" s="805">
        <f>IFERROR(IF(X6&gt;0,AA6*(W6*X6/(U6*V6+W6*X6)),AA6*(U6*V6+W6*X6)/(U6*V6+W6*X6)),0)</f>
        <v>0</v>
      </c>
      <c r="AH6" s="713">
        <f>IFERROR(Feed!H143*Feed!G12,0)</f>
        <v>1968.2253688832459</v>
      </c>
      <c r="AI6" s="553">
        <f>IFERROR(Feed!I143*Feed!P12,0)</f>
        <v>1267.8208457220908</v>
      </c>
      <c r="AJ6" s="553">
        <f>IFERROR(Feed!J143*Feed!Y12,0)</f>
        <v>0</v>
      </c>
      <c r="AK6" s="243">
        <f>VLOOKUP(INPUTS!$D$93,'Crop parameters'!$A$2:$Z$43,4,FALSE)*1000</f>
        <v>1299</v>
      </c>
      <c r="AL6" s="475">
        <f>INPUTS!$E$108</f>
        <v>0.4</v>
      </c>
      <c r="AM6" s="243">
        <f>VLOOKUP(INPUTS!$D$93,'Crop parameters'!$A$2:$Z$43,8,FALSE)*1000</f>
        <v>3582.4421538461534</v>
      </c>
      <c r="AN6" s="475">
        <f>IF(INPUTS!$E$93="Residue",INPUTS!$F$108,0)</f>
        <v>0.6</v>
      </c>
      <c r="AO6" s="475">
        <f>IFERROR(IF(INPUTS!$E$93="Main",AH6/(AK6*AL6),AH6/(AM6*AN6)),0)</f>
        <v>0.91568139105430046</v>
      </c>
      <c r="AP6" s="475">
        <f>IFERROR(IF(INPUTS!$E$93="Main",AI6/(AK6*AL6),AI6/(AM6*AN6)),0)</f>
        <v>0.58983080594939175</v>
      </c>
      <c r="AQ6" s="475">
        <f>IFERROR(IF(INPUTS!$E$93="Main",AJ6/(AK6*AL6),AJ6/(AM6*AN6)),0)</f>
        <v>0</v>
      </c>
      <c r="AR6" s="805">
        <f t="shared" ref="AR6:AR19" si="4">IF(AN6&gt;0,AO6*(AK6*AL6/(AK6*AL6+AM6*AN6)),0)</f>
        <v>0.17826017676039876</v>
      </c>
      <c r="AS6" s="821">
        <f t="shared" ref="AS6:AS19" si="5">IF(AN6&gt;0,AP6*(AK6*AL6/(AK6*AL6+AM6*AN6)),0)</f>
        <v>0.11482524899431092</v>
      </c>
      <c r="AT6" s="821">
        <f>IF(AN6&gt;0,AQ6*(AL6*AM6/(AK6*AL6+AM6*AN6)),0)</f>
        <v>0</v>
      </c>
      <c r="AU6" s="805">
        <f>IFERROR(IF(AN6&gt;0,AO6*(AM6*AN6/(AK6*AL6+AM6*AN6)),AO6*(AK6*AL6+AM6*AN6)/(AK6*AL6+AM6*AN6)),0)</f>
        <v>0.73742121429390173</v>
      </c>
      <c r="AV6" s="805">
        <f>IFERROR(IF(AN6&gt;0,AP6*(AM6*AN6/(AK6*AL6+AM6*AN6)),AP6*(AK6*AL6+AM6*AN6)/(AK6*AL6+AM6*AN6)),0)</f>
        <v>0.47500555695508084</v>
      </c>
      <c r="AW6" s="805">
        <f>IFERROR(IF(AN6&gt;0,AQ6*(AM6*AN6/(AK6*AL6+AM6*AN6)),AQ6*(AK6*AL6+AM6*AN6)/(AK6*AL6+AM6*AN6)),0)</f>
        <v>0</v>
      </c>
      <c r="AX6" s="807">
        <f>IFERROR(Feed!H143*Feed!H12,0)</f>
        <v>0</v>
      </c>
      <c r="AY6" s="553">
        <f>IFERROR(Feed!I143*Feed!Q12,0)</f>
        <v>0</v>
      </c>
      <c r="AZ6" s="553">
        <f>IFERROR(Feed!J143*Feed!Z12,0)</f>
        <v>0</v>
      </c>
      <c r="BA6" s="243">
        <f>VLOOKUP(INPUTS!$D$94,'Crop parameters'!$A$2:$Z$43,4,FALSE)*1000</f>
        <v>0</v>
      </c>
      <c r="BB6" s="475">
        <f>INPUTS!$E$109</f>
        <v>0.9</v>
      </c>
      <c r="BC6" s="243">
        <f>VLOOKUP(INPUTS!$D$94,'Crop parameters'!$A$2:$Z$43,8,FALSE)*1000</f>
        <v>0</v>
      </c>
      <c r="BD6" s="475">
        <f>IF(INPUTS!$E$94="Residue",INPUTS!$F$109,0)</f>
        <v>0</v>
      </c>
      <c r="BE6" s="475">
        <f>IFERROR(IF(INPUTS!$E$94="Main",AX6/(BA6*BB6),AX6/(BC6*BD6)),0)</f>
        <v>0</v>
      </c>
      <c r="BF6" s="475">
        <f>IFERROR(IF(INPUTS!$E$94="Main",AY6/(BA6*BB6),AY6/(BC6*BD6)),0)</f>
        <v>0</v>
      </c>
      <c r="BG6" s="475">
        <f>IFERROR(IF(INPUTS!$E$94="Main",AZ6/(BA6*BB6),AZ6/(BC6*BD6)),0)</f>
        <v>0</v>
      </c>
      <c r="BH6" s="805">
        <f t="shared" ref="BH6:BH19" si="6">IF(BD6&gt;0,BE6*(BA6*BB6/(BA6*BB6+BC6*BD6)),0)</f>
        <v>0</v>
      </c>
      <c r="BI6" s="821">
        <f t="shared" ref="BI6:BI19" si="7">IF(BD6&gt;0,BF6*(BA6*BB6/(BA6*BB6+BC6*BD6)),0)</f>
        <v>0</v>
      </c>
      <c r="BJ6" s="821">
        <f>IF(BD6&gt;0,BG6*(BB6*BC6/(BA6*BB6+BC6*BD6)),0)</f>
        <v>0</v>
      </c>
      <c r="BK6" s="805">
        <f>IFERROR(IF(BD6&gt;0,BE6*(BC6*BD6/(BA6*BB6+BC6*BD6)),BE6*(BA6*BB6+BC6*BD6)/(BA6*BB6+BC6*BD6)),0)</f>
        <v>0</v>
      </c>
      <c r="BL6" s="805">
        <f>IFERROR(IF(BD6&gt;0,BF6*(BC6*BD6/(BA6*BB6+BC6*BD6)),BF6*(BA6*BB6+BC6*BD6)/(BA6*BB6+BC6*BD6)),0)</f>
        <v>0</v>
      </c>
      <c r="BM6" s="805">
        <f>IFERROR(IF(BD6&gt;0,BG6*(BC6*BD6/(BA6*BB6+BC6*BD6)),BG6*(BA6*BB6+BC6*BD6)/(BA6*BB6+BC6*BD6)),0)</f>
        <v>0</v>
      </c>
      <c r="BN6" s="713">
        <f>IFERROR(Feed!H143*Feed!I12,0)</f>
        <v>0</v>
      </c>
      <c r="BO6" s="553">
        <f>IFERROR(Feed!I143*Feed!R12,0)</f>
        <v>0</v>
      </c>
      <c r="BP6" s="553">
        <f>IFERROR(Feed!J143*Feed!AA12,0)</f>
        <v>0</v>
      </c>
      <c r="BQ6" s="243">
        <f>VLOOKUP(INPUTS!$D$95,'Crop parameters'!$A$2:$Z$43,4,FALSE)*1000</f>
        <v>0</v>
      </c>
      <c r="BR6" s="475">
        <f>INPUTS!$E$110</f>
        <v>0.9</v>
      </c>
      <c r="BS6" s="243">
        <f>VLOOKUP(INPUTS!$D$95,'Crop parameters'!$A$2:$Z$43,8,FALSE)*1000</f>
        <v>0</v>
      </c>
      <c r="BT6" s="475">
        <f>IF(INPUTS!$E$95="Residue",INPUTS!$F$110,0)</f>
        <v>0</v>
      </c>
      <c r="BU6" s="475">
        <f>IFERROR(IF(INPUTS!$E$95="Main",BN6/(BQ6*BR6),BN6/(BS6*BT6)),0)</f>
        <v>0</v>
      </c>
      <c r="BV6" s="475">
        <f>IFERROR(IF(INPUTS!$E$95="Main",BO6/(BQ6*BR6),BO6/(BS6*BT6)),0)</f>
        <v>0</v>
      </c>
      <c r="BW6" s="475">
        <f>IFERROR(IF(INPUTS!$E$95="Main",BP6/(BQ6*BR6),BP6/(BS6*BT6)),0)</f>
        <v>0</v>
      </c>
      <c r="BX6" s="805">
        <f t="shared" ref="BX6:BX19" si="8">IF(BT6&gt;0,BU6*(BQ6*BR6/(BQ6*BR6+BS6*BT6)),0)</f>
        <v>0</v>
      </c>
      <c r="BY6" s="821">
        <f t="shared" ref="BY6:BY19" si="9">IF(BT6&gt;0,BV6*(BQ6*BR6/(BQ6*BR6+BS6*BT6)),0)</f>
        <v>0</v>
      </c>
      <c r="BZ6" s="821">
        <f>IF(BT6&gt;0,BW6*(BR6*BS6/(BQ6*BR6+BS6*BT6)),0)</f>
        <v>0</v>
      </c>
      <c r="CA6" s="805">
        <f>IFERROR(IF(BT6&gt;0,BU6*(BS6*BT6/(BQ6*BR6+BS6*BT6)),BU6*(BQ6*BR6+BS6*BT6)/(BQ6*BR6+BS6*BT6)),0)</f>
        <v>0</v>
      </c>
      <c r="CB6" s="805">
        <f>IFERROR(IF(BT6&gt;0,BV6*(BS6*BT6/(BQ6*BR6+BS6*BT6)),BV6*(BQ6*BR6+BS6*BT6)/(BQ6*BR6+BS6*BT6)),0)</f>
        <v>0</v>
      </c>
      <c r="CC6" s="805">
        <f>IFERROR(IF(BT6&gt;0,BW6*(BS6*BT6/(BQ6*BR6+BS6*BT6)),BW6*(BQ6*BR6+BS6*BT6)/(BQ6*BR6+BS6*BT6)),0)</f>
        <v>0</v>
      </c>
      <c r="CD6" s="713">
        <f>IFERROR(Feed!H143*Feed!J12,0)</f>
        <v>0</v>
      </c>
      <c r="CE6" s="553">
        <f>IFERROR(Feed!I143*Feed!S12,0)</f>
        <v>0</v>
      </c>
      <c r="CF6" s="553">
        <f>IFERROR(Feed!J143*Feed!AB12,0)</f>
        <v>0</v>
      </c>
      <c r="CG6" s="243">
        <f>VLOOKUP(INPUTS!$D$96,'Crop parameters'!$A$2:$Z$43,4,FALSE)*1000</f>
        <v>0</v>
      </c>
      <c r="CH6" s="475">
        <f>INPUTS!$E$111</f>
        <v>0.9</v>
      </c>
      <c r="CI6" s="243">
        <f>VLOOKUP(INPUTS!$D$96,'Crop parameters'!$A$2:$Z$43,8,FALSE)*1000</f>
        <v>0</v>
      </c>
      <c r="CJ6" s="475">
        <f>IF(INPUTS!$E$96="Residue",INPUTS!$F$111,0)</f>
        <v>0</v>
      </c>
      <c r="CK6" s="475">
        <f>IFERROR(IF(INPUTS!$E$96="Main",CD6/(CG6*CH6),CD6/(CI6*CJ6)),0)</f>
        <v>0</v>
      </c>
      <c r="CL6" s="475">
        <f>IFERROR(IF(INPUTS!$E$96="Main",CE6/(CG6*CH6),CE6/(CI6*CJ6)),0)</f>
        <v>0</v>
      </c>
      <c r="CM6" s="475">
        <f>IFERROR(IF(INPUTS!$E$96="Main",CF6/(CG6*CH6),CF6/(CI6*CJ6)),0)</f>
        <v>0</v>
      </c>
      <c r="CN6" s="805">
        <f t="shared" ref="CN6:CN19" si="10">IF(CJ6&gt;0,CK6*(CG6*CH6/(CG6*CH6+CI6*CJ6)),0)</f>
        <v>0</v>
      </c>
      <c r="CO6" s="821">
        <f t="shared" ref="CO6:CO19" si="11">IF(CJ6&gt;0,CL6*(CG6*CH6/(CG6*CH6+CI6*CJ6)),0)</f>
        <v>0</v>
      </c>
      <c r="CP6" s="821">
        <f>IF(CJ6&gt;0,CM6*(CH6*CI6/(CG6*CH6+CI6*CJ6)),0)</f>
        <v>0</v>
      </c>
      <c r="CQ6" s="805">
        <f>IFERROR(IF(CJ6&gt;0,CK6*(CI6*CJ6/(CG6*CH6+CI6*CJ6)),CK6*(CG6*CH6+CI6*CJ6)/(CG6*CH6+CI6*CJ6)),0)</f>
        <v>0</v>
      </c>
      <c r="CR6" s="805">
        <f>IFERROR(IF(CJ6&gt;0,CL6*(CI6*CJ6/(CG6*CH6+CI6*CJ6)),CL6*(CG6*CH6+CI6*CJ6)/(CG6*CH6+CI6*CJ6)),0)</f>
        <v>0</v>
      </c>
      <c r="CS6" s="805">
        <f>IFERROR(IF(CJ6&gt;0,CM6*(CI6*CJ6/(CG6*CH6+CI6*CJ6)),CM6*(CG6*CH6+CI6*CJ6)/(CG6*CH6+CI6*CJ6)),0)</f>
        <v>0</v>
      </c>
      <c r="CT6" s="713">
        <f>IFERROR(Feed!H143*Feed!K12,0)</f>
        <v>0</v>
      </c>
      <c r="CU6" s="553">
        <f>IFERROR(Feed!I143*Feed!T12,0)</f>
        <v>0</v>
      </c>
      <c r="CV6" s="553">
        <f>IFERROR(Feed!J143*Feed!AC12,0)</f>
        <v>0</v>
      </c>
      <c r="CW6" s="243">
        <f>VLOOKUP(INPUTS!$D$97,'Crop parameters'!$A$2:$Z$43,4,FALSE)*1000</f>
        <v>0</v>
      </c>
      <c r="CX6" s="475">
        <f>INPUTS!$E$112</f>
        <v>0</v>
      </c>
      <c r="CY6" s="243">
        <f>VLOOKUP(INPUTS!$D$97,'Crop parameters'!$A$2:$Z$43,8,FALSE)*1000</f>
        <v>0</v>
      </c>
      <c r="CZ6" s="475">
        <f>IF(INPUTS!$E$97="Residue",INPUTS!$F$112,0)</f>
        <v>0</v>
      </c>
      <c r="DA6" s="475">
        <f>IFERROR(IF(INPUTS!$E$97="Main",CT6/(CW6*CX6),CT6/(CY6*CZ6)),0)</f>
        <v>0</v>
      </c>
      <c r="DB6" s="475">
        <f>IFERROR(IF(INPUTS!$E$97="Main",CU6/(CW6*CX6),CU6/(CY6*CZ6)),0)</f>
        <v>0</v>
      </c>
      <c r="DC6" s="475">
        <f>IFERROR(IF(INPUTS!$E$97="Main",CV6/(CW6*CX6),CV6/(CY6*CZ6)),0)</f>
        <v>0</v>
      </c>
      <c r="DD6" s="805">
        <f t="shared" ref="DD6:DD19" si="12">IF(CZ6&gt;0,DA6*(CW6*CX6/(CW6*CX6+CY6*CZ6)),0)</f>
        <v>0</v>
      </c>
      <c r="DE6" s="821">
        <f t="shared" ref="DE6:DE19" si="13">IF(CZ6&gt;0,DB6*(CW6*CX6/(CW6*CX6+CY6*CZ6)),0)</f>
        <v>0</v>
      </c>
      <c r="DF6" s="821">
        <f>IF(CZ6&gt;0,DC6*(CX6*CY6/(CW6*CX6+CY6*CZ6)),0)</f>
        <v>0</v>
      </c>
      <c r="DG6" s="805">
        <f>IFERROR(IF(CZ6&gt;0,DA6*(CY6*CZ6/(CW6*CX6+CY6*CZ6)),DA6*(CW6*CX6+CY6*CZ6)/(CW6*CX6+CY6*CZ6)),0)</f>
        <v>0</v>
      </c>
      <c r="DH6" s="805">
        <f>IFERROR(IF(CZ6&gt;0,DB6*(CY6*CZ6/(CW6*CX6+CY6*CZ6)),DB6*(CW6*CX6+CY6*CZ6)/(CW6*CX6+CY6*CZ6)),0)</f>
        <v>0</v>
      </c>
      <c r="DI6" s="475">
        <f>IFERROR(IF(CZ6&gt;0,DC6*(CY6*CZ6/(CW6*CX6+CY6*CZ6)),DC6*(CW6*CX6+CY6*CZ6)/(CW6*CX6+CY6*CZ6)),0)</f>
        <v>0</v>
      </c>
      <c r="DJ6" s="715">
        <f>O6+AE6+AU6+BK6+CA6+CQ6+DG6</f>
        <v>0.80508925100866757</v>
      </c>
      <c r="DK6" s="715">
        <f t="shared" ref="DK6:DL19" si="14">P6+AF6+AV6+BL6+CB6+CR6+DH6</f>
        <v>0.51859352655062818</v>
      </c>
      <c r="DL6" s="715">
        <f t="shared" si="14"/>
        <v>0</v>
      </c>
    </row>
    <row r="7" spans="1:116">
      <c r="A7" s="543" t="str">
        <f>'Livestock parameters'!A3</f>
        <v>Steers/heifers (improved)</v>
      </c>
      <c r="B7" s="713">
        <f>IFERROR(Feed!H144*Feed!E19,0)</f>
        <v>139.04175353583685</v>
      </c>
      <c r="C7" s="553">
        <f>IFERROR(Feed!I144*Feed!N19,0)</f>
        <v>89.562931331642645</v>
      </c>
      <c r="D7" s="553">
        <f>IFERROR(Feed!J144*Feed!W19,0)</f>
        <v>0</v>
      </c>
      <c r="E7" s="243">
        <f>VLOOKUP(INPUTS!$D$91,'Crop parameters'!$A$2:$Z$43,4,FALSE)*1000</f>
        <v>0</v>
      </c>
      <c r="F7" s="475">
        <f>INPUTS!$E$106</f>
        <v>0</v>
      </c>
      <c r="G7" s="243">
        <f>VLOOKUP(INPUTS!$D$91,'Crop parameters'!$A$2:$Z$43,8,FALSE)*1000</f>
        <v>0</v>
      </c>
      <c r="H7" s="475">
        <f>IF(INPUTS!$E$91="Residue",INPUTS!$F$106,0)</f>
        <v>0</v>
      </c>
      <c r="I7" s="475">
        <f>IFERROR(IF(INPUTS!$E$91="Main",B7/(E7*F7),B7/(G7*H7)),0)</f>
        <v>0</v>
      </c>
      <c r="J7" s="475">
        <f>IFERROR(IF(INPUTS!$E$91="Main",C7/(E7*F7),C7/(G7*H7)),0)</f>
        <v>0</v>
      </c>
      <c r="K7" s="475">
        <f>IFERROR(IF(INPUTS!$E$91="Main",D7/(E7*F7),D7/(G7*H7)),0)</f>
        <v>0</v>
      </c>
      <c r="L7" s="805">
        <f t="shared" si="0"/>
        <v>0</v>
      </c>
      <c r="M7" s="821">
        <f t="shared" si="1"/>
        <v>0</v>
      </c>
      <c r="N7" s="821">
        <f t="shared" ref="N7:N19" si="15">IF(H7&gt;0,K7*(F7*G7/(E7*F7+G7*H7)),0)</f>
        <v>0</v>
      </c>
      <c r="O7" s="805">
        <f t="shared" ref="O7:O19" si="16">IFERROR(IF(H7&gt;0,I7*(G7*H7/(E7*F7+G7*H7)),I7*(E7*F7+G7*H7)/(E7*F7+G7*H7)),0)</f>
        <v>0</v>
      </c>
      <c r="P7" s="805">
        <f t="shared" ref="P7:P19" si="17">IFERROR(IF(H7&gt;0,J7*(G7*H7/(E7*F7+G7*H7)),J7*(E7*F7+G7*H7)/(E7*F7+G7*H7)),0)</f>
        <v>0</v>
      </c>
      <c r="Q7" s="805">
        <f t="shared" ref="Q7:Q19" si="18">IFERROR(IF(H7&gt;0,K7*(G7*H7/(E7*F7+G7*H7)),K7*(E7*F7+G7*H7)/(E7*F7+G7*H7)),0)</f>
        <v>0</v>
      </c>
      <c r="R7" s="713">
        <f>IFERROR(Feed!H144*Feed!F19,0)</f>
        <v>466.74771753607814</v>
      </c>
      <c r="S7" s="553">
        <f>IFERROR(Feed!I144*Feed!O19,0)</f>
        <v>300.65280904350976</v>
      </c>
      <c r="T7" s="553">
        <f>IFERROR(Feed!Z144*Feed!X19,0)</f>
        <v>0</v>
      </c>
      <c r="U7" s="243">
        <f>VLOOKUP(INPUTS!$D$92,'Crop parameters'!$A$2:$Z$43,4,FALSE)*1000</f>
        <v>13049.999999999998</v>
      </c>
      <c r="V7" s="475">
        <f>INPUTS!$E$107</f>
        <v>0.9</v>
      </c>
      <c r="W7" s="243">
        <f>VLOOKUP(INPUTS!$D$92,'Crop parameters'!$A$2:$Z$43,8,FALSE)*1000</f>
        <v>4999.9999999999982</v>
      </c>
      <c r="X7" s="475">
        <f>IF(INPUTS!$E$92="Residue",INPUTS!$F$107,0)</f>
        <v>0</v>
      </c>
      <c r="Y7" s="475">
        <f>IFERROR(IF(INPUTS!$E$92="Main",R7/(U7*V7),R7/(W7*X7)),0)</f>
        <v>3.9740120692726963E-2</v>
      </c>
      <c r="Z7" s="475">
        <f>IFERROR(IF(INPUTS!$E$92="Main",S7/(U7*V7),S7/(W7*X7)),0)</f>
        <v>2.55983660318016E-2</v>
      </c>
      <c r="AA7" s="475">
        <f>IFERROR(IF(INPUTS!$E$92="Main",T7/(U7*V7),T7/(W7*X7)),0)</f>
        <v>0</v>
      </c>
      <c r="AB7" s="805">
        <f t="shared" si="2"/>
        <v>0</v>
      </c>
      <c r="AC7" s="821">
        <f t="shared" si="3"/>
        <v>0</v>
      </c>
      <c r="AD7" s="821">
        <f t="shared" ref="AD7:AD19" si="19">IF(X7&gt;0,AA7*(V7*W7/(U7*V7+W7*X7)),0)</f>
        <v>0</v>
      </c>
      <c r="AE7" s="805">
        <f t="shared" ref="AE7:AE19" si="20">IFERROR(IF(X7&gt;0,Y7*(W7*X7/(U7*V7+W7*X7)),Y7*(U7*V7+W7*X7)/(U7*V7+W7*X7)),0)</f>
        <v>3.9740120692726963E-2</v>
      </c>
      <c r="AF7" s="805">
        <f t="shared" ref="AF7:AF19" si="21">IFERROR(IF(X7&gt;0,Z7*(W7*X7/(U7*V7+W7*X7)),Z7*(U7*V7+W7*X7)/(U7*V7+W7*X7)),0)</f>
        <v>2.55983660318016E-2</v>
      </c>
      <c r="AG7" s="805">
        <f t="shared" ref="AG7:AG19" si="22">IFERROR(IF(X7&gt;0,AA7*(W7*X7/(U7*V7+W7*X7)),AA7*(U7*V7+W7*X7)/(U7*V7+W7*X7)),0)</f>
        <v>0</v>
      </c>
      <c r="AH7" s="713">
        <f>IFERROR(Feed!H144*Feed!G19,0)</f>
        <v>1155.9004443945901</v>
      </c>
      <c r="AI7" s="553">
        <f>IFERROR(Feed!I144*Feed!P19,0)</f>
        <v>744.56650247038908</v>
      </c>
      <c r="AJ7" s="553">
        <f>IFERROR(Feed!J144*Feed!Y19,0)</f>
        <v>0</v>
      </c>
      <c r="AK7" s="243">
        <f>VLOOKUP(INPUTS!$D$93,'Crop parameters'!$A$2:$Z$43,4,FALSE)*1000</f>
        <v>1299</v>
      </c>
      <c r="AL7" s="475">
        <f>INPUTS!$E$108</f>
        <v>0.4</v>
      </c>
      <c r="AM7" s="243">
        <f>VLOOKUP(INPUTS!$D$93,'Crop parameters'!$A$2:$Z$43,8,FALSE)*1000</f>
        <v>3582.4421538461534</v>
      </c>
      <c r="AN7" s="475">
        <f>IF(INPUTS!$E$93="Residue",INPUTS!$F$108,0)</f>
        <v>0.6</v>
      </c>
      <c r="AO7" s="475">
        <f>IFERROR(IF(INPUTS!$E$93="Main",AH7/(AK7*AL7),AH7/(AM7*AN7)),0)</f>
        <v>0.53776185571882451</v>
      </c>
      <c r="AP7" s="475">
        <f>IFERROR(IF(INPUTS!$E$93="Main",AI7/(AK7*AL7),AI7/(AM7*AN7)),0)</f>
        <v>0.34639615030536897</v>
      </c>
      <c r="AQ7" s="475">
        <f>IFERROR(IF(INPUTS!$E$93="Main",AJ7/(AK7*AL7),AJ7/(AM7*AN7)),0)</f>
        <v>0</v>
      </c>
      <c r="AR7" s="805">
        <f t="shared" si="4"/>
        <v>0.10468873168325976</v>
      </c>
      <c r="AS7" s="821">
        <f t="shared" si="5"/>
        <v>6.7434633471649311E-2</v>
      </c>
      <c r="AT7" s="821">
        <f t="shared" ref="AT7:AT19" si="23">IF(AN7&gt;0,AQ7*(AL7*AM7/(AK7*AL7+AM7*AN7)),0)</f>
        <v>0</v>
      </c>
      <c r="AU7" s="805">
        <f t="shared" ref="AU7:AU19" si="24">IFERROR(IF(AN7&gt;0,AO7*(AM7*AN7/(AK7*AL7+AM7*AN7)),AO7*(AK7*AL7+AM7*AN7)/(AK7*AL7+AM7*AN7)),0)</f>
        <v>0.43307312403556475</v>
      </c>
      <c r="AV7" s="805">
        <f t="shared" ref="AV7:AV19" si="25">IFERROR(IF(AN7&gt;0,AP7*(AM7*AN7/(AK7*AL7+AM7*AN7)),AP7*(AK7*AL7+AM7*AN7)/(AK7*AL7+AM7*AN7)),0)</f>
        <v>0.27896151683371967</v>
      </c>
      <c r="AW7" s="805">
        <f t="shared" ref="AW7:AW19" si="26">IFERROR(IF(AN7&gt;0,AQ7*(AM7*AN7/(AK7*AL7+AM7*AN7)),AQ7*(AK7*AL7+AM7*AN7)/(AK7*AL7+AM7*AN7)),0)</f>
        <v>0</v>
      </c>
      <c r="AX7" s="807">
        <f>IFERROR(Feed!H144*Feed!H19,0)</f>
        <v>0</v>
      </c>
      <c r="AY7" s="553">
        <f>IFERROR(Feed!I144*Feed!Q19,0)</f>
        <v>0</v>
      </c>
      <c r="AZ7" s="553">
        <f>IFERROR(Feed!J144*Feed!Z19,0)</f>
        <v>0</v>
      </c>
      <c r="BA7" s="243">
        <f>VLOOKUP(INPUTS!$D$94,'Crop parameters'!$A$2:$Z$43,4,FALSE)*1000</f>
        <v>0</v>
      </c>
      <c r="BB7" s="475">
        <f>INPUTS!$E$109</f>
        <v>0.9</v>
      </c>
      <c r="BC7" s="243">
        <f>VLOOKUP(INPUTS!$D$94,'Crop parameters'!$A$2:$Z$43,8,FALSE)*1000</f>
        <v>0</v>
      </c>
      <c r="BD7" s="475">
        <f>IF(INPUTS!$E$94="Residue",INPUTS!$F$109,0)</f>
        <v>0</v>
      </c>
      <c r="BE7" s="475">
        <f>IFERROR(IF(INPUTS!$E$94="Main",AX7/(BA7*BB7),AX7/(BC7*BD7)),0)</f>
        <v>0</v>
      </c>
      <c r="BF7" s="475">
        <f>IFERROR(IF(INPUTS!$E$94="Main",AY7/(BA7*BB7),AY7/(BC7*BD7)),0)</f>
        <v>0</v>
      </c>
      <c r="BG7" s="475">
        <f>IFERROR(IF(INPUTS!$E$94="Main",AZ7/(BA7*BB7),AZ7/(BC7*BD7)),0)</f>
        <v>0</v>
      </c>
      <c r="BH7" s="805">
        <f t="shared" si="6"/>
        <v>0</v>
      </c>
      <c r="BI7" s="821">
        <f t="shared" si="7"/>
        <v>0</v>
      </c>
      <c r="BJ7" s="821">
        <f t="shared" ref="BJ7:BJ19" si="27">IF(BD7&gt;0,BG7*(BB7*BC7/(BA7*BB7+BC7*BD7)),0)</f>
        <v>0</v>
      </c>
      <c r="BK7" s="805">
        <f t="shared" ref="BK7:BK19" si="28">IFERROR(IF(BD7&gt;0,BE7*(BC7*BD7/(BA7*BB7+BC7*BD7)),BE7*(BA7*BB7+BC7*BD7)/(BA7*BB7+BC7*BD7)),0)</f>
        <v>0</v>
      </c>
      <c r="BL7" s="805">
        <f t="shared" ref="BL7:BL19" si="29">IFERROR(IF(BD7&gt;0,BF7*(BC7*BD7/(BA7*BB7+BC7*BD7)),BF7*(BA7*BB7+BC7*BD7)/(BA7*BB7+BC7*BD7)),0)</f>
        <v>0</v>
      </c>
      <c r="BM7" s="805">
        <f t="shared" ref="BM7:BM19" si="30">IFERROR(IF(BD7&gt;0,BG7*(BC7*BD7/(BA7*BB7+BC7*BD7)),BG7*(BA7*BB7+BC7*BD7)/(BA7*BB7+BC7*BD7)),0)</f>
        <v>0</v>
      </c>
      <c r="BN7" s="713">
        <f>IFERROR(Feed!H144*Feed!I19,0)</f>
        <v>0</v>
      </c>
      <c r="BO7" s="553">
        <f>IFERROR(Feed!I144*Feed!R19,0)</f>
        <v>0</v>
      </c>
      <c r="BP7" s="553">
        <f>IFERROR(Feed!J144*Feed!AA19,0)</f>
        <v>0</v>
      </c>
      <c r="BQ7" s="243">
        <f>VLOOKUP(INPUTS!$D$95,'Crop parameters'!$A$2:$Z$43,4,FALSE)*1000</f>
        <v>0</v>
      </c>
      <c r="BR7" s="475">
        <f>INPUTS!$E$110</f>
        <v>0.9</v>
      </c>
      <c r="BS7" s="243">
        <f>VLOOKUP(INPUTS!$D$95,'Crop parameters'!$A$2:$Z$43,8,FALSE)*1000</f>
        <v>0</v>
      </c>
      <c r="BT7" s="475">
        <f>IF(INPUTS!$E$95="Residue",INPUTS!$F$110,0)</f>
        <v>0</v>
      </c>
      <c r="BU7" s="475">
        <f>IFERROR(IF(INPUTS!$E$95="Main",BN7/(BQ7*BR7),BN7/(BS7*BT7)),0)</f>
        <v>0</v>
      </c>
      <c r="BV7" s="475">
        <f>IFERROR(IF(INPUTS!$E$95="Main",BO7/(BQ7*BR7),BO7/(BS7*BT7)),0)</f>
        <v>0</v>
      </c>
      <c r="BW7" s="475">
        <f>IFERROR(IF(INPUTS!$E$95="Main",BP7/(BQ7*BR7),BP7/(BS7*BT7)),0)</f>
        <v>0</v>
      </c>
      <c r="BX7" s="805">
        <f t="shared" si="8"/>
        <v>0</v>
      </c>
      <c r="BY7" s="821">
        <f t="shared" si="9"/>
        <v>0</v>
      </c>
      <c r="BZ7" s="821">
        <f t="shared" ref="BZ7:BZ19" si="31">IF(BT7&gt;0,BW7*(BR7*BS7/(BQ7*BR7+BS7*BT7)),0)</f>
        <v>0</v>
      </c>
      <c r="CA7" s="805">
        <f t="shared" ref="CA7:CA19" si="32">IFERROR(IF(BT7&gt;0,BU7*(BS7*BT7/(BQ7*BR7+BS7*BT7)),BU7*(BQ7*BR7+BS7*BT7)/(BQ7*BR7+BS7*BT7)),0)</f>
        <v>0</v>
      </c>
      <c r="CB7" s="805">
        <f t="shared" ref="CB7:CB19" si="33">IFERROR(IF(BT7&gt;0,BV7*(BS7*BT7/(BQ7*BR7+BS7*BT7)),BV7*(BQ7*BR7+BS7*BT7)/(BQ7*BR7+BS7*BT7)),0)</f>
        <v>0</v>
      </c>
      <c r="CC7" s="805">
        <f t="shared" ref="CC7:CC19" si="34">IFERROR(IF(BT7&gt;0,BW7*(BS7*BT7/(BQ7*BR7+BS7*BT7)),BW7*(BQ7*BR7+BS7*BT7)/(BQ7*BR7+BS7*BT7)),0)</f>
        <v>0</v>
      </c>
      <c r="CD7" s="713">
        <f>IFERROR(Feed!H144*Feed!J19,0)</f>
        <v>0</v>
      </c>
      <c r="CE7" s="553">
        <f>IFERROR(Feed!I144*Feed!S19,0)</f>
        <v>0</v>
      </c>
      <c r="CF7" s="553">
        <f>IFERROR(Feed!J144*Feed!AB19,0)</f>
        <v>0</v>
      </c>
      <c r="CG7" s="243">
        <f>VLOOKUP(INPUTS!$D$96,'Crop parameters'!$A$2:$Z$43,4,FALSE)*1000</f>
        <v>0</v>
      </c>
      <c r="CH7" s="475">
        <f>INPUTS!$E$111</f>
        <v>0.9</v>
      </c>
      <c r="CI7" s="243">
        <f>VLOOKUP(INPUTS!$D$96,'Crop parameters'!$A$2:$Z$43,8,FALSE)*1000</f>
        <v>0</v>
      </c>
      <c r="CJ7" s="475">
        <f>IF(INPUTS!$E$96="Residue",INPUTS!$F$111,0)</f>
        <v>0</v>
      </c>
      <c r="CK7" s="475">
        <f>IFERROR(IF(INPUTS!$E$96="Main",CD7/(CG7*CH7),CD7/(CI7*CJ7)),0)</f>
        <v>0</v>
      </c>
      <c r="CL7" s="475">
        <f>IFERROR(IF(INPUTS!$E$96="Main",CE7/(CG7*CH7),CE7/(CI7*CJ7)),0)</f>
        <v>0</v>
      </c>
      <c r="CM7" s="475">
        <f>IFERROR(IF(INPUTS!$E$96="Main",CF7/(CG7*CH7),CF7/(CI7*CJ7)),0)</f>
        <v>0</v>
      </c>
      <c r="CN7" s="805">
        <f t="shared" si="10"/>
        <v>0</v>
      </c>
      <c r="CO7" s="821">
        <f t="shared" si="11"/>
        <v>0</v>
      </c>
      <c r="CP7" s="821">
        <f t="shared" ref="CP7:CP19" si="35">IF(CJ7&gt;0,CM7*(CH7*CI7/(CG7*CH7+CI7*CJ7)),0)</f>
        <v>0</v>
      </c>
      <c r="CQ7" s="805">
        <f t="shared" ref="CQ7:CQ19" si="36">IFERROR(IF(CJ7&gt;0,CK7*(CI7*CJ7/(CG7*CH7+CI7*CJ7)),CK7*(CG7*CH7+CI7*CJ7)/(CG7*CH7+CI7*CJ7)),0)</f>
        <v>0</v>
      </c>
      <c r="CR7" s="805">
        <f t="shared" ref="CR7:CR19" si="37">IFERROR(IF(CJ7&gt;0,CL7*(CI7*CJ7/(CG7*CH7+CI7*CJ7)),CL7*(CG7*CH7+CI7*CJ7)/(CG7*CH7+CI7*CJ7)),0)</f>
        <v>0</v>
      </c>
      <c r="CS7" s="805">
        <f t="shared" ref="CS7:CS19" si="38">IFERROR(IF(CJ7&gt;0,CM7*(CI7*CJ7/(CG7*CH7+CI7*CJ7)),CM7*(CG7*CH7+CI7*CJ7)/(CG7*CH7+CI7*CJ7)),0)</f>
        <v>0</v>
      </c>
      <c r="CT7" s="713">
        <f>IFERROR(Feed!H144*Feed!K19,0)</f>
        <v>0</v>
      </c>
      <c r="CU7" s="553">
        <f>IFERROR(Feed!I144*Feed!T19,0)</f>
        <v>0</v>
      </c>
      <c r="CV7" s="553">
        <f>IFERROR(Feed!J144*Feed!AC19,0)</f>
        <v>0</v>
      </c>
      <c r="CW7" s="243">
        <f>VLOOKUP(INPUTS!$D$97,'Crop parameters'!$A$2:$Z$43,4,FALSE)*1000</f>
        <v>0</v>
      </c>
      <c r="CX7" s="475">
        <f>INPUTS!$E$112</f>
        <v>0</v>
      </c>
      <c r="CY7" s="243">
        <f>VLOOKUP(INPUTS!$D$97,'Crop parameters'!$A$2:$Z$43,8,FALSE)*1000</f>
        <v>0</v>
      </c>
      <c r="CZ7" s="475">
        <f>IF(INPUTS!$E$97="Residue",INPUTS!$F$112,0)</f>
        <v>0</v>
      </c>
      <c r="DA7" s="475">
        <f>IFERROR(IF(INPUTS!$E$97="Main",CT7/(CW7*CX7),CT7/(CY7*CZ7)),0)</f>
        <v>0</v>
      </c>
      <c r="DB7" s="475">
        <f>IFERROR(IF(INPUTS!$E$97="Main",CU7/(CW7*CX7),CU7/(CY7*CZ7)),0)</f>
        <v>0</v>
      </c>
      <c r="DC7" s="475">
        <f>IFERROR(IF(INPUTS!$E$97="Main",CV7/(CW7*CX7),CV7/(CY7*CZ7)),0)</f>
        <v>0</v>
      </c>
      <c r="DD7" s="805">
        <f t="shared" si="12"/>
        <v>0</v>
      </c>
      <c r="DE7" s="821">
        <f t="shared" si="13"/>
        <v>0</v>
      </c>
      <c r="DF7" s="821">
        <f t="shared" ref="DF7:DF19" si="39">IF(CZ7&gt;0,DC7*(CX7*CY7/(CW7*CX7+CY7*CZ7)),0)</f>
        <v>0</v>
      </c>
      <c r="DG7" s="805">
        <f t="shared" ref="DG7:DG19" si="40">IFERROR(IF(CZ7&gt;0,DA7*(CY7*CZ7/(CW7*CX7+CY7*CZ7)),DA7*(CW7*CX7+CY7*CZ7)/(CW7*CX7+CY7*CZ7)),0)</f>
        <v>0</v>
      </c>
      <c r="DH7" s="805">
        <f t="shared" ref="DH7:DH19" si="41">IFERROR(IF(CZ7&gt;0,DB7*(CY7*CZ7/(CW7*CX7+CY7*CZ7)),DB7*(CW7*CX7+CY7*CZ7)/(CW7*CX7+CY7*CZ7)),0)</f>
        <v>0</v>
      </c>
      <c r="DI7" s="475">
        <f t="shared" ref="DI7:DI19" si="42">IFERROR(IF(CZ7&gt;0,DC7*(CY7*CZ7/(CW7*CX7+CY7*CZ7)),DC7*(CW7*CX7+CY7*CZ7)/(CW7*CX7+CY7*CZ7)),0)</f>
        <v>0</v>
      </c>
      <c r="DJ7" s="715">
        <f t="shared" ref="DJ7:DJ19" si="43">O7+AE7+AU7+BK7+CA7+CQ7+DG7</f>
        <v>0.47281324472829173</v>
      </c>
      <c r="DK7" s="715">
        <f t="shared" si="14"/>
        <v>0.30455988286552127</v>
      </c>
      <c r="DL7" s="715">
        <f t="shared" si="14"/>
        <v>0</v>
      </c>
    </row>
    <row r="8" spans="1:116">
      <c r="A8" s="543">
        <f>'Livestock parameters'!A4</f>
        <v>0</v>
      </c>
      <c r="B8" s="713">
        <f>IFERROR(Feed!H145*Feed!E26,0)</f>
        <v>0</v>
      </c>
      <c r="C8" s="553">
        <f>IFERROR(Feed!I145*Feed!N26,0)</f>
        <v>0</v>
      </c>
      <c r="D8" s="553">
        <f>IFERROR(Feed!J145*Feed!W26,0)</f>
        <v>0</v>
      </c>
      <c r="E8" s="243">
        <f>VLOOKUP(INPUTS!$D$91,'Crop parameters'!$A$2:$Z$43,4,FALSE)*1000</f>
        <v>0</v>
      </c>
      <c r="F8" s="475">
        <f>INPUTS!$E$106</f>
        <v>0</v>
      </c>
      <c r="G8" s="243">
        <f>VLOOKUP(INPUTS!$D$91,'Crop parameters'!$A$2:$Z$43,8,FALSE)*1000</f>
        <v>0</v>
      </c>
      <c r="H8" s="475">
        <f>IF(INPUTS!$E$91="Residue",INPUTS!$F$106,0)</f>
        <v>0</v>
      </c>
      <c r="I8" s="475">
        <f>IFERROR(IF(INPUTS!$E$91="Main",B8/(E8*F8),B8/(G8*H8)),0)</f>
        <v>0</v>
      </c>
      <c r="J8" s="475">
        <f>IFERROR(IF(INPUTS!$E$91="Main",C8/(E8*F8),C8/(G8*H8)),0)</f>
        <v>0</v>
      </c>
      <c r="K8" s="475">
        <f>IFERROR(IF(INPUTS!$E$91="Main",D8/(E8*F8),D8/(G8*H8)),0)</f>
        <v>0</v>
      </c>
      <c r="L8" s="805">
        <f t="shared" si="0"/>
        <v>0</v>
      </c>
      <c r="M8" s="821">
        <f t="shared" si="1"/>
        <v>0</v>
      </c>
      <c r="N8" s="821">
        <f t="shared" si="15"/>
        <v>0</v>
      </c>
      <c r="O8" s="805">
        <f t="shared" si="16"/>
        <v>0</v>
      </c>
      <c r="P8" s="805">
        <f t="shared" si="17"/>
        <v>0</v>
      </c>
      <c r="Q8" s="805">
        <f t="shared" si="18"/>
        <v>0</v>
      </c>
      <c r="R8" s="713">
        <f>IFERROR(Feed!H145*Feed!F26,0)</f>
        <v>0</v>
      </c>
      <c r="S8" s="553">
        <f>IFERROR(Feed!I145*Feed!O26,0)</f>
        <v>0</v>
      </c>
      <c r="T8" s="553">
        <f>IFERROR(Feed!Z145*Feed!X26,0)</f>
        <v>0</v>
      </c>
      <c r="U8" s="243">
        <f>VLOOKUP(INPUTS!$D$92,'Crop parameters'!$A$2:$Z$43,4,FALSE)*1000</f>
        <v>13049.999999999998</v>
      </c>
      <c r="V8" s="475">
        <f>INPUTS!$E$107</f>
        <v>0.9</v>
      </c>
      <c r="W8" s="243">
        <f>VLOOKUP(INPUTS!$D$92,'Crop parameters'!$A$2:$Z$43,8,FALSE)*1000</f>
        <v>4999.9999999999982</v>
      </c>
      <c r="X8" s="475">
        <f>IF(INPUTS!$E$92="Residue",INPUTS!$F$107,0)</f>
        <v>0</v>
      </c>
      <c r="Y8" s="475">
        <f>IFERROR(IF(INPUTS!$E$92="Main",R8/(U8*V8),R8/(W8*X8)),0)</f>
        <v>0</v>
      </c>
      <c r="Z8" s="475">
        <f>IFERROR(IF(INPUTS!$E$92="Main",S8/(U8*V8),S8/(W8*X8)),0)</f>
        <v>0</v>
      </c>
      <c r="AA8" s="475">
        <f>IFERROR(IF(INPUTS!$E$92="Main",T8/(U8*V8),T8/(W8*X8)),0)</f>
        <v>0</v>
      </c>
      <c r="AB8" s="805">
        <f t="shared" si="2"/>
        <v>0</v>
      </c>
      <c r="AC8" s="821">
        <f t="shared" si="3"/>
        <v>0</v>
      </c>
      <c r="AD8" s="821">
        <f t="shared" si="19"/>
        <v>0</v>
      </c>
      <c r="AE8" s="805">
        <f t="shared" si="20"/>
        <v>0</v>
      </c>
      <c r="AF8" s="805">
        <f t="shared" si="21"/>
        <v>0</v>
      </c>
      <c r="AG8" s="805">
        <f t="shared" si="22"/>
        <v>0</v>
      </c>
      <c r="AH8" s="713">
        <f>IFERROR(Feed!H145*Feed!G26,0)</f>
        <v>0</v>
      </c>
      <c r="AI8" s="553">
        <f>IFERROR(Feed!I145*Feed!P26,0)</f>
        <v>0</v>
      </c>
      <c r="AJ8" s="553">
        <f>IFERROR(Feed!J145*Feed!Y26,0)</f>
        <v>0</v>
      </c>
      <c r="AK8" s="243">
        <f>VLOOKUP(INPUTS!$D$93,'Crop parameters'!$A$2:$Z$43,4,FALSE)*1000</f>
        <v>1299</v>
      </c>
      <c r="AL8" s="475">
        <f>INPUTS!$E$108</f>
        <v>0.4</v>
      </c>
      <c r="AM8" s="243">
        <f>VLOOKUP(INPUTS!$D$93,'Crop parameters'!$A$2:$Z$43,8,FALSE)*1000</f>
        <v>3582.4421538461534</v>
      </c>
      <c r="AN8" s="475">
        <f>IF(INPUTS!$E$93="Residue",INPUTS!$F$108,0)</f>
        <v>0.6</v>
      </c>
      <c r="AO8" s="475">
        <f>IFERROR(IF(INPUTS!$E$93="Main",AH8/(AK8*AL8),AH8/(AM8*AN8)),0)</f>
        <v>0</v>
      </c>
      <c r="AP8" s="475">
        <f>IFERROR(IF(INPUTS!$E$93="Main",AI8/(AK8*AL8),AI8/(AM8*AN8)),0)</f>
        <v>0</v>
      </c>
      <c r="AQ8" s="475">
        <f>IFERROR(IF(INPUTS!$E$93="Main",AJ8/(AK8*AL8),AJ8/(AM8*AN8)),0)</f>
        <v>0</v>
      </c>
      <c r="AR8" s="805">
        <f t="shared" si="4"/>
        <v>0</v>
      </c>
      <c r="AS8" s="821">
        <f t="shared" si="5"/>
        <v>0</v>
      </c>
      <c r="AT8" s="821">
        <f t="shared" si="23"/>
        <v>0</v>
      </c>
      <c r="AU8" s="805">
        <f t="shared" si="24"/>
        <v>0</v>
      </c>
      <c r="AV8" s="805">
        <f t="shared" si="25"/>
        <v>0</v>
      </c>
      <c r="AW8" s="805">
        <f t="shared" si="26"/>
        <v>0</v>
      </c>
      <c r="AX8" s="807">
        <f>IFERROR(Feed!H145*Feed!H26,0)</f>
        <v>0</v>
      </c>
      <c r="AY8" s="553">
        <f>IFERROR(Feed!I145*Feed!Q26,0)</f>
        <v>0</v>
      </c>
      <c r="AZ8" s="553">
        <f>IFERROR(Feed!J145*Feed!Z26,0)</f>
        <v>0</v>
      </c>
      <c r="BA8" s="243">
        <f>VLOOKUP(INPUTS!$D$94,'Crop parameters'!$A$2:$Z$43,4,FALSE)*1000</f>
        <v>0</v>
      </c>
      <c r="BB8" s="475">
        <f>INPUTS!$E$109</f>
        <v>0.9</v>
      </c>
      <c r="BC8" s="243">
        <f>VLOOKUP(INPUTS!$D$94,'Crop parameters'!$A$2:$Z$43,8,FALSE)*1000</f>
        <v>0</v>
      </c>
      <c r="BD8" s="475">
        <f>IF(INPUTS!$E$94="Residue",INPUTS!$F$109,0)</f>
        <v>0</v>
      </c>
      <c r="BE8" s="475">
        <f>IFERROR(IF(INPUTS!$E$94="Main",AX8/(BA8*BB8),AX8/(BC8*BD8)),0)</f>
        <v>0</v>
      </c>
      <c r="BF8" s="475">
        <f>IFERROR(IF(INPUTS!$E$94="Main",AY8/(BA8*BB8),AY8/(BC8*BD8)),0)</f>
        <v>0</v>
      </c>
      <c r="BG8" s="475">
        <f>IFERROR(IF(INPUTS!$E$94="Main",AZ8/(BA8*BB8),AZ8/(BC8*BD8)),0)</f>
        <v>0</v>
      </c>
      <c r="BH8" s="805">
        <f t="shared" si="6"/>
        <v>0</v>
      </c>
      <c r="BI8" s="821">
        <f t="shared" si="7"/>
        <v>0</v>
      </c>
      <c r="BJ8" s="821">
        <f t="shared" si="27"/>
        <v>0</v>
      </c>
      <c r="BK8" s="805">
        <f t="shared" si="28"/>
        <v>0</v>
      </c>
      <c r="BL8" s="805">
        <f t="shared" si="29"/>
        <v>0</v>
      </c>
      <c r="BM8" s="805">
        <f t="shared" si="30"/>
        <v>0</v>
      </c>
      <c r="BN8" s="713">
        <f>IFERROR(Feed!H145*Feed!I26,0)</f>
        <v>0</v>
      </c>
      <c r="BO8" s="553">
        <f>IFERROR(Feed!I145*Feed!R26,0)</f>
        <v>0</v>
      </c>
      <c r="BP8" s="553">
        <f>IFERROR(Feed!J145*Feed!AA26,0)</f>
        <v>0</v>
      </c>
      <c r="BQ8" s="243">
        <f>VLOOKUP(INPUTS!$D$95,'Crop parameters'!$A$2:$Z$43,4,FALSE)*1000</f>
        <v>0</v>
      </c>
      <c r="BR8" s="475">
        <f>INPUTS!$E$110</f>
        <v>0.9</v>
      </c>
      <c r="BS8" s="243">
        <f>VLOOKUP(INPUTS!$D$95,'Crop parameters'!$A$2:$Z$43,8,FALSE)*1000</f>
        <v>0</v>
      </c>
      <c r="BT8" s="475">
        <f>IF(INPUTS!$E$95="Residue",INPUTS!$F$110,0)</f>
        <v>0</v>
      </c>
      <c r="BU8" s="475">
        <f>IFERROR(IF(INPUTS!$E$95="Main",BN8/(BQ8*BR8),BN8/(BS8*BT8)),0)</f>
        <v>0</v>
      </c>
      <c r="BV8" s="475">
        <f>IFERROR(IF(INPUTS!$E$95="Main",BO8/(BQ8*BR8),BO8/(BS8*BT8)),0)</f>
        <v>0</v>
      </c>
      <c r="BW8" s="475">
        <f>IFERROR(IF(INPUTS!$E$95="Main",BP8/(BQ8*BR8),BP8/(BS8*BT8)),0)</f>
        <v>0</v>
      </c>
      <c r="BX8" s="805">
        <f t="shared" si="8"/>
        <v>0</v>
      </c>
      <c r="BY8" s="821">
        <f t="shared" si="9"/>
        <v>0</v>
      </c>
      <c r="BZ8" s="821">
        <f t="shared" si="31"/>
        <v>0</v>
      </c>
      <c r="CA8" s="805">
        <f t="shared" si="32"/>
        <v>0</v>
      </c>
      <c r="CB8" s="805">
        <f t="shared" si="33"/>
        <v>0</v>
      </c>
      <c r="CC8" s="805">
        <f t="shared" si="34"/>
        <v>0</v>
      </c>
      <c r="CD8" s="713">
        <f>IFERROR(Feed!H145*Feed!J26,0)</f>
        <v>0</v>
      </c>
      <c r="CE8" s="553">
        <f>IFERROR(Feed!I145*Feed!S26,0)</f>
        <v>0</v>
      </c>
      <c r="CF8" s="553">
        <f>IFERROR(Feed!J145*Feed!AB26,0)</f>
        <v>0</v>
      </c>
      <c r="CG8" s="243">
        <f>VLOOKUP(INPUTS!$D$96,'Crop parameters'!$A$2:$Z$43,4,FALSE)*1000</f>
        <v>0</v>
      </c>
      <c r="CH8" s="475">
        <f>INPUTS!$E$111</f>
        <v>0.9</v>
      </c>
      <c r="CI8" s="243">
        <f>VLOOKUP(INPUTS!$D$96,'Crop parameters'!$A$2:$Z$43,8,FALSE)*1000</f>
        <v>0</v>
      </c>
      <c r="CJ8" s="475">
        <f>IF(INPUTS!$E$96="Residue",INPUTS!$F$111,0)</f>
        <v>0</v>
      </c>
      <c r="CK8" s="475">
        <f>IFERROR(IF(INPUTS!$E$96="Main",CD8/(CG8*CH8),CD8/(CI8*CJ8)),0)</f>
        <v>0</v>
      </c>
      <c r="CL8" s="475">
        <f>IFERROR(IF(INPUTS!$E$96="Main",CE8/(CG8*CH8),CE8/(CI8*CJ8)),0)</f>
        <v>0</v>
      </c>
      <c r="CM8" s="475">
        <f>IFERROR(IF(INPUTS!$E$96="Main",CF8/(CG8*CH8),CF8/(CI8*CJ8)),0)</f>
        <v>0</v>
      </c>
      <c r="CN8" s="805">
        <f t="shared" si="10"/>
        <v>0</v>
      </c>
      <c r="CO8" s="821">
        <f t="shared" si="11"/>
        <v>0</v>
      </c>
      <c r="CP8" s="821">
        <f t="shared" si="35"/>
        <v>0</v>
      </c>
      <c r="CQ8" s="805">
        <f t="shared" si="36"/>
        <v>0</v>
      </c>
      <c r="CR8" s="805">
        <f t="shared" si="37"/>
        <v>0</v>
      </c>
      <c r="CS8" s="805">
        <f t="shared" si="38"/>
        <v>0</v>
      </c>
      <c r="CT8" s="713">
        <f>IFERROR(Feed!H145*Feed!K26,0)</f>
        <v>0</v>
      </c>
      <c r="CU8" s="553">
        <f>IFERROR(Feed!I145*Feed!T26,0)</f>
        <v>0</v>
      </c>
      <c r="CV8" s="553">
        <f>IFERROR(Feed!J145*Feed!AC26,0)</f>
        <v>0</v>
      </c>
      <c r="CW8" s="243">
        <f>VLOOKUP(INPUTS!$D$97,'Crop parameters'!$A$2:$Z$43,4,FALSE)*1000</f>
        <v>0</v>
      </c>
      <c r="CX8" s="475">
        <f>INPUTS!$E$112</f>
        <v>0</v>
      </c>
      <c r="CY8" s="243">
        <f>VLOOKUP(INPUTS!$D$97,'Crop parameters'!$A$2:$Z$43,8,FALSE)*1000</f>
        <v>0</v>
      </c>
      <c r="CZ8" s="475">
        <f>IF(INPUTS!$E$97="Residue",INPUTS!$F$112,0)</f>
        <v>0</v>
      </c>
      <c r="DA8" s="475">
        <f>IFERROR(IF(INPUTS!$E$97="Main",CT8/(CW8*CX8),CT8/(CY8*CZ8)),0)</f>
        <v>0</v>
      </c>
      <c r="DB8" s="475">
        <f>IFERROR(IF(INPUTS!$E$97="Main",CU8/(CW8*CX8),CU8/(CY8*CZ8)),0)</f>
        <v>0</v>
      </c>
      <c r="DC8" s="475">
        <f>IFERROR(IF(INPUTS!$E$97="Main",CV8/(CW8*CX8),CV8/(CY8*CZ8)),0)</f>
        <v>0</v>
      </c>
      <c r="DD8" s="805">
        <f t="shared" si="12"/>
        <v>0</v>
      </c>
      <c r="DE8" s="821">
        <f t="shared" si="13"/>
        <v>0</v>
      </c>
      <c r="DF8" s="821">
        <f t="shared" si="39"/>
        <v>0</v>
      </c>
      <c r="DG8" s="805">
        <f t="shared" si="40"/>
        <v>0</v>
      </c>
      <c r="DH8" s="805">
        <f t="shared" si="41"/>
        <v>0</v>
      </c>
      <c r="DI8" s="475">
        <f t="shared" si="42"/>
        <v>0</v>
      </c>
      <c r="DJ8" s="715">
        <f t="shared" si="43"/>
        <v>0</v>
      </c>
      <c r="DK8" s="715">
        <f t="shared" si="14"/>
        <v>0</v>
      </c>
      <c r="DL8" s="715">
        <f t="shared" si="14"/>
        <v>0</v>
      </c>
    </row>
    <row r="9" spans="1:116">
      <c r="A9" s="543">
        <f>'Livestock parameters'!A5</f>
        <v>0</v>
      </c>
      <c r="B9" s="713">
        <f>IFERROR(Feed!H146*Feed!E33,0)</f>
        <v>0</v>
      </c>
      <c r="C9" s="553">
        <f>IFERROR(Feed!I146*Feed!N33,0)</f>
        <v>0</v>
      </c>
      <c r="D9" s="553">
        <f>IFERROR(Feed!J146*Feed!W33,0)</f>
        <v>0</v>
      </c>
      <c r="E9" s="243">
        <f>VLOOKUP(INPUTS!$D$91,'Crop parameters'!$A$2:$Z$43,4,FALSE)*1000</f>
        <v>0</v>
      </c>
      <c r="F9" s="475">
        <f>INPUTS!$E$106</f>
        <v>0</v>
      </c>
      <c r="G9" s="243">
        <f>VLOOKUP(INPUTS!$D$91,'Crop parameters'!$A$2:$Z$43,8,FALSE)*1000</f>
        <v>0</v>
      </c>
      <c r="H9" s="475">
        <f>IF(INPUTS!$E$91="Residue",INPUTS!$F$106,0)</f>
        <v>0</v>
      </c>
      <c r="I9" s="475">
        <f>IFERROR(IF(INPUTS!$E$91="Main",B9/(E9*F9),B9/(G9*H9)),0)</f>
        <v>0</v>
      </c>
      <c r="J9" s="475">
        <f>IFERROR(IF(INPUTS!$E$91="Main",C9/(E9*F9),C9/(G9*H9)),0)</f>
        <v>0</v>
      </c>
      <c r="K9" s="475">
        <f>IFERROR(IF(INPUTS!$E$91="Main",D9/(E9*F9),D9/(G9*H9)),0)</f>
        <v>0</v>
      </c>
      <c r="L9" s="805">
        <f t="shared" si="0"/>
        <v>0</v>
      </c>
      <c r="M9" s="821">
        <f t="shared" si="1"/>
        <v>0</v>
      </c>
      <c r="N9" s="821">
        <f t="shared" si="15"/>
        <v>0</v>
      </c>
      <c r="O9" s="805">
        <f t="shared" si="16"/>
        <v>0</v>
      </c>
      <c r="P9" s="805">
        <f t="shared" si="17"/>
        <v>0</v>
      </c>
      <c r="Q9" s="805">
        <f t="shared" si="18"/>
        <v>0</v>
      </c>
      <c r="R9" s="713">
        <f>IFERROR(Feed!H146*Feed!F33,0)</f>
        <v>0</v>
      </c>
      <c r="S9" s="553">
        <f>IFERROR(Feed!I146*Feed!O33,0)</f>
        <v>0</v>
      </c>
      <c r="T9" s="553">
        <f>IFERROR(Feed!Z146*Feed!X33,0)</f>
        <v>0</v>
      </c>
      <c r="U9" s="243">
        <f>VLOOKUP(INPUTS!$D$92,'Crop parameters'!$A$2:$Z$43,4,FALSE)*1000</f>
        <v>13049.999999999998</v>
      </c>
      <c r="V9" s="475">
        <f>INPUTS!$E$107</f>
        <v>0.9</v>
      </c>
      <c r="W9" s="243">
        <f>VLOOKUP(INPUTS!$D$92,'Crop parameters'!$A$2:$Z$43,8,FALSE)*1000</f>
        <v>4999.9999999999982</v>
      </c>
      <c r="X9" s="475">
        <f>IF(INPUTS!$E$92="Residue",INPUTS!$F$107,0)</f>
        <v>0</v>
      </c>
      <c r="Y9" s="475">
        <f>IFERROR(IF(INPUTS!$E$92="Main",R9/(U9*V9),R9/(W9*X9)),0)</f>
        <v>0</v>
      </c>
      <c r="Z9" s="475">
        <f>IFERROR(IF(INPUTS!$E$92="Main",S9/(U9*V9),S9/(W9*X9)),0)</f>
        <v>0</v>
      </c>
      <c r="AA9" s="475">
        <f>IFERROR(IF(INPUTS!$E$92="Main",T9/(U9*V9),T9/(W9*X9)),0)</f>
        <v>0</v>
      </c>
      <c r="AB9" s="805">
        <f t="shared" si="2"/>
        <v>0</v>
      </c>
      <c r="AC9" s="821">
        <f t="shared" si="3"/>
        <v>0</v>
      </c>
      <c r="AD9" s="821">
        <f t="shared" si="19"/>
        <v>0</v>
      </c>
      <c r="AE9" s="805">
        <f t="shared" si="20"/>
        <v>0</v>
      </c>
      <c r="AF9" s="805">
        <f t="shared" si="21"/>
        <v>0</v>
      </c>
      <c r="AG9" s="805">
        <f t="shared" si="22"/>
        <v>0</v>
      </c>
      <c r="AH9" s="713">
        <f>IFERROR(Feed!H146*Feed!G33,0)</f>
        <v>0</v>
      </c>
      <c r="AI9" s="553">
        <f>IFERROR(Feed!I146*Feed!P33,0)</f>
        <v>0</v>
      </c>
      <c r="AJ9" s="553">
        <f>IFERROR(Feed!J146*Feed!Y33,0)</f>
        <v>0</v>
      </c>
      <c r="AK9" s="243">
        <f>VLOOKUP(INPUTS!$D$93,'Crop parameters'!$A$2:$Z$43,4,FALSE)*1000</f>
        <v>1299</v>
      </c>
      <c r="AL9" s="475">
        <f>INPUTS!$E$108</f>
        <v>0.4</v>
      </c>
      <c r="AM9" s="243">
        <f>VLOOKUP(INPUTS!$D$93,'Crop parameters'!$A$2:$Z$43,8,FALSE)*1000</f>
        <v>3582.4421538461534</v>
      </c>
      <c r="AN9" s="475">
        <f>IF(INPUTS!$E$93="Residue",INPUTS!$F$108,0)</f>
        <v>0.6</v>
      </c>
      <c r="AO9" s="475">
        <f>IFERROR(IF(INPUTS!$E$93="Main",AH9/(AK9*AL9),AH9/(AM9*AN9)),0)</f>
        <v>0</v>
      </c>
      <c r="AP9" s="475">
        <f>IFERROR(IF(INPUTS!$E$93="Main",AI9/(AK9*AL9),AI9/(AM9*AN9)),0)</f>
        <v>0</v>
      </c>
      <c r="AQ9" s="475">
        <f>IFERROR(IF(INPUTS!$E$93="Main",AJ9/(AK9*AL9),AJ9/(AM9*AN9)),0)</f>
        <v>0</v>
      </c>
      <c r="AR9" s="805">
        <f t="shared" si="4"/>
        <v>0</v>
      </c>
      <c r="AS9" s="821">
        <f t="shared" si="5"/>
        <v>0</v>
      </c>
      <c r="AT9" s="821">
        <f t="shared" si="23"/>
        <v>0</v>
      </c>
      <c r="AU9" s="805">
        <f t="shared" si="24"/>
        <v>0</v>
      </c>
      <c r="AV9" s="805">
        <f t="shared" si="25"/>
        <v>0</v>
      </c>
      <c r="AW9" s="805">
        <f t="shared" si="26"/>
        <v>0</v>
      </c>
      <c r="AX9" s="807">
        <f>IFERROR(Feed!H146*Feed!H33,0)</f>
        <v>0</v>
      </c>
      <c r="AY9" s="553">
        <f>IFERROR(Feed!I146*Feed!Q33,0)</f>
        <v>0</v>
      </c>
      <c r="AZ9" s="553">
        <f>IFERROR(Feed!J146*Feed!Z33,0)</f>
        <v>0</v>
      </c>
      <c r="BA9" s="243">
        <f>VLOOKUP(INPUTS!$D$94,'Crop parameters'!$A$2:$Z$43,4,FALSE)*1000</f>
        <v>0</v>
      </c>
      <c r="BB9" s="475">
        <f>INPUTS!$E$109</f>
        <v>0.9</v>
      </c>
      <c r="BC9" s="243">
        <f>VLOOKUP(INPUTS!$D$94,'Crop parameters'!$A$2:$Z$43,8,FALSE)*1000</f>
        <v>0</v>
      </c>
      <c r="BD9" s="475">
        <f>IF(INPUTS!$E$94="Residue",INPUTS!$F$109,0)</f>
        <v>0</v>
      </c>
      <c r="BE9" s="475">
        <f>IFERROR(IF(INPUTS!$E$94="Main",AX9/(BA9*BB9),AX9/(BC9*BD9)),0)</f>
        <v>0</v>
      </c>
      <c r="BF9" s="475">
        <f>IFERROR(IF(INPUTS!$E$94="Main",AY9/(BA9*BB9),AY9/(BC9*BD9)),0)</f>
        <v>0</v>
      </c>
      <c r="BG9" s="475">
        <f>IFERROR(IF(INPUTS!$E$94="Main",AZ9/(BA9*BB9),AZ9/(BC9*BD9)),0)</f>
        <v>0</v>
      </c>
      <c r="BH9" s="805">
        <f t="shared" si="6"/>
        <v>0</v>
      </c>
      <c r="BI9" s="821">
        <f t="shared" si="7"/>
        <v>0</v>
      </c>
      <c r="BJ9" s="821">
        <f t="shared" si="27"/>
        <v>0</v>
      </c>
      <c r="BK9" s="805">
        <f t="shared" si="28"/>
        <v>0</v>
      </c>
      <c r="BL9" s="805">
        <f t="shared" si="29"/>
        <v>0</v>
      </c>
      <c r="BM9" s="805">
        <f t="shared" si="30"/>
        <v>0</v>
      </c>
      <c r="BN9" s="713">
        <f>IFERROR(Feed!H146*Feed!I33,0)</f>
        <v>0</v>
      </c>
      <c r="BO9" s="553">
        <f>IFERROR(Feed!I146*Feed!R33,0)</f>
        <v>0</v>
      </c>
      <c r="BP9" s="553">
        <f>IFERROR(Feed!J146*Feed!AA33,0)</f>
        <v>0</v>
      </c>
      <c r="BQ9" s="243">
        <f>VLOOKUP(INPUTS!$D$95,'Crop parameters'!$A$2:$Z$43,4,FALSE)*1000</f>
        <v>0</v>
      </c>
      <c r="BR9" s="475">
        <f>INPUTS!$E$110</f>
        <v>0.9</v>
      </c>
      <c r="BS9" s="243">
        <f>VLOOKUP(INPUTS!$D$95,'Crop parameters'!$A$2:$Z$43,8,FALSE)*1000</f>
        <v>0</v>
      </c>
      <c r="BT9" s="475">
        <f>IF(INPUTS!$E$95="Residue",INPUTS!$F$110,0)</f>
        <v>0</v>
      </c>
      <c r="BU9" s="475">
        <f>IFERROR(IF(INPUTS!$E$95="Main",BN9/(BQ9*BR9),BN9/(BS9*BT9)),0)</f>
        <v>0</v>
      </c>
      <c r="BV9" s="475">
        <f>IFERROR(IF(INPUTS!$E$95="Main",BO9/(BQ9*BR9),BO9/(BS9*BT9)),0)</f>
        <v>0</v>
      </c>
      <c r="BW9" s="475">
        <f>IFERROR(IF(INPUTS!$E$95="Main",BP9/(BQ9*BR9),BP9/(BS9*BT9)),0)</f>
        <v>0</v>
      </c>
      <c r="BX9" s="805">
        <f t="shared" si="8"/>
        <v>0</v>
      </c>
      <c r="BY9" s="821">
        <f t="shared" si="9"/>
        <v>0</v>
      </c>
      <c r="BZ9" s="821">
        <f t="shared" si="31"/>
        <v>0</v>
      </c>
      <c r="CA9" s="805">
        <f t="shared" si="32"/>
        <v>0</v>
      </c>
      <c r="CB9" s="805">
        <f t="shared" si="33"/>
        <v>0</v>
      </c>
      <c r="CC9" s="805">
        <f t="shared" si="34"/>
        <v>0</v>
      </c>
      <c r="CD9" s="713">
        <f>IFERROR(Feed!H146*Feed!J33,0)</f>
        <v>0</v>
      </c>
      <c r="CE9" s="553">
        <f>IFERROR(Feed!I146*Feed!S33,0)</f>
        <v>0</v>
      </c>
      <c r="CF9" s="553">
        <f>IFERROR(Feed!J146*Feed!AB33,0)</f>
        <v>0</v>
      </c>
      <c r="CG9" s="243">
        <f>VLOOKUP(INPUTS!$D$96,'Crop parameters'!$A$2:$Z$43,4,FALSE)*1000</f>
        <v>0</v>
      </c>
      <c r="CH9" s="475">
        <f>INPUTS!$E$111</f>
        <v>0.9</v>
      </c>
      <c r="CI9" s="243">
        <f>VLOOKUP(INPUTS!$D$96,'Crop parameters'!$A$2:$Z$43,8,FALSE)*1000</f>
        <v>0</v>
      </c>
      <c r="CJ9" s="475">
        <f>IF(INPUTS!$E$96="Residue",INPUTS!$F$111,0)</f>
        <v>0</v>
      </c>
      <c r="CK9" s="475">
        <f>IFERROR(IF(INPUTS!$E$96="Main",CD9/(CG9*CH9),CD9/(CI9*CJ9)),0)</f>
        <v>0</v>
      </c>
      <c r="CL9" s="475">
        <f>IFERROR(IF(INPUTS!$E$96="Main",CE9/(CG9*CH9),CE9/(CI9*CJ9)),0)</f>
        <v>0</v>
      </c>
      <c r="CM9" s="475">
        <f>IFERROR(IF(INPUTS!$E$96="Main",CF9/(CG9*CH9),CF9/(CI9*CJ9)),0)</f>
        <v>0</v>
      </c>
      <c r="CN9" s="805">
        <f t="shared" si="10"/>
        <v>0</v>
      </c>
      <c r="CO9" s="821">
        <f t="shared" si="11"/>
        <v>0</v>
      </c>
      <c r="CP9" s="821">
        <f t="shared" si="35"/>
        <v>0</v>
      </c>
      <c r="CQ9" s="805">
        <f t="shared" si="36"/>
        <v>0</v>
      </c>
      <c r="CR9" s="805">
        <f t="shared" si="37"/>
        <v>0</v>
      </c>
      <c r="CS9" s="805">
        <f t="shared" si="38"/>
        <v>0</v>
      </c>
      <c r="CT9" s="713">
        <f>IFERROR(Feed!H146*Feed!K33,0)</f>
        <v>0</v>
      </c>
      <c r="CU9" s="553">
        <f>IFERROR(Feed!I146*Feed!T33,0)</f>
        <v>0</v>
      </c>
      <c r="CV9" s="553">
        <f>IFERROR(Feed!J146*Feed!AC33,0)</f>
        <v>0</v>
      </c>
      <c r="CW9" s="243">
        <f>VLOOKUP(INPUTS!$D$97,'Crop parameters'!$A$2:$Z$43,4,FALSE)*1000</f>
        <v>0</v>
      </c>
      <c r="CX9" s="475">
        <f>INPUTS!$E$112</f>
        <v>0</v>
      </c>
      <c r="CY9" s="243">
        <f>VLOOKUP(INPUTS!$D$97,'Crop parameters'!$A$2:$Z$43,8,FALSE)*1000</f>
        <v>0</v>
      </c>
      <c r="CZ9" s="475">
        <f>IF(INPUTS!$E$97="Residue",INPUTS!$F$112,0)</f>
        <v>0</v>
      </c>
      <c r="DA9" s="475">
        <f>IFERROR(IF(INPUTS!$E$97="Main",CT9/(CW9*CX9),CT9/(CY9*CZ9)),0)</f>
        <v>0</v>
      </c>
      <c r="DB9" s="475">
        <f>IFERROR(IF(INPUTS!$E$97="Main",CU9/(CW9*CX9),CU9/(CY9*CZ9)),0)</f>
        <v>0</v>
      </c>
      <c r="DC9" s="475">
        <f>IFERROR(IF(INPUTS!$E$97="Main",CV9/(CW9*CX9),CV9/(CY9*CZ9)),0)</f>
        <v>0</v>
      </c>
      <c r="DD9" s="805">
        <f t="shared" si="12"/>
        <v>0</v>
      </c>
      <c r="DE9" s="821">
        <f t="shared" si="13"/>
        <v>0</v>
      </c>
      <c r="DF9" s="821">
        <f t="shared" si="39"/>
        <v>0</v>
      </c>
      <c r="DG9" s="805">
        <f t="shared" si="40"/>
        <v>0</v>
      </c>
      <c r="DH9" s="805">
        <f t="shared" si="41"/>
        <v>0</v>
      </c>
      <c r="DI9" s="475">
        <f t="shared" si="42"/>
        <v>0</v>
      </c>
      <c r="DJ9" s="715">
        <f t="shared" si="43"/>
        <v>0</v>
      </c>
      <c r="DK9" s="715">
        <f t="shared" si="14"/>
        <v>0</v>
      </c>
      <c r="DL9" s="715">
        <f t="shared" si="14"/>
        <v>0</v>
      </c>
    </row>
    <row r="10" spans="1:116">
      <c r="A10" s="543">
        <f>'Livestock parameters'!A6</f>
        <v>0</v>
      </c>
      <c r="B10" s="713">
        <f>IFERROR(Feed!H147*Feed!E40,0)</f>
        <v>0</v>
      </c>
      <c r="C10" s="553">
        <f>IFERROR(Feed!I147*Feed!N40,0)</f>
        <v>0</v>
      </c>
      <c r="D10" s="553">
        <f>IFERROR(Feed!J147*Feed!W40,0)</f>
        <v>0</v>
      </c>
      <c r="E10" s="243">
        <f>VLOOKUP(INPUTS!$D$91,'Crop parameters'!$A$2:$Z$43,4,FALSE)*1000</f>
        <v>0</v>
      </c>
      <c r="F10" s="475">
        <f>INPUTS!$E$106</f>
        <v>0</v>
      </c>
      <c r="G10" s="243">
        <f>VLOOKUP(INPUTS!$D$91,'Crop parameters'!$A$2:$Z$43,8,FALSE)*1000</f>
        <v>0</v>
      </c>
      <c r="H10" s="475">
        <f>IF(INPUTS!$E$91="Residue",INPUTS!$F$106,0)</f>
        <v>0</v>
      </c>
      <c r="I10" s="475">
        <f>IFERROR(IF(INPUTS!$E$91="Main",B10/(E10*F10),B10/(G10*H10)),0)</f>
        <v>0</v>
      </c>
      <c r="J10" s="475">
        <f>IFERROR(IF(INPUTS!$E$91="Main",C10/(E10*F10),C10/(G10*H10)),0)</f>
        <v>0</v>
      </c>
      <c r="K10" s="475">
        <f>IFERROR(IF(INPUTS!$E$91="Main",D10/(E10*F10),D10/(G10*H10)),0)</f>
        <v>0</v>
      </c>
      <c r="L10" s="805">
        <f t="shared" si="0"/>
        <v>0</v>
      </c>
      <c r="M10" s="821">
        <f t="shared" si="1"/>
        <v>0</v>
      </c>
      <c r="N10" s="821">
        <f t="shared" si="15"/>
        <v>0</v>
      </c>
      <c r="O10" s="805">
        <f t="shared" si="16"/>
        <v>0</v>
      </c>
      <c r="P10" s="805">
        <f t="shared" si="17"/>
        <v>0</v>
      </c>
      <c r="Q10" s="805">
        <f t="shared" si="18"/>
        <v>0</v>
      </c>
      <c r="R10" s="713">
        <f>IFERROR(Feed!H147*Feed!F40,0)</f>
        <v>0</v>
      </c>
      <c r="S10" s="553">
        <f>IFERROR(Feed!I147*Feed!O40,0)</f>
        <v>0</v>
      </c>
      <c r="T10" s="553">
        <f>IFERROR(Feed!Z147*Feed!X40,0)</f>
        <v>0</v>
      </c>
      <c r="U10" s="243">
        <f>VLOOKUP(INPUTS!$D$92,'Crop parameters'!$A$2:$Z$43,4,FALSE)*1000</f>
        <v>13049.999999999998</v>
      </c>
      <c r="V10" s="475">
        <f>INPUTS!$E$107</f>
        <v>0.9</v>
      </c>
      <c r="W10" s="243">
        <f>VLOOKUP(INPUTS!$D$92,'Crop parameters'!$A$2:$Z$43,8,FALSE)*1000</f>
        <v>4999.9999999999982</v>
      </c>
      <c r="X10" s="475">
        <f>IF(INPUTS!$E$92="Residue",INPUTS!$F$107,0)</f>
        <v>0</v>
      </c>
      <c r="Y10" s="475">
        <f>IFERROR(IF(INPUTS!$E$92="Main",R10/(U10*V10),R10/(W10*X10)),0)</f>
        <v>0</v>
      </c>
      <c r="Z10" s="475">
        <f>IFERROR(IF(INPUTS!$E$92="Main",S10/(U10*V10),S10/(W10*X10)),0)</f>
        <v>0</v>
      </c>
      <c r="AA10" s="475">
        <f>IFERROR(IF(INPUTS!$E$92="Main",T10/(U10*V10),T10/(W10*X10)),0)</f>
        <v>0</v>
      </c>
      <c r="AB10" s="805">
        <f t="shared" si="2"/>
        <v>0</v>
      </c>
      <c r="AC10" s="821">
        <f t="shared" si="3"/>
        <v>0</v>
      </c>
      <c r="AD10" s="821">
        <f t="shared" si="19"/>
        <v>0</v>
      </c>
      <c r="AE10" s="805">
        <f t="shared" si="20"/>
        <v>0</v>
      </c>
      <c r="AF10" s="805">
        <f t="shared" si="21"/>
        <v>0</v>
      </c>
      <c r="AG10" s="805">
        <f t="shared" si="22"/>
        <v>0</v>
      </c>
      <c r="AH10" s="713">
        <f>IFERROR(Feed!H147*Feed!G40,0)</f>
        <v>0</v>
      </c>
      <c r="AI10" s="553">
        <f>IFERROR(Feed!I147*Feed!P40,0)</f>
        <v>0</v>
      </c>
      <c r="AJ10" s="553">
        <f>IFERROR(Feed!J147*Feed!Y40,0)</f>
        <v>0</v>
      </c>
      <c r="AK10" s="243">
        <f>VLOOKUP(INPUTS!$D$93,'Crop parameters'!$A$2:$Z$43,4,FALSE)*1000</f>
        <v>1299</v>
      </c>
      <c r="AL10" s="475">
        <f>INPUTS!$E$108</f>
        <v>0.4</v>
      </c>
      <c r="AM10" s="243">
        <f>VLOOKUP(INPUTS!$D$93,'Crop parameters'!$A$2:$Z$43,8,FALSE)*1000</f>
        <v>3582.4421538461534</v>
      </c>
      <c r="AN10" s="475">
        <f>IF(INPUTS!$E$93="Residue",INPUTS!$F$108,0)</f>
        <v>0.6</v>
      </c>
      <c r="AO10" s="475">
        <f>IFERROR(IF(INPUTS!$E$93="Main",AH10/(AK10*AL10),AH10/(AM10*AN10)),0)</f>
        <v>0</v>
      </c>
      <c r="AP10" s="475">
        <f>IFERROR(IF(INPUTS!$E$93="Main",AI10/(AK10*AL10),AI10/(AM10*AN10)),0)</f>
        <v>0</v>
      </c>
      <c r="AQ10" s="475">
        <f>IFERROR(IF(INPUTS!$E$93="Main",AJ10/(AK10*AL10),AJ10/(AM10*AN10)),0)</f>
        <v>0</v>
      </c>
      <c r="AR10" s="805">
        <f t="shared" si="4"/>
        <v>0</v>
      </c>
      <c r="AS10" s="821">
        <f t="shared" si="5"/>
        <v>0</v>
      </c>
      <c r="AT10" s="821">
        <f t="shared" si="23"/>
        <v>0</v>
      </c>
      <c r="AU10" s="805">
        <f t="shared" si="24"/>
        <v>0</v>
      </c>
      <c r="AV10" s="805">
        <f t="shared" si="25"/>
        <v>0</v>
      </c>
      <c r="AW10" s="805">
        <f t="shared" si="26"/>
        <v>0</v>
      </c>
      <c r="AX10" s="807">
        <f>IFERROR(Feed!H147*Feed!H40,0)</f>
        <v>0</v>
      </c>
      <c r="AY10" s="553">
        <f>IFERROR(Feed!I147*Feed!Q40,0)</f>
        <v>0</v>
      </c>
      <c r="AZ10" s="553">
        <f>IFERROR(Feed!J147*Feed!Z40,0)</f>
        <v>0</v>
      </c>
      <c r="BA10" s="243">
        <f>VLOOKUP(INPUTS!$D$94,'Crop parameters'!$A$2:$Z$43,4,FALSE)*1000</f>
        <v>0</v>
      </c>
      <c r="BB10" s="475">
        <f>INPUTS!$E$109</f>
        <v>0.9</v>
      </c>
      <c r="BC10" s="243">
        <f>VLOOKUP(INPUTS!$D$94,'Crop parameters'!$A$2:$Z$43,8,FALSE)*1000</f>
        <v>0</v>
      </c>
      <c r="BD10" s="475">
        <f>IF(INPUTS!$E$94="Residue",INPUTS!$F$109,0)</f>
        <v>0</v>
      </c>
      <c r="BE10" s="475">
        <f>IFERROR(IF(INPUTS!$E$94="Main",AX10/(BA10*BB10),AX10/(BC10*BD10)),0)</f>
        <v>0</v>
      </c>
      <c r="BF10" s="475">
        <f>IFERROR(IF(INPUTS!$E$94="Main",AY10/(BA10*BB10),AY10/(BC10*BD10)),0)</f>
        <v>0</v>
      </c>
      <c r="BG10" s="475">
        <f>IFERROR(IF(INPUTS!$E$94="Main",AZ10/(BA10*BB10),AZ10/(BC10*BD10)),0)</f>
        <v>0</v>
      </c>
      <c r="BH10" s="805">
        <f t="shared" si="6"/>
        <v>0</v>
      </c>
      <c r="BI10" s="821">
        <f t="shared" si="7"/>
        <v>0</v>
      </c>
      <c r="BJ10" s="821">
        <f t="shared" si="27"/>
        <v>0</v>
      </c>
      <c r="BK10" s="805">
        <f t="shared" si="28"/>
        <v>0</v>
      </c>
      <c r="BL10" s="805">
        <f t="shared" si="29"/>
        <v>0</v>
      </c>
      <c r="BM10" s="805">
        <f t="shared" si="30"/>
        <v>0</v>
      </c>
      <c r="BN10" s="713">
        <f>IFERROR(Feed!H147*Feed!I40,0)</f>
        <v>0</v>
      </c>
      <c r="BO10" s="553">
        <f>IFERROR(Feed!I147*Feed!R40,0)</f>
        <v>0</v>
      </c>
      <c r="BP10" s="553">
        <f>IFERROR(Feed!J147*Feed!AA40,0)</f>
        <v>0</v>
      </c>
      <c r="BQ10" s="243">
        <f>VLOOKUP(INPUTS!$D$95,'Crop parameters'!$A$2:$Z$43,4,FALSE)*1000</f>
        <v>0</v>
      </c>
      <c r="BR10" s="475">
        <f>INPUTS!$E$110</f>
        <v>0.9</v>
      </c>
      <c r="BS10" s="243">
        <f>VLOOKUP(INPUTS!$D$95,'Crop parameters'!$A$2:$Z$43,8,FALSE)*1000</f>
        <v>0</v>
      </c>
      <c r="BT10" s="475">
        <f>IF(INPUTS!$E$95="Residue",INPUTS!$F$110,0)</f>
        <v>0</v>
      </c>
      <c r="BU10" s="475">
        <f>IFERROR(IF(INPUTS!$E$95="Main",BN10/(BQ10*BR10),BN10/(BS10*BT10)),0)</f>
        <v>0</v>
      </c>
      <c r="BV10" s="475">
        <f>IFERROR(IF(INPUTS!$E$95="Main",BO10/(BQ10*BR10),BO10/(BS10*BT10)),0)</f>
        <v>0</v>
      </c>
      <c r="BW10" s="475">
        <f>IFERROR(IF(INPUTS!$E$95="Main",BP10/(BQ10*BR10),BP10/(BS10*BT10)),0)</f>
        <v>0</v>
      </c>
      <c r="BX10" s="805">
        <f t="shared" si="8"/>
        <v>0</v>
      </c>
      <c r="BY10" s="821">
        <f t="shared" si="9"/>
        <v>0</v>
      </c>
      <c r="BZ10" s="821">
        <f t="shared" si="31"/>
        <v>0</v>
      </c>
      <c r="CA10" s="805">
        <f t="shared" si="32"/>
        <v>0</v>
      </c>
      <c r="CB10" s="805">
        <f t="shared" si="33"/>
        <v>0</v>
      </c>
      <c r="CC10" s="805">
        <f t="shared" si="34"/>
        <v>0</v>
      </c>
      <c r="CD10" s="713">
        <f>IFERROR(Feed!H147*Feed!J40,0)</f>
        <v>0</v>
      </c>
      <c r="CE10" s="553">
        <f>IFERROR(Feed!I147*Feed!S40,0)</f>
        <v>0</v>
      </c>
      <c r="CF10" s="553">
        <f>IFERROR(Feed!J147*Feed!AB40,0)</f>
        <v>0</v>
      </c>
      <c r="CG10" s="243">
        <f>VLOOKUP(INPUTS!$D$96,'Crop parameters'!$A$2:$Z$43,4,FALSE)*1000</f>
        <v>0</v>
      </c>
      <c r="CH10" s="475">
        <f>INPUTS!$E$111</f>
        <v>0.9</v>
      </c>
      <c r="CI10" s="243">
        <f>VLOOKUP(INPUTS!$D$96,'Crop parameters'!$A$2:$Z$43,8,FALSE)*1000</f>
        <v>0</v>
      </c>
      <c r="CJ10" s="475">
        <f>IF(INPUTS!$E$96="Residue",INPUTS!$F$111,0)</f>
        <v>0</v>
      </c>
      <c r="CK10" s="475">
        <f>IFERROR(IF(INPUTS!$E$96="Main",CD10/(CG10*CH10),CD10/(CI10*CJ10)),0)</f>
        <v>0</v>
      </c>
      <c r="CL10" s="475">
        <f>IFERROR(IF(INPUTS!$E$96="Main",CE10/(CG10*CH10),CE10/(CI10*CJ10)),0)</f>
        <v>0</v>
      </c>
      <c r="CM10" s="475">
        <f>IFERROR(IF(INPUTS!$E$96="Main",CF10/(CG10*CH10),CF10/(CI10*CJ10)),0)</f>
        <v>0</v>
      </c>
      <c r="CN10" s="805">
        <f t="shared" si="10"/>
        <v>0</v>
      </c>
      <c r="CO10" s="821">
        <f t="shared" si="11"/>
        <v>0</v>
      </c>
      <c r="CP10" s="821">
        <f t="shared" si="35"/>
        <v>0</v>
      </c>
      <c r="CQ10" s="805">
        <f t="shared" si="36"/>
        <v>0</v>
      </c>
      <c r="CR10" s="805">
        <f t="shared" si="37"/>
        <v>0</v>
      </c>
      <c r="CS10" s="805">
        <f t="shared" si="38"/>
        <v>0</v>
      </c>
      <c r="CT10" s="713">
        <f>IFERROR(Feed!H147*Feed!K40,0)</f>
        <v>0</v>
      </c>
      <c r="CU10" s="553">
        <f>IFERROR(Feed!I147*Feed!T40,0)</f>
        <v>0</v>
      </c>
      <c r="CV10" s="553">
        <f>IFERROR(Feed!J147*Feed!AC40,0)</f>
        <v>0</v>
      </c>
      <c r="CW10" s="243">
        <f>VLOOKUP(INPUTS!$D$97,'Crop parameters'!$A$2:$Z$43,4,FALSE)*1000</f>
        <v>0</v>
      </c>
      <c r="CX10" s="475">
        <f>INPUTS!$E$112</f>
        <v>0</v>
      </c>
      <c r="CY10" s="243">
        <f>VLOOKUP(INPUTS!$D$97,'Crop parameters'!$A$2:$Z$43,8,FALSE)*1000</f>
        <v>0</v>
      </c>
      <c r="CZ10" s="475">
        <f>IF(INPUTS!$E$97="Residue",INPUTS!$F$112,0)</f>
        <v>0</v>
      </c>
      <c r="DA10" s="475">
        <f>IFERROR(IF(INPUTS!$E$97="Main",CT10/(CW10*CX10),CT10/(CY10*CZ10)),0)</f>
        <v>0</v>
      </c>
      <c r="DB10" s="475">
        <f>IFERROR(IF(INPUTS!$E$97="Main",CU10/(CW10*CX10),CU10/(CY10*CZ10)),0)</f>
        <v>0</v>
      </c>
      <c r="DC10" s="475">
        <f>IFERROR(IF(INPUTS!$E$97="Main",CV10/(CW10*CX10),CV10/(CY10*CZ10)),0)</f>
        <v>0</v>
      </c>
      <c r="DD10" s="805">
        <f t="shared" si="12"/>
        <v>0</v>
      </c>
      <c r="DE10" s="821">
        <f t="shared" si="13"/>
        <v>0</v>
      </c>
      <c r="DF10" s="821">
        <f t="shared" si="39"/>
        <v>0</v>
      </c>
      <c r="DG10" s="805">
        <f t="shared" si="40"/>
        <v>0</v>
      </c>
      <c r="DH10" s="805">
        <f t="shared" si="41"/>
        <v>0</v>
      </c>
      <c r="DI10" s="475">
        <f t="shared" si="42"/>
        <v>0</v>
      </c>
      <c r="DJ10" s="715">
        <f t="shared" si="43"/>
        <v>0</v>
      </c>
      <c r="DK10" s="715">
        <f t="shared" si="14"/>
        <v>0</v>
      </c>
      <c r="DL10" s="715">
        <f t="shared" si="14"/>
        <v>0</v>
      </c>
    </row>
    <row r="11" spans="1:116">
      <c r="A11" s="543">
        <f>'Livestock parameters'!A7</f>
        <v>0</v>
      </c>
      <c r="B11" s="713">
        <f>IFERROR(Feed!H148*Feed!E47,0)</f>
        <v>0</v>
      </c>
      <c r="C11" s="553">
        <f>IFERROR(Feed!I148*Feed!N47,0)</f>
        <v>0</v>
      </c>
      <c r="D11" s="553">
        <f>IFERROR(Feed!J148*Feed!W47,0)</f>
        <v>0</v>
      </c>
      <c r="E11" s="243">
        <f>VLOOKUP(INPUTS!$D$91,'Crop parameters'!$A$2:$Z$43,4,FALSE)*1000</f>
        <v>0</v>
      </c>
      <c r="F11" s="475">
        <f>INPUTS!$E$106</f>
        <v>0</v>
      </c>
      <c r="G11" s="243">
        <f>VLOOKUP(INPUTS!$D$91,'Crop parameters'!$A$2:$Z$43,8,FALSE)*1000</f>
        <v>0</v>
      </c>
      <c r="H11" s="475">
        <f>IF(INPUTS!$E$91="Residue",INPUTS!$F$106,0)</f>
        <v>0</v>
      </c>
      <c r="I11" s="475">
        <f>IFERROR(IF(INPUTS!$E$91="Main",B11/(E11*F11),B11/(G11*H11)),0)</f>
        <v>0</v>
      </c>
      <c r="J11" s="475">
        <f>IFERROR(IF(INPUTS!$E$91="Main",C11/(E11*F11),C11/(G11*H11)),0)</f>
        <v>0</v>
      </c>
      <c r="K11" s="475">
        <f>IFERROR(IF(INPUTS!$E$91="Main",D11/(E11*F11),D11/(G11*H11)),0)</f>
        <v>0</v>
      </c>
      <c r="L11" s="805">
        <f t="shared" si="0"/>
        <v>0</v>
      </c>
      <c r="M11" s="821">
        <f t="shared" si="1"/>
        <v>0</v>
      </c>
      <c r="N11" s="821">
        <f t="shared" si="15"/>
        <v>0</v>
      </c>
      <c r="O11" s="805">
        <f t="shared" si="16"/>
        <v>0</v>
      </c>
      <c r="P11" s="805">
        <f t="shared" si="17"/>
        <v>0</v>
      </c>
      <c r="Q11" s="805">
        <f t="shared" si="18"/>
        <v>0</v>
      </c>
      <c r="R11" s="713">
        <f>IFERROR(Feed!H148*Feed!F47,0)</f>
        <v>0</v>
      </c>
      <c r="S11" s="553">
        <f>IFERROR(Feed!I148*Feed!O47,0)</f>
        <v>0</v>
      </c>
      <c r="T11" s="553">
        <f>IFERROR(Feed!Z148*Feed!X47,0)</f>
        <v>0</v>
      </c>
      <c r="U11" s="243">
        <f>VLOOKUP(INPUTS!$D$92,'Crop parameters'!$A$2:$Z$43,4,FALSE)*1000</f>
        <v>13049.999999999998</v>
      </c>
      <c r="V11" s="475">
        <f>INPUTS!$E$107</f>
        <v>0.9</v>
      </c>
      <c r="W11" s="243">
        <f>VLOOKUP(INPUTS!$D$92,'Crop parameters'!$A$2:$Z$43,8,FALSE)*1000</f>
        <v>4999.9999999999982</v>
      </c>
      <c r="X11" s="475">
        <f>IF(INPUTS!$E$92="Residue",INPUTS!$F$107,0)</f>
        <v>0</v>
      </c>
      <c r="Y11" s="475">
        <f>IFERROR(IF(INPUTS!$E$92="Main",R11/(U11*V11),R11/(W11*X11)),0)</f>
        <v>0</v>
      </c>
      <c r="Z11" s="475">
        <f>IFERROR(IF(INPUTS!$E$92="Main",S11/(U11*V11),S11/(W11*X11)),0)</f>
        <v>0</v>
      </c>
      <c r="AA11" s="475">
        <f>IFERROR(IF(INPUTS!$E$92="Main",T11/(U11*V11),T11/(W11*X11)),0)</f>
        <v>0</v>
      </c>
      <c r="AB11" s="805">
        <f t="shared" si="2"/>
        <v>0</v>
      </c>
      <c r="AC11" s="821">
        <f t="shared" si="3"/>
        <v>0</v>
      </c>
      <c r="AD11" s="821">
        <f t="shared" si="19"/>
        <v>0</v>
      </c>
      <c r="AE11" s="805">
        <f t="shared" si="20"/>
        <v>0</v>
      </c>
      <c r="AF11" s="805">
        <f t="shared" si="21"/>
        <v>0</v>
      </c>
      <c r="AG11" s="805">
        <f t="shared" si="22"/>
        <v>0</v>
      </c>
      <c r="AH11" s="713">
        <f>IFERROR(Feed!H148*Feed!G47,0)</f>
        <v>0</v>
      </c>
      <c r="AI11" s="553">
        <f>IFERROR(Feed!I148*Feed!P47,0)</f>
        <v>0</v>
      </c>
      <c r="AJ11" s="553">
        <f>IFERROR(Feed!J148*Feed!Y47,0)</f>
        <v>0</v>
      </c>
      <c r="AK11" s="243">
        <f>VLOOKUP(INPUTS!$D$93,'Crop parameters'!$A$2:$Z$43,4,FALSE)*1000</f>
        <v>1299</v>
      </c>
      <c r="AL11" s="475">
        <f>INPUTS!$E$108</f>
        <v>0.4</v>
      </c>
      <c r="AM11" s="243">
        <f>VLOOKUP(INPUTS!$D$93,'Crop parameters'!$A$2:$Z$43,8,FALSE)*1000</f>
        <v>3582.4421538461534</v>
      </c>
      <c r="AN11" s="475">
        <f>IF(INPUTS!$E$93="Residue",INPUTS!$F$108,0)</f>
        <v>0.6</v>
      </c>
      <c r="AO11" s="475">
        <f>IFERROR(IF(INPUTS!$E$93="Main",AH11/(AK11*AL11),AH11/(AM11*AN11)),0)</f>
        <v>0</v>
      </c>
      <c r="AP11" s="475">
        <f>IFERROR(IF(INPUTS!$E$93="Main",AI11/(AK11*AL11),AI11/(AM11*AN11)),0)</f>
        <v>0</v>
      </c>
      <c r="AQ11" s="475">
        <f>IFERROR(IF(INPUTS!$E$93="Main",AJ11/(AK11*AL11),AJ11/(AM11*AN11)),0)</f>
        <v>0</v>
      </c>
      <c r="AR11" s="805">
        <f t="shared" si="4"/>
        <v>0</v>
      </c>
      <c r="AS11" s="821">
        <f t="shared" si="5"/>
        <v>0</v>
      </c>
      <c r="AT11" s="821">
        <f t="shared" si="23"/>
        <v>0</v>
      </c>
      <c r="AU11" s="805">
        <f t="shared" si="24"/>
        <v>0</v>
      </c>
      <c r="AV11" s="805">
        <f t="shared" si="25"/>
        <v>0</v>
      </c>
      <c r="AW11" s="805">
        <f t="shared" si="26"/>
        <v>0</v>
      </c>
      <c r="AX11" s="807">
        <f>IFERROR(Feed!H148*Feed!H47,0)</f>
        <v>0</v>
      </c>
      <c r="AY11" s="553">
        <f>IFERROR(Feed!I148*Feed!Q47,0)</f>
        <v>0</v>
      </c>
      <c r="AZ11" s="553">
        <f>IFERROR(Feed!J148*Feed!Z47,0)</f>
        <v>0</v>
      </c>
      <c r="BA11" s="243">
        <f>VLOOKUP(INPUTS!$D$94,'Crop parameters'!$A$2:$Z$43,4,FALSE)*1000</f>
        <v>0</v>
      </c>
      <c r="BB11" s="475">
        <f>INPUTS!$E$109</f>
        <v>0.9</v>
      </c>
      <c r="BC11" s="243">
        <f>VLOOKUP(INPUTS!$D$94,'Crop parameters'!$A$2:$Z$43,8,FALSE)*1000</f>
        <v>0</v>
      </c>
      <c r="BD11" s="475">
        <f>IF(INPUTS!$E$94="Residue",INPUTS!$F$109,0)</f>
        <v>0</v>
      </c>
      <c r="BE11" s="475">
        <f>IFERROR(IF(INPUTS!$E$94="Main",AX11/(BA11*BB11),AX11/(BC11*BD11)),0)</f>
        <v>0</v>
      </c>
      <c r="BF11" s="475">
        <f>IFERROR(IF(INPUTS!$E$94="Main",AY11/(BA11*BB11),AY11/(BC11*BD11)),0)</f>
        <v>0</v>
      </c>
      <c r="BG11" s="475">
        <f>IFERROR(IF(INPUTS!$E$94="Main",AZ11/(BA11*BB11),AZ11/(BC11*BD11)),0)</f>
        <v>0</v>
      </c>
      <c r="BH11" s="805">
        <f t="shared" si="6"/>
        <v>0</v>
      </c>
      <c r="BI11" s="821">
        <f t="shared" si="7"/>
        <v>0</v>
      </c>
      <c r="BJ11" s="821">
        <f t="shared" si="27"/>
        <v>0</v>
      </c>
      <c r="BK11" s="805">
        <f t="shared" si="28"/>
        <v>0</v>
      </c>
      <c r="BL11" s="805">
        <f t="shared" si="29"/>
        <v>0</v>
      </c>
      <c r="BM11" s="805">
        <f t="shared" si="30"/>
        <v>0</v>
      </c>
      <c r="BN11" s="713">
        <f>IFERROR(Feed!H148*Feed!I47,0)</f>
        <v>0</v>
      </c>
      <c r="BO11" s="553">
        <f>IFERROR(Feed!I148*Feed!R47,0)</f>
        <v>0</v>
      </c>
      <c r="BP11" s="553">
        <f>IFERROR(Feed!J148*Feed!AA47,0)</f>
        <v>0</v>
      </c>
      <c r="BQ11" s="243">
        <f>VLOOKUP(INPUTS!$D$95,'Crop parameters'!$A$2:$Z$43,4,FALSE)*1000</f>
        <v>0</v>
      </c>
      <c r="BR11" s="475">
        <f>INPUTS!$E$110</f>
        <v>0.9</v>
      </c>
      <c r="BS11" s="243">
        <f>VLOOKUP(INPUTS!$D$95,'Crop parameters'!$A$2:$Z$43,8,FALSE)*1000</f>
        <v>0</v>
      </c>
      <c r="BT11" s="475">
        <f>IF(INPUTS!$E$95="Residue",INPUTS!$F$110,0)</f>
        <v>0</v>
      </c>
      <c r="BU11" s="475">
        <f>IFERROR(IF(INPUTS!$E$95="Main",BN11/(BQ11*BR11),BN11/(BS11*BT11)),0)</f>
        <v>0</v>
      </c>
      <c r="BV11" s="475">
        <f>IFERROR(IF(INPUTS!$E$95="Main",BO11/(BQ11*BR11),BO11/(BS11*BT11)),0)</f>
        <v>0</v>
      </c>
      <c r="BW11" s="475">
        <f>IFERROR(IF(INPUTS!$E$95="Main",BP11/(BQ11*BR11),BP11/(BS11*BT11)),0)</f>
        <v>0</v>
      </c>
      <c r="BX11" s="805">
        <f t="shared" si="8"/>
        <v>0</v>
      </c>
      <c r="BY11" s="821">
        <f t="shared" si="9"/>
        <v>0</v>
      </c>
      <c r="BZ11" s="821">
        <f t="shared" si="31"/>
        <v>0</v>
      </c>
      <c r="CA11" s="805">
        <f t="shared" si="32"/>
        <v>0</v>
      </c>
      <c r="CB11" s="805">
        <f t="shared" si="33"/>
        <v>0</v>
      </c>
      <c r="CC11" s="805">
        <f t="shared" si="34"/>
        <v>0</v>
      </c>
      <c r="CD11" s="713">
        <f>IFERROR(Feed!H148*Feed!J47,0)</f>
        <v>0</v>
      </c>
      <c r="CE11" s="553">
        <f>IFERROR(Feed!I148*Feed!S47,0)</f>
        <v>0</v>
      </c>
      <c r="CF11" s="553">
        <f>IFERROR(Feed!J148*Feed!AB47,0)</f>
        <v>0</v>
      </c>
      <c r="CG11" s="243">
        <f>VLOOKUP(INPUTS!$D$96,'Crop parameters'!$A$2:$Z$43,4,FALSE)*1000</f>
        <v>0</v>
      </c>
      <c r="CH11" s="475">
        <f>INPUTS!$E$111</f>
        <v>0.9</v>
      </c>
      <c r="CI11" s="243">
        <f>VLOOKUP(INPUTS!$D$96,'Crop parameters'!$A$2:$Z$43,8,FALSE)*1000</f>
        <v>0</v>
      </c>
      <c r="CJ11" s="475">
        <f>IF(INPUTS!$E$96="Residue",INPUTS!$F$111,0)</f>
        <v>0</v>
      </c>
      <c r="CK11" s="475">
        <f>IFERROR(IF(INPUTS!$E$96="Main",CD11/(CG11*CH11),CD11/(CI11*CJ11)),0)</f>
        <v>0</v>
      </c>
      <c r="CL11" s="475">
        <f>IFERROR(IF(INPUTS!$E$96="Main",CE11/(CG11*CH11),CE11/(CI11*CJ11)),0)</f>
        <v>0</v>
      </c>
      <c r="CM11" s="475">
        <f>IFERROR(IF(INPUTS!$E$96="Main",CF11/(CG11*CH11),CF11/(CI11*CJ11)),0)</f>
        <v>0</v>
      </c>
      <c r="CN11" s="805">
        <f t="shared" si="10"/>
        <v>0</v>
      </c>
      <c r="CO11" s="821">
        <f t="shared" si="11"/>
        <v>0</v>
      </c>
      <c r="CP11" s="821">
        <f t="shared" si="35"/>
        <v>0</v>
      </c>
      <c r="CQ11" s="805">
        <f t="shared" si="36"/>
        <v>0</v>
      </c>
      <c r="CR11" s="805">
        <f t="shared" si="37"/>
        <v>0</v>
      </c>
      <c r="CS11" s="805">
        <f t="shared" si="38"/>
        <v>0</v>
      </c>
      <c r="CT11" s="713">
        <f>IFERROR(Feed!H148*Feed!K47,0)</f>
        <v>0</v>
      </c>
      <c r="CU11" s="553">
        <f>IFERROR(Feed!I148*Feed!T47,0)</f>
        <v>0</v>
      </c>
      <c r="CV11" s="553">
        <f>IFERROR(Feed!J148*Feed!AC47,0)</f>
        <v>0</v>
      </c>
      <c r="CW11" s="243">
        <f>VLOOKUP(INPUTS!$D$97,'Crop parameters'!$A$2:$Z$43,4,FALSE)*1000</f>
        <v>0</v>
      </c>
      <c r="CX11" s="475">
        <f>INPUTS!$E$112</f>
        <v>0</v>
      </c>
      <c r="CY11" s="243">
        <f>VLOOKUP(INPUTS!$D$97,'Crop parameters'!$A$2:$Z$43,8,FALSE)*1000</f>
        <v>0</v>
      </c>
      <c r="CZ11" s="475">
        <f>IF(INPUTS!$E$97="Residue",INPUTS!$F$112,0)</f>
        <v>0</v>
      </c>
      <c r="DA11" s="475">
        <f>IFERROR(IF(INPUTS!$E$97="Main",CT11/(CW11*CX11),CT11/(CY11*CZ11)),0)</f>
        <v>0</v>
      </c>
      <c r="DB11" s="475">
        <f>IFERROR(IF(INPUTS!$E$97="Main",CU11/(CW11*CX11),CU11/(CY11*CZ11)),0)</f>
        <v>0</v>
      </c>
      <c r="DC11" s="475">
        <f>IFERROR(IF(INPUTS!$E$97="Main",CV11/(CW11*CX11),CV11/(CY11*CZ11)),0)</f>
        <v>0</v>
      </c>
      <c r="DD11" s="805">
        <f t="shared" si="12"/>
        <v>0</v>
      </c>
      <c r="DE11" s="821">
        <f t="shared" si="13"/>
        <v>0</v>
      </c>
      <c r="DF11" s="821">
        <f t="shared" si="39"/>
        <v>0</v>
      </c>
      <c r="DG11" s="805">
        <f t="shared" si="40"/>
        <v>0</v>
      </c>
      <c r="DH11" s="805">
        <f t="shared" si="41"/>
        <v>0</v>
      </c>
      <c r="DI11" s="475">
        <f t="shared" si="42"/>
        <v>0</v>
      </c>
      <c r="DJ11" s="715">
        <f t="shared" si="43"/>
        <v>0</v>
      </c>
      <c r="DK11" s="715">
        <f t="shared" si="14"/>
        <v>0</v>
      </c>
      <c r="DL11" s="715">
        <f t="shared" si="14"/>
        <v>0</v>
      </c>
    </row>
    <row r="12" spans="1:116">
      <c r="A12" s="543">
        <f>'Livestock parameters'!A8</f>
        <v>0</v>
      </c>
      <c r="B12" s="713">
        <f>IFERROR(Feed!H149*Feed!E54,0)</f>
        <v>0</v>
      </c>
      <c r="C12" s="553">
        <f>IFERROR(Feed!I149*Feed!N54,0)</f>
        <v>0</v>
      </c>
      <c r="D12" s="553">
        <f>IFERROR(Feed!J149*Feed!W54,0)</f>
        <v>0</v>
      </c>
      <c r="E12" s="243">
        <f>VLOOKUP(INPUTS!$D$91,'Crop parameters'!$A$2:$Z$43,4,FALSE)*1000</f>
        <v>0</v>
      </c>
      <c r="F12" s="475">
        <f>INPUTS!$E$106</f>
        <v>0</v>
      </c>
      <c r="G12" s="243">
        <f>VLOOKUP(INPUTS!$D$91,'Crop parameters'!$A$2:$Z$43,8,FALSE)*1000</f>
        <v>0</v>
      </c>
      <c r="H12" s="475">
        <f>IF(INPUTS!$E$91="Residue",INPUTS!$F$106,0)</f>
        <v>0</v>
      </c>
      <c r="I12" s="475">
        <f>IFERROR(IF(INPUTS!$E$91="Main",B12/(E12*F12),B12/(G12*H12)),0)</f>
        <v>0</v>
      </c>
      <c r="J12" s="475">
        <f>IFERROR(IF(INPUTS!$E$91="Main",C12/(E12*F12),C12/(G12*H12)),0)</f>
        <v>0</v>
      </c>
      <c r="K12" s="475">
        <f>IFERROR(IF(INPUTS!$E$91="Main",D12/(E12*F12),D12/(G12*H12)),0)</f>
        <v>0</v>
      </c>
      <c r="L12" s="805">
        <f t="shared" si="0"/>
        <v>0</v>
      </c>
      <c r="M12" s="821">
        <f t="shared" si="1"/>
        <v>0</v>
      </c>
      <c r="N12" s="821">
        <f t="shared" si="15"/>
        <v>0</v>
      </c>
      <c r="O12" s="805">
        <f t="shared" si="16"/>
        <v>0</v>
      </c>
      <c r="P12" s="805">
        <f t="shared" si="17"/>
        <v>0</v>
      </c>
      <c r="Q12" s="805">
        <f t="shared" si="18"/>
        <v>0</v>
      </c>
      <c r="R12" s="713">
        <f>IFERROR(Feed!H149*Feed!F54,0)</f>
        <v>0</v>
      </c>
      <c r="S12" s="553">
        <f>IFERROR(Feed!I149*Feed!O54,0)</f>
        <v>0</v>
      </c>
      <c r="T12" s="553">
        <f>IFERROR(Feed!Z149*Feed!X54,0)</f>
        <v>0</v>
      </c>
      <c r="U12" s="243">
        <f>VLOOKUP(INPUTS!$D$92,'Crop parameters'!$A$2:$Z$43,4,FALSE)*1000</f>
        <v>13049.999999999998</v>
      </c>
      <c r="V12" s="475">
        <f>INPUTS!$E$107</f>
        <v>0.9</v>
      </c>
      <c r="W12" s="243">
        <f>VLOOKUP(INPUTS!$D$92,'Crop parameters'!$A$2:$Z$43,8,FALSE)*1000</f>
        <v>4999.9999999999982</v>
      </c>
      <c r="X12" s="475">
        <f>IF(INPUTS!$E$92="Residue",INPUTS!$F$107,0)</f>
        <v>0</v>
      </c>
      <c r="Y12" s="475">
        <f>IFERROR(IF(INPUTS!$E$92="Main",R12/(U12*V12),R12/(W12*X12)),0)</f>
        <v>0</v>
      </c>
      <c r="Z12" s="475">
        <f>IFERROR(IF(INPUTS!$E$92="Main",S12/(U12*V12),S12/(W12*X12)),0)</f>
        <v>0</v>
      </c>
      <c r="AA12" s="475">
        <f>IFERROR(IF(INPUTS!$E$92="Main",T12/(U12*V12),T12/(W12*X12)),0)</f>
        <v>0</v>
      </c>
      <c r="AB12" s="805">
        <f t="shared" si="2"/>
        <v>0</v>
      </c>
      <c r="AC12" s="821">
        <f t="shared" si="3"/>
        <v>0</v>
      </c>
      <c r="AD12" s="821">
        <f t="shared" si="19"/>
        <v>0</v>
      </c>
      <c r="AE12" s="805">
        <f t="shared" si="20"/>
        <v>0</v>
      </c>
      <c r="AF12" s="805">
        <f t="shared" si="21"/>
        <v>0</v>
      </c>
      <c r="AG12" s="805">
        <f t="shared" si="22"/>
        <v>0</v>
      </c>
      <c r="AH12" s="713">
        <f>IFERROR(Feed!H149*Feed!G54,0)</f>
        <v>0</v>
      </c>
      <c r="AI12" s="553">
        <f>IFERROR(Feed!I149*Feed!P54,0)</f>
        <v>0</v>
      </c>
      <c r="AJ12" s="553">
        <f>IFERROR(Feed!J149*Feed!Y54,0)</f>
        <v>0</v>
      </c>
      <c r="AK12" s="243">
        <f>VLOOKUP(INPUTS!$D$93,'Crop parameters'!$A$2:$Z$43,4,FALSE)*1000</f>
        <v>1299</v>
      </c>
      <c r="AL12" s="475">
        <f>INPUTS!$E$108</f>
        <v>0.4</v>
      </c>
      <c r="AM12" s="243">
        <f>VLOOKUP(INPUTS!$D$93,'Crop parameters'!$A$2:$Z$43,8,FALSE)*1000</f>
        <v>3582.4421538461534</v>
      </c>
      <c r="AN12" s="475">
        <f>IF(INPUTS!$E$93="Residue",INPUTS!$F$108,0)</f>
        <v>0.6</v>
      </c>
      <c r="AO12" s="475">
        <f>IFERROR(IF(INPUTS!$E$93="Main",AH12/(AK12*AL12),AH12/(AM12*AN12)),0)</f>
        <v>0</v>
      </c>
      <c r="AP12" s="475">
        <f>IFERROR(IF(INPUTS!$E$93="Main",AI12/(AK12*AL12),AI12/(AM12*AN12)),0)</f>
        <v>0</v>
      </c>
      <c r="AQ12" s="475">
        <f>IFERROR(IF(INPUTS!$E$93="Main",AJ12/(AK12*AL12),AJ12/(AM12*AN12)),0)</f>
        <v>0</v>
      </c>
      <c r="AR12" s="805">
        <f t="shared" si="4"/>
        <v>0</v>
      </c>
      <c r="AS12" s="821">
        <f t="shared" si="5"/>
        <v>0</v>
      </c>
      <c r="AT12" s="821">
        <f t="shared" si="23"/>
        <v>0</v>
      </c>
      <c r="AU12" s="805">
        <f t="shared" si="24"/>
        <v>0</v>
      </c>
      <c r="AV12" s="805">
        <f t="shared" si="25"/>
        <v>0</v>
      </c>
      <c r="AW12" s="805">
        <f t="shared" si="26"/>
        <v>0</v>
      </c>
      <c r="AX12" s="807">
        <f>IFERROR(Feed!H149*Feed!H54,0)</f>
        <v>0</v>
      </c>
      <c r="AY12" s="553">
        <f>IFERROR(Feed!I149*Feed!Q54,0)</f>
        <v>0</v>
      </c>
      <c r="AZ12" s="553">
        <f>IFERROR(Feed!J149*Feed!Z54,0)</f>
        <v>0</v>
      </c>
      <c r="BA12" s="243">
        <f>VLOOKUP(INPUTS!$D$94,'Crop parameters'!$A$2:$Z$43,4,FALSE)*1000</f>
        <v>0</v>
      </c>
      <c r="BB12" s="475">
        <f>INPUTS!$E$109</f>
        <v>0.9</v>
      </c>
      <c r="BC12" s="243">
        <f>VLOOKUP(INPUTS!$D$94,'Crop parameters'!$A$2:$Z$43,8,FALSE)*1000</f>
        <v>0</v>
      </c>
      <c r="BD12" s="475">
        <f>IF(INPUTS!$E$94="Residue",INPUTS!$F$109,0)</f>
        <v>0</v>
      </c>
      <c r="BE12" s="475">
        <f>IFERROR(IF(INPUTS!$E$94="Main",AX12/(BA12*BB12),AX12/(BC12*BD12)),0)</f>
        <v>0</v>
      </c>
      <c r="BF12" s="475">
        <f>IFERROR(IF(INPUTS!$E$94="Main",AY12/(BA12*BB12),AY12/(BC12*BD12)),0)</f>
        <v>0</v>
      </c>
      <c r="BG12" s="475">
        <f>IFERROR(IF(INPUTS!$E$94="Main",AZ12/(BA12*BB12),AZ12/(BC12*BD12)),0)</f>
        <v>0</v>
      </c>
      <c r="BH12" s="805">
        <f t="shared" si="6"/>
        <v>0</v>
      </c>
      <c r="BI12" s="821">
        <f t="shared" si="7"/>
        <v>0</v>
      </c>
      <c r="BJ12" s="821">
        <f t="shared" si="27"/>
        <v>0</v>
      </c>
      <c r="BK12" s="805">
        <f t="shared" si="28"/>
        <v>0</v>
      </c>
      <c r="BL12" s="805">
        <f t="shared" si="29"/>
        <v>0</v>
      </c>
      <c r="BM12" s="805">
        <f t="shared" si="30"/>
        <v>0</v>
      </c>
      <c r="BN12" s="713">
        <f>IFERROR(Feed!H149*Feed!I54,0)</f>
        <v>0</v>
      </c>
      <c r="BO12" s="553">
        <f>IFERROR(Feed!I149*Feed!R54,0)</f>
        <v>0</v>
      </c>
      <c r="BP12" s="553">
        <f>IFERROR(Feed!J149*Feed!AA54,0)</f>
        <v>0</v>
      </c>
      <c r="BQ12" s="243">
        <f>VLOOKUP(INPUTS!$D$95,'Crop parameters'!$A$2:$Z$43,4,FALSE)*1000</f>
        <v>0</v>
      </c>
      <c r="BR12" s="475">
        <f>INPUTS!$E$110</f>
        <v>0.9</v>
      </c>
      <c r="BS12" s="243">
        <f>VLOOKUP(INPUTS!$D$95,'Crop parameters'!$A$2:$Z$43,8,FALSE)*1000</f>
        <v>0</v>
      </c>
      <c r="BT12" s="475">
        <f>IF(INPUTS!$E$95="Residue",INPUTS!$F$110,0)</f>
        <v>0</v>
      </c>
      <c r="BU12" s="475">
        <f>IFERROR(IF(INPUTS!$E$95="Main",BN12/(BQ12*BR12),BN12/(BS12*BT12)),0)</f>
        <v>0</v>
      </c>
      <c r="BV12" s="475">
        <f>IFERROR(IF(INPUTS!$E$95="Main",BO12/(BQ12*BR12),BO12/(BS12*BT12)),0)</f>
        <v>0</v>
      </c>
      <c r="BW12" s="475">
        <f>IFERROR(IF(INPUTS!$E$95="Main",BP12/(BQ12*BR12),BP12/(BS12*BT12)),0)</f>
        <v>0</v>
      </c>
      <c r="BX12" s="805">
        <f t="shared" si="8"/>
        <v>0</v>
      </c>
      <c r="BY12" s="821">
        <f t="shared" si="9"/>
        <v>0</v>
      </c>
      <c r="BZ12" s="821">
        <f t="shared" si="31"/>
        <v>0</v>
      </c>
      <c r="CA12" s="805">
        <f t="shared" si="32"/>
        <v>0</v>
      </c>
      <c r="CB12" s="805">
        <f t="shared" si="33"/>
        <v>0</v>
      </c>
      <c r="CC12" s="805">
        <f t="shared" si="34"/>
        <v>0</v>
      </c>
      <c r="CD12" s="713">
        <f>IFERROR(Feed!H149*Feed!J54,0)</f>
        <v>0</v>
      </c>
      <c r="CE12" s="553">
        <f>IFERROR(Feed!I149*Feed!S54,0)</f>
        <v>0</v>
      </c>
      <c r="CF12" s="553">
        <f>IFERROR(Feed!J149*Feed!AB54,0)</f>
        <v>0</v>
      </c>
      <c r="CG12" s="243">
        <f>VLOOKUP(INPUTS!$D$96,'Crop parameters'!$A$2:$Z$43,4,FALSE)*1000</f>
        <v>0</v>
      </c>
      <c r="CH12" s="475">
        <f>INPUTS!$E$111</f>
        <v>0.9</v>
      </c>
      <c r="CI12" s="243">
        <f>VLOOKUP(INPUTS!$D$96,'Crop parameters'!$A$2:$Z$43,8,FALSE)*1000</f>
        <v>0</v>
      </c>
      <c r="CJ12" s="475">
        <f>IF(INPUTS!$E$96="Residue",INPUTS!$F$111,0)</f>
        <v>0</v>
      </c>
      <c r="CK12" s="475">
        <f>IFERROR(IF(INPUTS!$E$96="Main",CD12/(CG12*CH12),CD12/(CI12*CJ12)),0)</f>
        <v>0</v>
      </c>
      <c r="CL12" s="475">
        <f>IFERROR(IF(INPUTS!$E$96="Main",CE12/(CG12*CH12),CE12/(CI12*CJ12)),0)</f>
        <v>0</v>
      </c>
      <c r="CM12" s="475">
        <f>IFERROR(IF(INPUTS!$E$96="Main",CF12/(CG12*CH12),CF12/(CI12*CJ12)),0)</f>
        <v>0</v>
      </c>
      <c r="CN12" s="805">
        <f t="shared" si="10"/>
        <v>0</v>
      </c>
      <c r="CO12" s="821">
        <f t="shared" si="11"/>
        <v>0</v>
      </c>
      <c r="CP12" s="821">
        <f t="shared" si="35"/>
        <v>0</v>
      </c>
      <c r="CQ12" s="805">
        <f t="shared" si="36"/>
        <v>0</v>
      </c>
      <c r="CR12" s="805">
        <f t="shared" si="37"/>
        <v>0</v>
      </c>
      <c r="CS12" s="805">
        <f t="shared" si="38"/>
        <v>0</v>
      </c>
      <c r="CT12" s="713">
        <f>IFERROR(Feed!H149*Feed!K54,0)</f>
        <v>0</v>
      </c>
      <c r="CU12" s="553">
        <f>IFERROR(Feed!I149*Feed!T54,0)</f>
        <v>0</v>
      </c>
      <c r="CV12" s="553">
        <f>IFERROR(Feed!J149*Feed!AC54,0)</f>
        <v>0</v>
      </c>
      <c r="CW12" s="243">
        <f>VLOOKUP(INPUTS!$D$97,'Crop parameters'!$A$2:$Z$43,4,FALSE)*1000</f>
        <v>0</v>
      </c>
      <c r="CX12" s="475">
        <f>INPUTS!$E$112</f>
        <v>0</v>
      </c>
      <c r="CY12" s="243">
        <f>VLOOKUP(INPUTS!$D$97,'Crop parameters'!$A$2:$Z$43,8,FALSE)*1000</f>
        <v>0</v>
      </c>
      <c r="CZ12" s="475">
        <f>IF(INPUTS!$E$97="Residue",INPUTS!$F$112,0)</f>
        <v>0</v>
      </c>
      <c r="DA12" s="475">
        <f>IFERROR(IF(INPUTS!$E$97="Main",CT12/(CW12*CX12),CT12/(CY12*CZ12)),0)</f>
        <v>0</v>
      </c>
      <c r="DB12" s="475">
        <f>IFERROR(IF(INPUTS!$E$97="Main",CU12/(CW12*CX12),CU12/(CY12*CZ12)),0)</f>
        <v>0</v>
      </c>
      <c r="DC12" s="475">
        <f>IFERROR(IF(INPUTS!$E$97="Main",CV12/(CW12*CX12),CV12/(CY12*CZ12)),0)</f>
        <v>0</v>
      </c>
      <c r="DD12" s="805">
        <f t="shared" si="12"/>
        <v>0</v>
      </c>
      <c r="DE12" s="821">
        <f t="shared" si="13"/>
        <v>0</v>
      </c>
      <c r="DF12" s="821">
        <f t="shared" si="39"/>
        <v>0</v>
      </c>
      <c r="DG12" s="805">
        <f t="shared" si="40"/>
        <v>0</v>
      </c>
      <c r="DH12" s="805">
        <f t="shared" si="41"/>
        <v>0</v>
      </c>
      <c r="DI12" s="475">
        <f t="shared" si="42"/>
        <v>0</v>
      </c>
      <c r="DJ12" s="715">
        <f t="shared" si="43"/>
        <v>0</v>
      </c>
      <c r="DK12" s="715">
        <f t="shared" si="14"/>
        <v>0</v>
      </c>
      <c r="DL12" s="715">
        <f t="shared" si="14"/>
        <v>0</v>
      </c>
    </row>
    <row r="13" spans="1:116">
      <c r="A13" s="543">
        <f>'Livestock parameters'!A9</f>
        <v>0</v>
      </c>
      <c r="B13" s="713">
        <f>IFERROR(Feed!H150*Feed!E61,0)</f>
        <v>0</v>
      </c>
      <c r="C13" s="553">
        <f>IFERROR(Feed!I150*Feed!N61,0)</f>
        <v>0</v>
      </c>
      <c r="D13" s="553">
        <f>IFERROR(Feed!J150*Feed!W61,0)</f>
        <v>0</v>
      </c>
      <c r="E13" s="243">
        <f>VLOOKUP(INPUTS!$D$91,'Crop parameters'!$A$2:$Z$43,4,FALSE)*1000</f>
        <v>0</v>
      </c>
      <c r="F13" s="475">
        <f>INPUTS!$E$106</f>
        <v>0</v>
      </c>
      <c r="G13" s="243">
        <f>VLOOKUP(INPUTS!$D$91,'Crop parameters'!$A$2:$Z$43,8,FALSE)*1000</f>
        <v>0</v>
      </c>
      <c r="H13" s="475">
        <f>IF(INPUTS!$E$91="Residue",INPUTS!$F$106,0)</f>
        <v>0</v>
      </c>
      <c r="I13" s="475">
        <f>IFERROR(IF(INPUTS!$E$91="Main",B13/(E13*F13),B13/(G13*H13)),0)</f>
        <v>0</v>
      </c>
      <c r="J13" s="475">
        <f>IFERROR(IF(INPUTS!$E$91="Main",C13/(E13*F13),C13/(G13*H13)),0)</f>
        <v>0</v>
      </c>
      <c r="K13" s="475">
        <f>IFERROR(IF(INPUTS!$E$91="Main",D13/(E13*F13),D13/(G13*H13)),0)</f>
        <v>0</v>
      </c>
      <c r="L13" s="805">
        <f t="shared" si="0"/>
        <v>0</v>
      </c>
      <c r="M13" s="821">
        <f t="shared" si="1"/>
        <v>0</v>
      </c>
      <c r="N13" s="821">
        <f t="shared" si="15"/>
        <v>0</v>
      </c>
      <c r="O13" s="805">
        <f t="shared" si="16"/>
        <v>0</v>
      </c>
      <c r="P13" s="805">
        <f t="shared" si="17"/>
        <v>0</v>
      </c>
      <c r="Q13" s="805">
        <f t="shared" si="18"/>
        <v>0</v>
      </c>
      <c r="R13" s="713">
        <f>IFERROR(Feed!H150*Feed!F61,0)</f>
        <v>0</v>
      </c>
      <c r="S13" s="553">
        <f>IFERROR(Feed!I150*Feed!O61,0)</f>
        <v>0</v>
      </c>
      <c r="T13" s="553">
        <f>IFERROR(Feed!Z150*Feed!X61,0)</f>
        <v>0</v>
      </c>
      <c r="U13" s="243">
        <f>VLOOKUP(INPUTS!$D$92,'Crop parameters'!$A$2:$Z$43,4,FALSE)*1000</f>
        <v>13049.999999999998</v>
      </c>
      <c r="V13" s="475">
        <f>INPUTS!$E$107</f>
        <v>0.9</v>
      </c>
      <c r="W13" s="243">
        <f>VLOOKUP(INPUTS!$D$92,'Crop parameters'!$A$2:$Z$43,8,FALSE)*1000</f>
        <v>4999.9999999999982</v>
      </c>
      <c r="X13" s="475">
        <f>IF(INPUTS!$E$92="Residue",INPUTS!$F$107,0)</f>
        <v>0</v>
      </c>
      <c r="Y13" s="475">
        <f>IFERROR(IF(INPUTS!$E$92="Main",R13/(U13*V13),R13/(W13*X13)),0)</f>
        <v>0</v>
      </c>
      <c r="Z13" s="475">
        <f>IFERROR(IF(INPUTS!$E$92="Main",S13/(U13*V13),S13/(W13*X13)),0)</f>
        <v>0</v>
      </c>
      <c r="AA13" s="475">
        <f>IFERROR(IF(INPUTS!$E$92="Main",T13/(U13*V13),T13/(W13*X13)),0)</f>
        <v>0</v>
      </c>
      <c r="AB13" s="805">
        <f t="shared" si="2"/>
        <v>0</v>
      </c>
      <c r="AC13" s="821">
        <f t="shared" si="3"/>
        <v>0</v>
      </c>
      <c r="AD13" s="821">
        <f t="shared" si="19"/>
        <v>0</v>
      </c>
      <c r="AE13" s="805">
        <f t="shared" si="20"/>
        <v>0</v>
      </c>
      <c r="AF13" s="805">
        <f t="shared" si="21"/>
        <v>0</v>
      </c>
      <c r="AG13" s="805">
        <f t="shared" si="22"/>
        <v>0</v>
      </c>
      <c r="AH13" s="713">
        <f>IFERROR(Feed!H150*Feed!G61,0)</f>
        <v>0</v>
      </c>
      <c r="AI13" s="553">
        <f>IFERROR(Feed!I150*Feed!P61,0)</f>
        <v>0</v>
      </c>
      <c r="AJ13" s="553">
        <f>IFERROR(Feed!J150*Feed!Y61,0)</f>
        <v>0</v>
      </c>
      <c r="AK13" s="243">
        <f>VLOOKUP(INPUTS!$D$93,'Crop parameters'!$A$2:$Z$43,4,FALSE)*1000</f>
        <v>1299</v>
      </c>
      <c r="AL13" s="475">
        <f>INPUTS!$E$108</f>
        <v>0.4</v>
      </c>
      <c r="AM13" s="243">
        <f>VLOOKUP(INPUTS!$D$93,'Crop parameters'!$A$2:$Z$43,8,FALSE)*1000</f>
        <v>3582.4421538461534</v>
      </c>
      <c r="AN13" s="475">
        <f>IF(INPUTS!$E$93="Residue",INPUTS!$F$108,0)</f>
        <v>0.6</v>
      </c>
      <c r="AO13" s="475">
        <f>IFERROR(IF(INPUTS!$E$93="Main",AH13/(AK13*AL13),AH13/(AM13*AN13)),0)</f>
        <v>0</v>
      </c>
      <c r="AP13" s="475">
        <f>IFERROR(IF(INPUTS!$E$93="Main",AI13/(AK13*AL13),AI13/(AM13*AN13)),0)</f>
        <v>0</v>
      </c>
      <c r="AQ13" s="475">
        <f>IFERROR(IF(INPUTS!$E$93="Main",AJ13/(AK13*AL13),AJ13/(AM13*AN13)),0)</f>
        <v>0</v>
      </c>
      <c r="AR13" s="805">
        <f t="shared" si="4"/>
        <v>0</v>
      </c>
      <c r="AS13" s="821">
        <f t="shared" si="5"/>
        <v>0</v>
      </c>
      <c r="AT13" s="821">
        <f t="shared" si="23"/>
        <v>0</v>
      </c>
      <c r="AU13" s="805">
        <f t="shared" si="24"/>
        <v>0</v>
      </c>
      <c r="AV13" s="805">
        <f t="shared" si="25"/>
        <v>0</v>
      </c>
      <c r="AW13" s="805">
        <f t="shared" si="26"/>
        <v>0</v>
      </c>
      <c r="AX13" s="807">
        <f>IFERROR(Feed!H150*Feed!H61,0)</f>
        <v>0</v>
      </c>
      <c r="AY13" s="553">
        <f>IFERROR(Feed!I150*Feed!Q61,0)</f>
        <v>0</v>
      </c>
      <c r="AZ13" s="553">
        <f>IFERROR(Feed!J150*Feed!Z61,0)</f>
        <v>0</v>
      </c>
      <c r="BA13" s="243">
        <f>VLOOKUP(INPUTS!$D$94,'Crop parameters'!$A$2:$Z$43,4,FALSE)*1000</f>
        <v>0</v>
      </c>
      <c r="BB13" s="475">
        <f>INPUTS!$E$109</f>
        <v>0.9</v>
      </c>
      <c r="BC13" s="243">
        <f>VLOOKUP(INPUTS!$D$94,'Crop parameters'!$A$2:$Z$43,8,FALSE)*1000</f>
        <v>0</v>
      </c>
      <c r="BD13" s="475">
        <f>IF(INPUTS!$E$94="Residue",INPUTS!$F$109,0)</f>
        <v>0</v>
      </c>
      <c r="BE13" s="475">
        <f>IFERROR(IF(INPUTS!$E$94="Main",AX13/(BA13*BB13),AX13/(BC13*BD13)),0)</f>
        <v>0</v>
      </c>
      <c r="BF13" s="475">
        <f>IFERROR(IF(INPUTS!$E$94="Main",AY13/(BA13*BB13),AY13/(BC13*BD13)),0)</f>
        <v>0</v>
      </c>
      <c r="BG13" s="475">
        <f>IFERROR(IF(INPUTS!$E$94="Main",AZ13/(BA13*BB13),AZ13/(BC13*BD13)),0)</f>
        <v>0</v>
      </c>
      <c r="BH13" s="805">
        <f t="shared" si="6"/>
        <v>0</v>
      </c>
      <c r="BI13" s="821">
        <f t="shared" si="7"/>
        <v>0</v>
      </c>
      <c r="BJ13" s="821">
        <f t="shared" si="27"/>
        <v>0</v>
      </c>
      <c r="BK13" s="805">
        <f t="shared" si="28"/>
        <v>0</v>
      </c>
      <c r="BL13" s="805">
        <f t="shared" si="29"/>
        <v>0</v>
      </c>
      <c r="BM13" s="805">
        <f t="shared" si="30"/>
        <v>0</v>
      </c>
      <c r="BN13" s="713">
        <f>IFERROR(Feed!H150*Feed!I61,0)</f>
        <v>0</v>
      </c>
      <c r="BO13" s="553">
        <f>IFERROR(Feed!I150*Feed!R61,0)</f>
        <v>0</v>
      </c>
      <c r="BP13" s="553">
        <f>IFERROR(Feed!J150*Feed!AA61,0)</f>
        <v>0</v>
      </c>
      <c r="BQ13" s="243">
        <f>VLOOKUP(INPUTS!$D$95,'Crop parameters'!$A$2:$Z$43,4,FALSE)*1000</f>
        <v>0</v>
      </c>
      <c r="BR13" s="475">
        <f>INPUTS!$E$110</f>
        <v>0.9</v>
      </c>
      <c r="BS13" s="243">
        <f>VLOOKUP(INPUTS!$D$95,'Crop parameters'!$A$2:$Z$43,8,FALSE)*1000</f>
        <v>0</v>
      </c>
      <c r="BT13" s="475">
        <f>IF(INPUTS!$E$95="Residue",INPUTS!$F$110,0)</f>
        <v>0</v>
      </c>
      <c r="BU13" s="475">
        <f>IFERROR(IF(INPUTS!$E$95="Main",BN13/(BQ13*BR13),BN13/(BS13*BT13)),0)</f>
        <v>0</v>
      </c>
      <c r="BV13" s="475">
        <f>IFERROR(IF(INPUTS!$E$95="Main",BO13/(BQ13*BR13),BO13/(BS13*BT13)),0)</f>
        <v>0</v>
      </c>
      <c r="BW13" s="475">
        <f>IFERROR(IF(INPUTS!$E$95="Main",BP13/(BQ13*BR13),BP13/(BS13*BT13)),0)</f>
        <v>0</v>
      </c>
      <c r="BX13" s="805">
        <f t="shared" si="8"/>
        <v>0</v>
      </c>
      <c r="BY13" s="821">
        <f t="shared" si="9"/>
        <v>0</v>
      </c>
      <c r="BZ13" s="821">
        <f t="shared" si="31"/>
        <v>0</v>
      </c>
      <c r="CA13" s="805">
        <f t="shared" si="32"/>
        <v>0</v>
      </c>
      <c r="CB13" s="805">
        <f t="shared" si="33"/>
        <v>0</v>
      </c>
      <c r="CC13" s="805">
        <f t="shared" si="34"/>
        <v>0</v>
      </c>
      <c r="CD13" s="713">
        <f>IFERROR(Feed!H150*Feed!J61,0)</f>
        <v>0</v>
      </c>
      <c r="CE13" s="553">
        <f>IFERROR(Feed!I150*Feed!S61,0)</f>
        <v>0</v>
      </c>
      <c r="CF13" s="553">
        <f>IFERROR(Feed!J150*Feed!AB61,0)</f>
        <v>0</v>
      </c>
      <c r="CG13" s="243">
        <f>VLOOKUP(INPUTS!$D$96,'Crop parameters'!$A$2:$Z$43,4,FALSE)*1000</f>
        <v>0</v>
      </c>
      <c r="CH13" s="475">
        <f>INPUTS!$E$111</f>
        <v>0.9</v>
      </c>
      <c r="CI13" s="243">
        <f>VLOOKUP(INPUTS!$D$96,'Crop parameters'!$A$2:$Z$43,8,FALSE)*1000</f>
        <v>0</v>
      </c>
      <c r="CJ13" s="475">
        <f>IF(INPUTS!$E$96="Residue",INPUTS!$F$111,0)</f>
        <v>0</v>
      </c>
      <c r="CK13" s="475">
        <f>IFERROR(IF(INPUTS!$E$96="Main",CD13/(CG13*CH13),CD13/(CI13*CJ13)),0)</f>
        <v>0</v>
      </c>
      <c r="CL13" s="475">
        <f>IFERROR(IF(INPUTS!$E$96="Main",CE13/(CG13*CH13),CE13/(CI13*CJ13)),0)</f>
        <v>0</v>
      </c>
      <c r="CM13" s="475">
        <f>IFERROR(IF(INPUTS!$E$96="Main",CF13/(CG13*CH13),CF13/(CI13*CJ13)),0)</f>
        <v>0</v>
      </c>
      <c r="CN13" s="805">
        <f t="shared" si="10"/>
        <v>0</v>
      </c>
      <c r="CO13" s="821">
        <f t="shared" si="11"/>
        <v>0</v>
      </c>
      <c r="CP13" s="821">
        <f t="shared" si="35"/>
        <v>0</v>
      </c>
      <c r="CQ13" s="805">
        <f t="shared" si="36"/>
        <v>0</v>
      </c>
      <c r="CR13" s="805">
        <f t="shared" si="37"/>
        <v>0</v>
      </c>
      <c r="CS13" s="805">
        <f t="shared" si="38"/>
        <v>0</v>
      </c>
      <c r="CT13" s="713">
        <f>IFERROR(Feed!H150*Feed!K61,0)</f>
        <v>0</v>
      </c>
      <c r="CU13" s="553">
        <f>IFERROR(Feed!I150*Feed!T61,0)</f>
        <v>0</v>
      </c>
      <c r="CV13" s="553">
        <f>IFERROR(Feed!J150*Feed!AC61,0)</f>
        <v>0</v>
      </c>
      <c r="CW13" s="243">
        <f>VLOOKUP(INPUTS!$D$97,'Crop parameters'!$A$2:$Z$43,4,FALSE)*1000</f>
        <v>0</v>
      </c>
      <c r="CX13" s="475">
        <f>INPUTS!$E$112</f>
        <v>0</v>
      </c>
      <c r="CY13" s="243">
        <f>VLOOKUP(INPUTS!$D$97,'Crop parameters'!$A$2:$Z$43,8,FALSE)*1000</f>
        <v>0</v>
      </c>
      <c r="CZ13" s="475">
        <f>IF(INPUTS!$E$97="Residue",INPUTS!$F$112,0)</f>
        <v>0</v>
      </c>
      <c r="DA13" s="475">
        <f>IFERROR(IF(INPUTS!$E$97="Main",CT13/(CW13*CX13),CT13/(CY13*CZ13)),0)</f>
        <v>0</v>
      </c>
      <c r="DB13" s="475">
        <f>IFERROR(IF(INPUTS!$E$97="Main",CU13/(CW13*CX13),CU13/(CY13*CZ13)),0)</f>
        <v>0</v>
      </c>
      <c r="DC13" s="475">
        <f>IFERROR(IF(INPUTS!$E$97="Main",CV13/(CW13*CX13),CV13/(CY13*CZ13)),0)</f>
        <v>0</v>
      </c>
      <c r="DD13" s="805">
        <f t="shared" si="12"/>
        <v>0</v>
      </c>
      <c r="DE13" s="821">
        <f t="shared" si="13"/>
        <v>0</v>
      </c>
      <c r="DF13" s="821">
        <f t="shared" si="39"/>
        <v>0</v>
      </c>
      <c r="DG13" s="805">
        <f t="shared" si="40"/>
        <v>0</v>
      </c>
      <c r="DH13" s="805">
        <f t="shared" si="41"/>
        <v>0</v>
      </c>
      <c r="DI13" s="475">
        <f t="shared" si="42"/>
        <v>0</v>
      </c>
      <c r="DJ13" s="715">
        <f t="shared" si="43"/>
        <v>0</v>
      </c>
      <c r="DK13" s="715">
        <f t="shared" si="14"/>
        <v>0</v>
      </c>
      <c r="DL13" s="715">
        <f t="shared" si="14"/>
        <v>0</v>
      </c>
    </row>
    <row r="14" spans="1:116">
      <c r="A14" s="543">
        <f>'Livestock parameters'!A10</f>
        <v>0</v>
      </c>
      <c r="B14" s="713">
        <f>IFERROR(Feed!H151*Feed!E68,0)</f>
        <v>0</v>
      </c>
      <c r="C14" s="553">
        <f>IFERROR(Feed!I151*Feed!N68,0)</f>
        <v>0</v>
      </c>
      <c r="D14" s="553">
        <f>IFERROR(Feed!J151*Feed!W68,0)</f>
        <v>0</v>
      </c>
      <c r="E14" s="243">
        <f>VLOOKUP(INPUTS!$D$91,'Crop parameters'!$A$2:$Z$43,4,FALSE)*1000</f>
        <v>0</v>
      </c>
      <c r="F14" s="475">
        <f>INPUTS!$E$106</f>
        <v>0</v>
      </c>
      <c r="G14" s="243">
        <f>VLOOKUP(INPUTS!$D$91,'Crop parameters'!$A$2:$Z$43,8,FALSE)*1000</f>
        <v>0</v>
      </c>
      <c r="H14" s="475">
        <f>IF(INPUTS!$E$91="Residue",INPUTS!$F$106,0)</f>
        <v>0</v>
      </c>
      <c r="I14" s="475">
        <f>IFERROR(IF(INPUTS!$E$91="Main",B14/(E14*F14),B14/(G14*H14)),0)</f>
        <v>0</v>
      </c>
      <c r="J14" s="475">
        <f>IFERROR(IF(INPUTS!$E$91="Main",C14/(E14*F14),C14/(G14*H14)),0)</f>
        <v>0</v>
      </c>
      <c r="K14" s="475">
        <f>IFERROR(IF(INPUTS!$E$91="Main",D14/(E14*F14),D14/(G14*H14)),0)</f>
        <v>0</v>
      </c>
      <c r="L14" s="805">
        <f t="shared" si="0"/>
        <v>0</v>
      </c>
      <c r="M14" s="821">
        <f t="shared" si="1"/>
        <v>0</v>
      </c>
      <c r="N14" s="821">
        <f t="shared" si="15"/>
        <v>0</v>
      </c>
      <c r="O14" s="805">
        <f t="shared" si="16"/>
        <v>0</v>
      </c>
      <c r="P14" s="805">
        <f t="shared" si="17"/>
        <v>0</v>
      </c>
      <c r="Q14" s="805">
        <f t="shared" si="18"/>
        <v>0</v>
      </c>
      <c r="R14" s="713">
        <f>IFERROR(Feed!H151*Feed!F68,0)</f>
        <v>0</v>
      </c>
      <c r="S14" s="553">
        <f>IFERROR(Feed!I151*Feed!O68,0)</f>
        <v>0</v>
      </c>
      <c r="T14" s="553">
        <f>IFERROR(Feed!Z151*Feed!X68,0)</f>
        <v>0</v>
      </c>
      <c r="U14" s="243">
        <f>VLOOKUP(INPUTS!$D$92,'Crop parameters'!$A$2:$Z$43,4,FALSE)*1000</f>
        <v>13049.999999999998</v>
      </c>
      <c r="V14" s="475">
        <f>INPUTS!$E$107</f>
        <v>0.9</v>
      </c>
      <c r="W14" s="243">
        <f>VLOOKUP(INPUTS!$D$92,'Crop parameters'!$A$2:$Z$43,8,FALSE)*1000</f>
        <v>4999.9999999999982</v>
      </c>
      <c r="X14" s="475">
        <f>IF(INPUTS!$E$92="Residue",INPUTS!$F$107,0)</f>
        <v>0</v>
      </c>
      <c r="Y14" s="475">
        <f>IFERROR(IF(INPUTS!$E$92="Main",R14/(U14*V14),R14/(W14*X14)),0)</f>
        <v>0</v>
      </c>
      <c r="Z14" s="475">
        <f>IFERROR(IF(INPUTS!$E$92="Main",S14/(U14*V14),S14/(W14*X14)),0)</f>
        <v>0</v>
      </c>
      <c r="AA14" s="475">
        <f>IFERROR(IF(INPUTS!$E$92="Main",T14/(U14*V14),T14/(W14*X14)),0)</f>
        <v>0</v>
      </c>
      <c r="AB14" s="805">
        <f t="shared" si="2"/>
        <v>0</v>
      </c>
      <c r="AC14" s="821">
        <f t="shared" si="3"/>
        <v>0</v>
      </c>
      <c r="AD14" s="821">
        <f t="shared" si="19"/>
        <v>0</v>
      </c>
      <c r="AE14" s="805">
        <f t="shared" si="20"/>
        <v>0</v>
      </c>
      <c r="AF14" s="805">
        <f t="shared" si="21"/>
        <v>0</v>
      </c>
      <c r="AG14" s="805">
        <f t="shared" si="22"/>
        <v>0</v>
      </c>
      <c r="AH14" s="713">
        <f>IFERROR(Feed!H151*Feed!G68,0)</f>
        <v>0</v>
      </c>
      <c r="AI14" s="553">
        <f>IFERROR(Feed!I151*Feed!P68,0)</f>
        <v>0</v>
      </c>
      <c r="AJ14" s="553">
        <f>IFERROR(Feed!J151*Feed!Y68,0)</f>
        <v>0</v>
      </c>
      <c r="AK14" s="243">
        <f>VLOOKUP(INPUTS!$D$93,'Crop parameters'!$A$2:$Z$43,4,FALSE)*1000</f>
        <v>1299</v>
      </c>
      <c r="AL14" s="475">
        <f>INPUTS!$E$108</f>
        <v>0.4</v>
      </c>
      <c r="AM14" s="243">
        <f>VLOOKUP(INPUTS!$D$93,'Crop parameters'!$A$2:$Z$43,8,FALSE)*1000</f>
        <v>3582.4421538461534</v>
      </c>
      <c r="AN14" s="475">
        <f>IF(INPUTS!$E$93="Residue",INPUTS!$F$108,0)</f>
        <v>0.6</v>
      </c>
      <c r="AO14" s="475">
        <f>IFERROR(IF(INPUTS!$E$93="Main",AH14/(AK14*AL14),AH14/(AM14*AN14)),0)</f>
        <v>0</v>
      </c>
      <c r="AP14" s="475">
        <f>IFERROR(IF(INPUTS!$E$93="Main",AI14/(AK14*AL14),AI14/(AM14*AN14)),0)</f>
        <v>0</v>
      </c>
      <c r="AQ14" s="475">
        <f>IFERROR(IF(INPUTS!$E$93="Main",AJ14/(AK14*AL14),AJ14/(AM14*AN14)),0)</f>
        <v>0</v>
      </c>
      <c r="AR14" s="805">
        <f t="shared" si="4"/>
        <v>0</v>
      </c>
      <c r="AS14" s="821">
        <f t="shared" si="5"/>
        <v>0</v>
      </c>
      <c r="AT14" s="821">
        <f t="shared" si="23"/>
        <v>0</v>
      </c>
      <c r="AU14" s="805">
        <f t="shared" si="24"/>
        <v>0</v>
      </c>
      <c r="AV14" s="805">
        <f t="shared" si="25"/>
        <v>0</v>
      </c>
      <c r="AW14" s="805">
        <f t="shared" si="26"/>
        <v>0</v>
      </c>
      <c r="AX14" s="807">
        <f>IFERROR(Feed!H151*Feed!H68,0)</f>
        <v>0</v>
      </c>
      <c r="AY14" s="553">
        <f>IFERROR(Feed!I151*Feed!Q68,0)</f>
        <v>0</v>
      </c>
      <c r="AZ14" s="553">
        <f>IFERROR(Feed!J151*Feed!Z68,0)</f>
        <v>0</v>
      </c>
      <c r="BA14" s="243">
        <f>VLOOKUP(INPUTS!$D$94,'Crop parameters'!$A$2:$Z$43,4,FALSE)*1000</f>
        <v>0</v>
      </c>
      <c r="BB14" s="475">
        <f>INPUTS!$E$109</f>
        <v>0.9</v>
      </c>
      <c r="BC14" s="243">
        <f>VLOOKUP(INPUTS!$D$94,'Crop parameters'!$A$2:$Z$43,8,FALSE)*1000</f>
        <v>0</v>
      </c>
      <c r="BD14" s="475">
        <f>IF(INPUTS!$E$94="Residue",INPUTS!$F$109,0)</f>
        <v>0</v>
      </c>
      <c r="BE14" s="475">
        <f>IFERROR(IF(INPUTS!$E$94="Main",AX14/(BA14*BB14),AX14/(BC14*BD14)),0)</f>
        <v>0</v>
      </c>
      <c r="BF14" s="475">
        <f>IFERROR(IF(INPUTS!$E$94="Main",AY14/(BA14*BB14),AY14/(BC14*BD14)),0)</f>
        <v>0</v>
      </c>
      <c r="BG14" s="475">
        <f>IFERROR(IF(INPUTS!$E$94="Main",AZ14/(BA14*BB14),AZ14/(BC14*BD14)),0)</f>
        <v>0</v>
      </c>
      <c r="BH14" s="805">
        <f t="shared" si="6"/>
        <v>0</v>
      </c>
      <c r="BI14" s="821">
        <f t="shared" si="7"/>
        <v>0</v>
      </c>
      <c r="BJ14" s="821">
        <f t="shared" si="27"/>
        <v>0</v>
      </c>
      <c r="BK14" s="805">
        <f t="shared" si="28"/>
        <v>0</v>
      </c>
      <c r="BL14" s="805">
        <f t="shared" si="29"/>
        <v>0</v>
      </c>
      <c r="BM14" s="805">
        <f t="shared" si="30"/>
        <v>0</v>
      </c>
      <c r="BN14" s="713">
        <f>IFERROR(Feed!H151*Feed!I68,0)</f>
        <v>0</v>
      </c>
      <c r="BO14" s="553">
        <f>IFERROR(Feed!I151*Feed!R68,0)</f>
        <v>0</v>
      </c>
      <c r="BP14" s="553">
        <f>IFERROR(Feed!J151*Feed!AA68,0)</f>
        <v>0</v>
      </c>
      <c r="BQ14" s="243">
        <f>VLOOKUP(INPUTS!$D$95,'Crop parameters'!$A$2:$Z$43,4,FALSE)*1000</f>
        <v>0</v>
      </c>
      <c r="BR14" s="475">
        <f>INPUTS!$E$110</f>
        <v>0.9</v>
      </c>
      <c r="BS14" s="243">
        <f>VLOOKUP(INPUTS!$D$95,'Crop parameters'!$A$2:$Z$43,8,FALSE)*1000</f>
        <v>0</v>
      </c>
      <c r="BT14" s="475">
        <f>IF(INPUTS!$E$95="Residue",INPUTS!$F$110,0)</f>
        <v>0</v>
      </c>
      <c r="BU14" s="475">
        <f>IFERROR(IF(INPUTS!$E$95="Main",BN14/(BQ14*BR14),BN14/(BS14*BT14)),0)</f>
        <v>0</v>
      </c>
      <c r="BV14" s="475">
        <f>IFERROR(IF(INPUTS!$E$95="Main",BO14/(BQ14*BR14),BO14/(BS14*BT14)),0)</f>
        <v>0</v>
      </c>
      <c r="BW14" s="475">
        <f>IFERROR(IF(INPUTS!$E$95="Main",BP14/(BQ14*BR14),BP14/(BS14*BT14)),0)</f>
        <v>0</v>
      </c>
      <c r="BX14" s="805">
        <f t="shared" si="8"/>
        <v>0</v>
      </c>
      <c r="BY14" s="821">
        <f t="shared" si="9"/>
        <v>0</v>
      </c>
      <c r="BZ14" s="821">
        <f t="shared" si="31"/>
        <v>0</v>
      </c>
      <c r="CA14" s="805">
        <f t="shared" si="32"/>
        <v>0</v>
      </c>
      <c r="CB14" s="805">
        <f t="shared" si="33"/>
        <v>0</v>
      </c>
      <c r="CC14" s="805">
        <f t="shared" si="34"/>
        <v>0</v>
      </c>
      <c r="CD14" s="713">
        <f>IFERROR(Feed!H151*Feed!J68,0)</f>
        <v>0</v>
      </c>
      <c r="CE14" s="553">
        <f>IFERROR(Feed!I151*Feed!S68,0)</f>
        <v>0</v>
      </c>
      <c r="CF14" s="553">
        <f>IFERROR(Feed!J151*Feed!AB68,0)</f>
        <v>0</v>
      </c>
      <c r="CG14" s="243">
        <f>VLOOKUP(INPUTS!$D$96,'Crop parameters'!$A$2:$Z$43,4,FALSE)*1000</f>
        <v>0</v>
      </c>
      <c r="CH14" s="475">
        <f>INPUTS!$E$111</f>
        <v>0.9</v>
      </c>
      <c r="CI14" s="243">
        <f>VLOOKUP(INPUTS!$D$96,'Crop parameters'!$A$2:$Z$43,8,FALSE)*1000</f>
        <v>0</v>
      </c>
      <c r="CJ14" s="475">
        <f>IF(INPUTS!$E$96="Residue",INPUTS!$F$111,0)</f>
        <v>0</v>
      </c>
      <c r="CK14" s="475">
        <f>IFERROR(IF(INPUTS!$E$96="Main",CD14/(CG14*CH14),CD14/(CI14*CJ14)),0)</f>
        <v>0</v>
      </c>
      <c r="CL14" s="475">
        <f>IFERROR(IF(INPUTS!$E$96="Main",CE14/(CG14*CH14),CE14/(CI14*CJ14)),0)</f>
        <v>0</v>
      </c>
      <c r="CM14" s="475">
        <f>IFERROR(IF(INPUTS!$E$96="Main",CF14/(CG14*CH14),CF14/(CI14*CJ14)),0)</f>
        <v>0</v>
      </c>
      <c r="CN14" s="805">
        <f t="shared" si="10"/>
        <v>0</v>
      </c>
      <c r="CO14" s="821">
        <f t="shared" si="11"/>
        <v>0</v>
      </c>
      <c r="CP14" s="821">
        <f t="shared" si="35"/>
        <v>0</v>
      </c>
      <c r="CQ14" s="805">
        <f t="shared" si="36"/>
        <v>0</v>
      </c>
      <c r="CR14" s="805">
        <f t="shared" si="37"/>
        <v>0</v>
      </c>
      <c r="CS14" s="805">
        <f t="shared" si="38"/>
        <v>0</v>
      </c>
      <c r="CT14" s="713">
        <f>IFERROR(Feed!H151*Feed!K68,0)</f>
        <v>0</v>
      </c>
      <c r="CU14" s="553">
        <f>IFERROR(Feed!I151*Feed!T68,0)</f>
        <v>0</v>
      </c>
      <c r="CV14" s="553">
        <f>IFERROR(Feed!J151*Feed!AC68,0)</f>
        <v>0</v>
      </c>
      <c r="CW14" s="243">
        <f>VLOOKUP(INPUTS!$D$97,'Crop parameters'!$A$2:$Z$43,4,FALSE)*1000</f>
        <v>0</v>
      </c>
      <c r="CX14" s="475">
        <f>INPUTS!$E$112</f>
        <v>0</v>
      </c>
      <c r="CY14" s="243">
        <f>VLOOKUP(INPUTS!$D$97,'Crop parameters'!$A$2:$Z$43,8,FALSE)*1000</f>
        <v>0</v>
      </c>
      <c r="CZ14" s="475">
        <f>IF(INPUTS!$E$97="Residue",INPUTS!$F$112,0)</f>
        <v>0</v>
      </c>
      <c r="DA14" s="475">
        <f>IFERROR(IF(INPUTS!$E$97="Main",CT14/(CW14*CX14),CT14/(CY14*CZ14)),0)</f>
        <v>0</v>
      </c>
      <c r="DB14" s="475">
        <f>IFERROR(IF(INPUTS!$E$97="Main",CU14/(CW14*CX14),CU14/(CY14*CZ14)),0)</f>
        <v>0</v>
      </c>
      <c r="DC14" s="475">
        <f>IFERROR(IF(INPUTS!$E$97="Main",CV14/(CW14*CX14),CV14/(CY14*CZ14)),0)</f>
        <v>0</v>
      </c>
      <c r="DD14" s="805">
        <f t="shared" si="12"/>
        <v>0</v>
      </c>
      <c r="DE14" s="821">
        <f t="shared" si="13"/>
        <v>0</v>
      </c>
      <c r="DF14" s="821">
        <f t="shared" si="39"/>
        <v>0</v>
      </c>
      <c r="DG14" s="805">
        <f t="shared" si="40"/>
        <v>0</v>
      </c>
      <c r="DH14" s="805">
        <f t="shared" si="41"/>
        <v>0</v>
      </c>
      <c r="DI14" s="475">
        <f t="shared" si="42"/>
        <v>0</v>
      </c>
      <c r="DJ14" s="715">
        <f t="shared" si="43"/>
        <v>0</v>
      </c>
      <c r="DK14" s="715">
        <f t="shared" si="14"/>
        <v>0</v>
      </c>
      <c r="DL14" s="715">
        <f t="shared" si="14"/>
        <v>0</v>
      </c>
    </row>
    <row r="15" spans="1:116">
      <c r="A15" s="543">
        <f>'Livestock parameters'!A11</f>
        <v>0</v>
      </c>
      <c r="B15" s="713">
        <f>IFERROR(Feed!H152*Feed!E75,0)</f>
        <v>0</v>
      </c>
      <c r="C15" s="713">
        <f>IFERROR(Feed!I152*Feed!N75,0)</f>
        <v>0</v>
      </c>
      <c r="D15" s="713">
        <f>IFERROR(Feed!J152*Feed!W75,0)</f>
        <v>0</v>
      </c>
      <c r="E15" s="243">
        <f>VLOOKUP(INPUTS!$D$91,'Crop parameters'!$A$2:$Z$43,4,FALSE)*1000</f>
        <v>0</v>
      </c>
      <c r="F15" s="475">
        <f>INPUTS!$E$106</f>
        <v>0</v>
      </c>
      <c r="G15" s="243">
        <f>VLOOKUP(INPUTS!$D$91,'Crop parameters'!$A$2:$Z$43,8,FALSE)*1000</f>
        <v>0</v>
      </c>
      <c r="H15" s="475">
        <f>IF(INPUTS!$E$91="Residue",INPUTS!$F$106,0)</f>
        <v>0</v>
      </c>
      <c r="I15" s="475">
        <f>IFERROR(IF(INPUTS!$E$91="Main",B15/(E15*F15),B15/(G15*H15)),0)</f>
        <v>0</v>
      </c>
      <c r="J15" s="475">
        <f>IFERROR(IF(INPUTS!$E$91="Main",C15/(E15*F15),C15/(G15*H15)),0)</f>
        <v>0</v>
      </c>
      <c r="K15" s="475">
        <f>IFERROR(IF(INPUTS!$E$91="Main",D15/(E15*F15),D15/(G15*H15)),0)</f>
        <v>0</v>
      </c>
      <c r="L15" s="805">
        <f t="shared" si="0"/>
        <v>0</v>
      </c>
      <c r="M15" s="821">
        <f t="shared" si="1"/>
        <v>0</v>
      </c>
      <c r="N15" s="821">
        <f t="shared" si="15"/>
        <v>0</v>
      </c>
      <c r="O15" s="805">
        <f t="shared" si="16"/>
        <v>0</v>
      </c>
      <c r="P15" s="805">
        <f t="shared" si="17"/>
        <v>0</v>
      </c>
      <c r="Q15" s="805">
        <f t="shared" si="18"/>
        <v>0</v>
      </c>
      <c r="R15" s="713">
        <f>IFERROR(Feed!H152*Feed!F69,0)</f>
        <v>0</v>
      </c>
      <c r="S15" s="553">
        <f>IFERROR(Feed!I152*Feed!O69,0)</f>
        <v>0</v>
      </c>
      <c r="T15" s="713">
        <f>IFERROR(Feed!Z152*Feed!X75,0)</f>
        <v>0</v>
      </c>
      <c r="U15" s="243">
        <f>VLOOKUP(INPUTS!$D$92,'Crop parameters'!$A$2:$Z$43,4,FALSE)*1000</f>
        <v>13049.999999999998</v>
      </c>
      <c r="V15" s="475">
        <f>INPUTS!$E$107</f>
        <v>0.9</v>
      </c>
      <c r="W15" s="243">
        <f>VLOOKUP(INPUTS!$D$92,'Crop parameters'!$A$2:$Z$43,8,FALSE)*1000</f>
        <v>4999.9999999999982</v>
      </c>
      <c r="X15" s="475">
        <f>IF(INPUTS!$E$92="Residue",INPUTS!$F$107,0)</f>
        <v>0</v>
      </c>
      <c r="Y15" s="475">
        <f>IFERROR(IF(INPUTS!$E$92="Main",R15/(U15*V15),R15/(W15*X15)),0)</f>
        <v>0</v>
      </c>
      <c r="Z15" s="475">
        <f>IFERROR(IF(INPUTS!$E$92="Main",S15/(U15*V15),S15/(W15*X15)),0)</f>
        <v>0</v>
      </c>
      <c r="AA15" s="475">
        <f>IFERROR(IF(INPUTS!$E$92="Main",T15/(U15*V15),T15/(W15*X15)),0)</f>
        <v>0</v>
      </c>
      <c r="AB15" s="805">
        <f t="shared" si="2"/>
        <v>0</v>
      </c>
      <c r="AC15" s="821">
        <f t="shared" si="3"/>
        <v>0</v>
      </c>
      <c r="AD15" s="821">
        <f t="shared" si="19"/>
        <v>0</v>
      </c>
      <c r="AE15" s="805">
        <f t="shared" si="20"/>
        <v>0</v>
      </c>
      <c r="AF15" s="805">
        <f t="shared" si="21"/>
        <v>0</v>
      </c>
      <c r="AG15" s="805">
        <f t="shared" si="22"/>
        <v>0</v>
      </c>
      <c r="AH15" s="713">
        <f>IFERROR(Feed!H152*Feed!G75,0)</f>
        <v>0</v>
      </c>
      <c r="AI15" s="713">
        <f>IFERROR(Feed!I152*Feed!P75,0)</f>
        <v>0</v>
      </c>
      <c r="AJ15" s="713">
        <f>IFERROR(Feed!J152*Feed!Y75,0)</f>
        <v>0</v>
      </c>
      <c r="AK15" s="243">
        <f>VLOOKUP(INPUTS!$D$93,'Crop parameters'!$A$2:$Z$43,4,FALSE)*1000</f>
        <v>1299</v>
      </c>
      <c r="AL15" s="475">
        <f>INPUTS!$E$108</f>
        <v>0.4</v>
      </c>
      <c r="AM15" s="243">
        <f>VLOOKUP(INPUTS!$D$93,'Crop parameters'!$A$2:$Z$43,8,FALSE)*1000</f>
        <v>3582.4421538461534</v>
      </c>
      <c r="AN15" s="475">
        <f>IF(INPUTS!$E$93="Residue",INPUTS!$F$108,0)</f>
        <v>0.6</v>
      </c>
      <c r="AO15" s="475">
        <f>IFERROR(IF(INPUTS!$E$93="Main",AH15/(AK15*AL15),AH15/(AM15*AN15)),0)</f>
        <v>0</v>
      </c>
      <c r="AP15" s="475">
        <f>IFERROR(IF(INPUTS!$E$93="Main",AI15/(AK15*AL15),AI15/(AM15*AN15)),0)</f>
        <v>0</v>
      </c>
      <c r="AQ15" s="475">
        <f>IFERROR(IF(INPUTS!$E$93="Main",AJ15/(AK15*AL15),AJ15/(AM15*AN15)),0)</f>
        <v>0</v>
      </c>
      <c r="AR15" s="805">
        <f t="shared" si="4"/>
        <v>0</v>
      </c>
      <c r="AS15" s="821">
        <f t="shared" si="5"/>
        <v>0</v>
      </c>
      <c r="AT15" s="821">
        <f t="shared" si="23"/>
        <v>0</v>
      </c>
      <c r="AU15" s="805">
        <f t="shared" si="24"/>
        <v>0</v>
      </c>
      <c r="AV15" s="805">
        <f t="shared" si="25"/>
        <v>0</v>
      </c>
      <c r="AW15" s="805">
        <f t="shared" si="26"/>
        <v>0</v>
      </c>
      <c r="AX15" s="807">
        <f>IFERROR(Feed!H152*Feed!H75,0)</f>
        <v>0</v>
      </c>
      <c r="AY15" s="807">
        <f>IFERROR(Feed!I152*Feed!Q75,0)</f>
        <v>0</v>
      </c>
      <c r="AZ15" s="807">
        <f>IFERROR(Feed!J152*Feed!Z75,0)</f>
        <v>0</v>
      </c>
      <c r="BA15" s="243">
        <f>VLOOKUP(INPUTS!$D$94,'Crop parameters'!$A$2:$Z$43,4,FALSE)*1000</f>
        <v>0</v>
      </c>
      <c r="BB15" s="475">
        <f>INPUTS!$E$109</f>
        <v>0.9</v>
      </c>
      <c r="BC15" s="243">
        <f>VLOOKUP(INPUTS!$D$94,'Crop parameters'!$A$2:$Z$43,8,FALSE)*1000</f>
        <v>0</v>
      </c>
      <c r="BD15" s="475">
        <f>IF(INPUTS!$E$94="Residue",INPUTS!$F$109,0)</f>
        <v>0</v>
      </c>
      <c r="BE15" s="475">
        <f>IFERROR(IF(INPUTS!$E$94="Main",AX15/(BA15*BB15),AX15/(BC15*BD15)),0)</f>
        <v>0</v>
      </c>
      <c r="BF15" s="475">
        <f>IFERROR(IF(INPUTS!$E$94="Main",AY15/(BA15*BB15),AY15/(BC15*BD15)),0)</f>
        <v>0</v>
      </c>
      <c r="BG15" s="475">
        <f>IFERROR(IF(INPUTS!$E$94="Main",AZ15/(BA15*BB15),AZ15/(BC15*BD15)),0)</f>
        <v>0</v>
      </c>
      <c r="BH15" s="805">
        <f t="shared" si="6"/>
        <v>0</v>
      </c>
      <c r="BI15" s="821">
        <f t="shared" si="7"/>
        <v>0</v>
      </c>
      <c r="BJ15" s="821">
        <f t="shared" si="27"/>
        <v>0</v>
      </c>
      <c r="BK15" s="805">
        <f t="shared" si="28"/>
        <v>0</v>
      </c>
      <c r="BL15" s="805">
        <f t="shared" si="29"/>
        <v>0</v>
      </c>
      <c r="BM15" s="805">
        <f t="shared" si="30"/>
        <v>0</v>
      </c>
      <c r="BN15" s="713">
        <f>IFERROR(Feed!H152*Feed!I75,0)</f>
        <v>0</v>
      </c>
      <c r="BO15" s="713">
        <f>IFERROR(Feed!I152*Feed!R75,0)</f>
        <v>0</v>
      </c>
      <c r="BP15" s="713">
        <f>IFERROR(Feed!J152*Feed!AA75,0)</f>
        <v>0</v>
      </c>
      <c r="BQ15" s="243">
        <f>VLOOKUP(INPUTS!$D$95,'Crop parameters'!$A$2:$Z$43,4,FALSE)*1000</f>
        <v>0</v>
      </c>
      <c r="BR15" s="475">
        <f>INPUTS!$E$110</f>
        <v>0.9</v>
      </c>
      <c r="BS15" s="243">
        <f>VLOOKUP(INPUTS!$D$95,'Crop parameters'!$A$2:$Z$43,8,FALSE)*1000</f>
        <v>0</v>
      </c>
      <c r="BT15" s="475">
        <f>IF(INPUTS!$E$95="Residue",INPUTS!$F$110,0)</f>
        <v>0</v>
      </c>
      <c r="BU15" s="475">
        <f>IFERROR(IF(INPUTS!$E$95="Main",BN15/(BQ15*BR15),BN15/(BS15*BT15)),0)</f>
        <v>0</v>
      </c>
      <c r="BV15" s="475">
        <f>IFERROR(IF(INPUTS!$E$95="Main",BO15/(BQ15*BR15),BO15/(BS15*BT15)),0)</f>
        <v>0</v>
      </c>
      <c r="BW15" s="475">
        <f>IFERROR(IF(INPUTS!$E$95="Main",BP15/(BQ15*BR15),BP15/(BS15*BT15)),0)</f>
        <v>0</v>
      </c>
      <c r="BX15" s="805">
        <f t="shared" si="8"/>
        <v>0</v>
      </c>
      <c r="BY15" s="821">
        <f t="shared" si="9"/>
        <v>0</v>
      </c>
      <c r="BZ15" s="821">
        <f t="shared" si="31"/>
        <v>0</v>
      </c>
      <c r="CA15" s="805">
        <f t="shared" si="32"/>
        <v>0</v>
      </c>
      <c r="CB15" s="805">
        <f t="shared" si="33"/>
        <v>0</v>
      </c>
      <c r="CC15" s="805">
        <f t="shared" si="34"/>
        <v>0</v>
      </c>
      <c r="CD15" s="713">
        <f>IFERROR(Feed!H152*Feed!J75,0)</f>
        <v>0</v>
      </c>
      <c r="CE15" s="713">
        <f>IFERROR(Feed!I152*Feed!S75,0)</f>
        <v>0</v>
      </c>
      <c r="CF15" s="713">
        <f>IFERROR(Feed!J152*Feed!AB75,0)</f>
        <v>0</v>
      </c>
      <c r="CG15" s="243">
        <f>VLOOKUP(INPUTS!$D$96,'Crop parameters'!$A$2:$Z$43,4,FALSE)*1000</f>
        <v>0</v>
      </c>
      <c r="CH15" s="475">
        <f>INPUTS!$E$111</f>
        <v>0.9</v>
      </c>
      <c r="CI15" s="243">
        <f>VLOOKUP(INPUTS!$D$96,'Crop parameters'!$A$2:$Z$43,8,FALSE)*1000</f>
        <v>0</v>
      </c>
      <c r="CJ15" s="475">
        <f>IF(INPUTS!$E$96="Residue",INPUTS!$F$111,0)</f>
        <v>0</v>
      </c>
      <c r="CK15" s="475">
        <f>IFERROR(IF(INPUTS!$E$96="Main",CD15/(CG15*CH15),CD15/(CI15*CJ15)),0)</f>
        <v>0</v>
      </c>
      <c r="CL15" s="475">
        <f>IFERROR(IF(INPUTS!$E$96="Main",CE15/(CG15*CH15),CE15/(CI15*CJ15)),0)</f>
        <v>0</v>
      </c>
      <c r="CM15" s="475">
        <f>IFERROR(IF(INPUTS!$E$96="Main",CF15/(CG15*CH15),CF15/(CI15*CJ15)),0)</f>
        <v>0</v>
      </c>
      <c r="CN15" s="805">
        <f t="shared" si="10"/>
        <v>0</v>
      </c>
      <c r="CO15" s="821">
        <f t="shared" si="11"/>
        <v>0</v>
      </c>
      <c r="CP15" s="821">
        <f t="shared" si="35"/>
        <v>0</v>
      </c>
      <c r="CQ15" s="805">
        <f t="shared" si="36"/>
        <v>0</v>
      </c>
      <c r="CR15" s="805">
        <f t="shared" si="37"/>
        <v>0</v>
      </c>
      <c r="CS15" s="805">
        <f t="shared" si="38"/>
        <v>0</v>
      </c>
      <c r="CT15" s="713">
        <f>IFERROR(Feed!H152*Feed!K75,0)</f>
        <v>0</v>
      </c>
      <c r="CU15" s="713">
        <f>IFERROR(Feed!I152*Feed!T75,0)</f>
        <v>0</v>
      </c>
      <c r="CV15" s="713">
        <f>IFERROR(Feed!J152*Feed!AC75,0)</f>
        <v>0</v>
      </c>
      <c r="CW15" s="243">
        <f>VLOOKUP(INPUTS!$D$97,'Crop parameters'!$A$2:$Z$43,4,FALSE)*1000</f>
        <v>0</v>
      </c>
      <c r="CX15" s="475">
        <f>INPUTS!$E$112</f>
        <v>0</v>
      </c>
      <c r="CY15" s="243">
        <f>VLOOKUP(INPUTS!$D$97,'Crop parameters'!$A$2:$Z$43,8,FALSE)*1000</f>
        <v>0</v>
      </c>
      <c r="CZ15" s="475">
        <f>IF(INPUTS!$E$97="Residue",INPUTS!$F$112,0)</f>
        <v>0</v>
      </c>
      <c r="DA15" s="475">
        <f>IFERROR(IF(INPUTS!$E$97="Main",CT15/(CW15*CX15),CT15/(CY15*CZ15)),0)</f>
        <v>0</v>
      </c>
      <c r="DB15" s="475">
        <f>IFERROR(IF(INPUTS!$E$97="Main",CU15/(CW15*CX15),CU15/(CY15*CZ15)),0)</f>
        <v>0</v>
      </c>
      <c r="DC15" s="475">
        <f>IFERROR(IF(INPUTS!$E$97="Main",CV15/(CW15*CX15),CV15/(CY15*CZ15)),0)</f>
        <v>0</v>
      </c>
      <c r="DD15" s="805">
        <f t="shared" si="12"/>
        <v>0</v>
      </c>
      <c r="DE15" s="821">
        <f t="shared" si="13"/>
        <v>0</v>
      </c>
      <c r="DF15" s="821">
        <f t="shared" si="39"/>
        <v>0</v>
      </c>
      <c r="DG15" s="805">
        <f t="shared" si="40"/>
        <v>0</v>
      </c>
      <c r="DH15" s="805">
        <f t="shared" si="41"/>
        <v>0</v>
      </c>
      <c r="DI15" s="475">
        <f t="shared" si="42"/>
        <v>0</v>
      </c>
      <c r="DJ15" s="715">
        <f t="shared" si="43"/>
        <v>0</v>
      </c>
      <c r="DK15" s="715">
        <f t="shared" si="14"/>
        <v>0</v>
      </c>
      <c r="DL15" s="715">
        <f t="shared" si="14"/>
        <v>0</v>
      </c>
    </row>
    <row r="16" spans="1:116">
      <c r="A16" s="543">
        <f>'Livestock parameters'!A12</f>
        <v>0</v>
      </c>
      <c r="B16" s="713">
        <f>IFERROR(Feed!H153*Feed!E82,0)</f>
        <v>0</v>
      </c>
      <c r="C16" s="713">
        <f>IFERROR(Feed!I153*Feed!N82,0)</f>
        <v>0</v>
      </c>
      <c r="D16" s="713">
        <f>IFERROR(Feed!J153*Feed!W82,0)</f>
        <v>0</v>
      </c>
      <c r="E16" s="243">
        <f>VLOOKUP(INPUTS!$D$91,'Crop parameters'!$A$2:$Z$43,4,FALSE)*1000</f>
        <v>0</v>
      </c>
      <c r="F16" s="475">
        <f>INPUTS!$E$106</f>
        <v>0</v>
      </c>
      <c r="G16" s="243">
        <f>VLOOKUP(INPUTS!$D$91,'Crop parameters'!$A$2:$Z$43,8,FALSE)*1000</f>
        <v>0</v>
      </c>
      <c r="H16" s="475">
        <f>IF(INPUTS!$E$91="Residue",INPUTS!$F$106,0)</f>
        <v>0</v>
      </c>
      <c r="I16" s="475">
        <f>IFERROR(IF(INPUTS!$E$91="Main",B16/(E16*F16),B16/(G16*H16)),0)</f>
        <v>0</v>
      </c>
      <c r="J16" s="475">
        <f>IFERROR(IF(INPUTS!$E$91="Main",C16/(E16*F16),C16/(G16*H16)),0)</f>
        <v>0</v>
      </c>
      <c r="K16" s="475">
        <f>IFERROR(IF(INPUTS!$E$91="Main",D16/(E16*F16),D16/(G16*H16)),0)</f>
        <v>0</v>
      </c>
      <c r="L16" s="805">
        <f t="shared" si="0"/>
        <v>0</v>
      </c>
      <c r="M16" s="821">
        <f t="shared" si="1"/>
        <v>0</v>
      </c>
      <c r="N16" s="821">
        <f t="shared" si="15"/>
        <v>0</v>
      </c>
      <c r="O16" s="805">
        <f t="shared" si="16"/>
        <v>0</v>
      </c>
      <c r="P16" s="805">
        <f t="shared" si="17"/>
        <v>0</v>
      </c>
      <c r="Q16" s="805">
        <f t="shared" si="18"/>
        <v>0</v>
      </c>
      <c r="R16" s="713">
        <f>IFERROR(Feed!H153*Feed!F70,0)</f>
        <v>0</v>
      </c>
      <c r="S16" s="553">
        <f>IFERROR(Feed!I153*Feed!O70,0)</f>
        <v>0</v>
      </c>
      <c r="T16" s="713">
        <f>IFERROR(Feed!Z153*Feed!X82,0)</f>
        <v>0</v>
      </c>
      <c r="U16" s="243">
        <f>VLOOKUP(INPUTS!$D$92,'Crop parameters'!$A$2:$Z$43,4,FALSE)*1000</f>
        <v>13049.999999999998</v>
      </c>
      <c r="V16" s="475">
        <f>INPUTS!$E$107</f>
        <v>0.9</v>
      </c>
      <c r="W16" s="243">
        <f>VLOOKUP(INPUTS!$D$92,'Crop parameters'!$A$2:$Z$43,8,FALSE)*1000</f>
        <v>4999.9999999999982</v>
      </c>
      <c r="X16" s="475">
        <f>IF(INPUTS!$E$92="Residue",INPUTS!$F$107,0)</f>
        <v>0</v>
      </c>
      <c r="Y16" s="475">
        <f>IFERROR(IF(INPUTS!$E$92="Main",R16/(U16*V16),R16/(W16*X16)),0)</f>
        <v>0</v>
      </c>
      <c r="Z16" s="475">
        <f>IFERROR(IF(INPUTS!$E$92="Main",S16/(U16*V16),S16/(W16*X16)),0)</f>
        <v>0</v>
      </c>
      <c r="AA16" s="475">
        <f>IFERROR(IF(INPUTS!$E$92="Main",T16/(U16*V16),T16/(W16*X16)),0)</f>
        <v>0</v>
      </c>
      <c r="AB16" s="805">
        <f t="shared" si="2"/>
        <v>0</v>
      </c>
      <c r="AC16" s="821">
        <f t="shared" si="3"/>
        <v>0</v>
      </c>
      <c r="AD16" s="821">
        <f t="shared" si="19"/>
        <v>0</v>
      </c>
      <c r="AE16" s="805">
        <f t="shared" si="20"/>
        <v>0</v>
      </c>
      <c r="AF16" s="805">
        <f t="shared" si="21"/>
        <v>0</v>
      </c>
      <c r="AG16" s="805">
        <f t="shared" si="22"/>
        <v>0</v>
      </c>
      <c r="AH16" s="713">
        <f>IFERROR(Feed!H153*Feed!G82,0)</f>
        <v>0</v>
      </c>
      <c r="AI16" s="713">
        <f>IFERROR(Feed!I153*Feed!H82,0)</f>
        <v>0</v>
      </c>
      <c r="AJ16" s="713">
        <f>IFERROR(Feed!J153*Feed!Y82,0)</f>
        <v>0</v>
      </c>
      <c r="AK16" s="243">
        <f>VLOOKUP(INPUTS!$D$93,'Crop parameters'!$A$2:$Z$43,4,FALSE)*1000</f>
        <v>1299</v>
      </c>
      <c r="AL16" s="475">
        <f>INPUTS!$E$108</f>
        <v>0.4</v>
      </c>
      <c r="AM16" s="243">
        <f>VLOOKUP(INPUTS!$D$93,'Crop parameters'!$A$2:$Z$43,8,FALSE)*1000</f>
        <v>3582.4421538461534</v>
      </c>
      <c r="AN16" s="475">
        <f>IF(INPUTS!$E$93="Residue",INPUTS!$F$108,0)</f>
        <v>0.6</v>
      </c>
      <c r="AO16" s="475">
        <f>IFERROR(IF(INPUTS!$E$93="Main",AH16/(AK16*AL16),AH16/(AM16*AN16)),0)</f>
        <v>0</v>
      </c>
      <c r="AP16" s="475">
        <f>IFERROR(IF(INPUTS!$E$93="Main",AI16/(AK16*AL16),AI16/(AM16*AN16)),0)</f>
        <v>0</v>
      </c>
      <c r="AQ16" s="475">
        <f>IFERROR(IF(INPUTS!$E$93="Main",AJ16/(AK16*AL16),AJ16/(AM16*AN16)),0)</f>
        <v>0</v>
      </c>
      <c r="AR16" s="805">
        <f t="shared" si="4"/>
        <v>0</v>
      </c>
      <c r="AS16" s="821">
        <f t="shared" si="5"/>
        <v>0</v>
      </c>
      <c r="AT16" s="821">
        <f t="shared" si="23"/>
        <v>0</v>
      </c>
      <c r="AU16" s="805">
        <f t="shared" si="24"/>
        <v>0</v>
      </c>
      <c r="AV16" s="805">
        <f t="shared" si="25"/>
        <v>0</v>
      </c>
      <c r="AW16" s="805">
        <f t="shared" si="26"/>
        <v>0</v>
      </c>
      <c r="AX16" s="807">
        <f>IFERROR(Feed!H153*Feed!H82,0)</f>
        <v>0</v>
      </c>
      <c r="AY16" s="807">
        <f>IFERROR(Feed!I153*Feed!Q82,0)</f>
        <v>0</v>
      </c>
      <c r="AZ16" s="807">
        <f>IFERROR(Feed!J153*Feed!Z82,0)</f>
        <v>0</v>
      </c>
      <c r="BA16" s="243">
        <f>VLOOKUP(INPUTS!$D$94,'Crop parameters'!$A$2:$Z$43,4,FALSE)*1000</f>
        <v>0</v>
      </c>
      <c r="BB16" s="475">
        <f>INPUTS!$E$109</f>
        <v>0.9</v>
      </c>
      <c r="BC16" s="243">
        <f>VLOOKUP(INPUTS!$D$94,'Crop parameters'!$A$2:$Z$43,8,FALSE)*1000</f>
        <v>0</v>
      </c>
      <c r="BD16" s="475">
        <f>IF(INPUTS!$E$94="Residue",INPUTS!$F$109,0)</f>
        <v>0</v>
      </c>
      <c r="BE16" s="475">
        <f>IFERROR(IF(INPUTS!$E$94="Main",AX16/(BA16*BB16),AX16/(BC16*BD16)),0)</f>
        <v>0</v>
      </c>
      <c r="BF16" s="475">
        <f>IFERROR(IF(INPUTS!$E$94="Main",AY16/(BA16*BB16),AY16/(BC16*BD16)),0)</f>
        <v>0</v>
      </c>
      <c r="BG16" s="475">
        <f>IFERROR(IF(INPUTS!$E$94="Main",AZ16/(BA16*BB16),AZ16/(BC16*BD16)),0)</f>
        <v>0</v>
      </c>
      <c r="BH16" s="805">
        <f t="shared" si="6"/>
        <v>0</v>
      </c>
      <c r="BI16" s="821">
        <f t="shared" si="7"/>
        <v>0</v>
      </c>
      <c r="BJ16" s="821">
        <f t="shared" si="27"/>
        <v>0</v>
      </c>
      <c r="BK16" s="805">
        <f t="shared" si="28"/>
        <v>0</v>
      </c>
      <c r="BL16" s="805">
        <f t="shared" si="29"/>
        <v>0</v>
      </c>
      <c r="BM16" s="805">
        <f t="shared" si="30"/>
        <v>0</v>
      </c>
      <c r="BN16" s="713">
        <f>IFERROR(Feed!H153*Feed!I82,0)</f>
        <v>0</v>
      </c>
      <c r="BO16" s="713">
        <f>IFERROR(Feed!I153*Feed!R82,0)</f>
        <v>0</v>
      </c>
      <c r="BP16" s="713">
        <f>IFERROR(Feed!J153*Feed!AA82,0)</f>
        <v>0</v>
      </c>
      <c r="BQ16" s="243">
        <f>VLOOKUP(INPUTS!$D$95,'Crop parameters'!$A$2:$Z$43,4,FALSE)*1000</f>
        <v>0</v>
      </c>
      <c r="BR16" s="475">
        <f>INPUTS!$E$110</f>
        <v>0.9</v>
      </c>
      <c r="BS16" s="243">
        <f>VLOOKUP(INPUTS!$D$95,'Crop parameters'!$A$2:$Z$43,8,FALSE)*1000</f>
        <v>0</v>
      </c>
      <c r="BT16" s="475">
        <f>IF(INPUTS!$E$95="Residue",INPUTS!$F$110,0)</f>
        <v>0</v>
      </c>
      <c r="BU16" s="475">
        <f>IFERROR(IF(INPUTS!$E$95="Main",BN16/(BQ16*BR16),BN16/(BS16*BT16)),0)</f>
        <v>0</v>
      </c>
      <c r="BV16" s="475">
        <f>IFERROR(IF(INPUTS!$E$95="Main",BO16/(BQ16*BR16),BO16/(BS16*BT16)),0)</f>
        <v>0</v>
      </c>
      <c r="BW16" s="475">
        <f>IFERROR(IF(INPUTS!$E$95="Main",BP16/(BQ16*BR16),BP16/(BS16*BT16)),0)</f>
        <v>0</v>
      </c>
      <c r="BX16" s="805">
        <f t="shared" si="8"/>
        <v>0</v>
      </c>
      <c r="BY16" s="821">
        <f t="shared" si="9"/>
        <v>0</v>
      </c>
      <c r="BZ16" s="821">
        <f t="shared" si="31"/>
        <v>0</v>
      </c>
      <c r="CA16" s="805">
        <f t="shared" si="32"/>
        <v>0</v>
      </c>
      <c r="CB16" s="805">
        <f t="shared" si="33"/>
        <v>0</v>
      </c>
      <c r="CC16" s="805">
        <f t="shared" si="34"/>
        <v>0</v>
      </c>
      <c r="CD16" s="713">
        <f>IFERROR(Feed!H153*Feed!J82,0)</f>
        <v>0</v>
      </c>
      <c r="CE16" s="713">
        <f>IFERROR(Feed!I153*Feed!S82,0)</f>
        <v>0</v>
      </c>
      <c r="CF16" s="713">
        <f>IFERROR(Feed!J153*Feed!AB82,0)</f>
        <v>0</v>
      </c>
      <c r="CG16" s="243">
        <f>VLOOKUP(INPUTS!$D$96,'Crop parameters'!$A$2:$Z$43,4,FALSE)*1000</f>
        <v>0</v>
      </c>
      <c r="CH16" s="475">
        <f>INPUTS!$E$111</f>
        <v>0.9</v>
      </c>
      <c r="CI16" s="243">
        <f>VLOOKUP(INPUTS!$D$96,'Crop parameters'!$A$2:$Z$43,8,FALSE)*1000</f>
        <v>0</v>
      </c>
      <c r="CJ16" s="475">
        <f>IF(INPUTS!$E$96="Residue",INPUTS!$F$111,0)</f>
        <v>0</v>
      </c>
      <c r="CK16" s="475">
        <f>IFERROR(IF(INPUTS!$E$96="Main",CD16/(CG16*CH16),CD16/(CI16*CJ16)),0)</f>
        <v>0</v>
      </c>
      <c r="CL16" s="475">
        <f>IFERROR(IF(INPUTS!$E$96="Main",CE16/(CG16*CH16),CE16/(CI16*CJ16)),0)</f>
        <v>0</v>
      </c>
      <c r="CM16" s="475">
        <f>IFERROR(IF(INPUTS!$E$96="Main",CF16/(CG16*CH16),CF16/(CI16*CJ16)),0)</f>
        <v>0</v>
      </c>
      <c r="CN16" s="805">
        <f t="shared" si="10"/>
        <v>0</v>
      </c>
      <c r="CO16" s="821">
        <f t="shared" si="11"/>
        <v>0</v>
      </c>
      <c r="CP16" s="821">
        <f t="shared" si="35"/>
        <v>0</v>
      </c>
      <c r="CQ16" s="805">
        <f t="shared" si="36"/>
        <v>0</v>
      </c>
      <c r="CR16" s="805">
        <f t="shared" si="37"/>
        <v>0</v>
      </c>
      <c r="CS16" s="805">
        <f t="shared" si="38"/>
        <v>0</v>
      </c>
      <c r="CT16" s="713">
        <f>IFERROR(Feed!H153*Feed!K82,0)</f>
        <v>0</v>
      </c>
      <c r="CU16" s="713">
        <f>IFERROR(Feed!I153*Feed!T82,0)</f>
        <v>0</v>
      </c>
      <c r="CV16" s="713">
        <f>IFERROR(Feed!J153*Feed!AC82,0)</f>
        <v>0</v>
      </c>
      <c r="CW16" s="243">
        <f>VLOOKUP(INPUTS!$D$97,'Crop parameters'!$A$2:$Z$43,4,FALSE)*1000</f>
        <v>0</v>
      </c>
      <c r="CX16" s="475">
        <f>INPUTS!$E$112</f>
        <v>0</v>
      </c>
      <c r="CY16" s="243">
        <f>VLOOKUP(INPUTS!$D$97,'Crop parameters'!$A$2:$Z$43,8,FALSE)*1000</f>
        <v>0</v>
      </c>
      <c r="CZ16" s="475">
        <f>IF(INPUTS!$E$97="Residue",INPUTS!$F$112,0)</f>
        <v>0</v>
      </c>
      <c r="DA16" s="475">
        <f>IFERROR(IF(INPUTS!$E$97="Main",CT16/(CW16*CX16),CT16/(CY16*CZ16)),0)</f>
        <v>0</v>
      </c>
      <c r="DB16" s="475">
        <f>IFERROR(IF(INPUTS!$E$97="Main",CU16/(CW16*CX16),CU16/(CY16*CZ16)),0)</f>
        <v>0</v>
      </c>
      <c r="DC16" s="475">
        <f>IFERROR(IF(INPUTS!$E$97="Main",CV16/(CW16*CX16),CV16/(CY16*CZ16)),0)</f>
        <v>0</v>
      </c>
      <c r="DD16" s="805">
        <f t="shared" si="12"/>
        <v>0</v>
      </c>
      <c r="DE16" s="821">
        <f t="shared" si="13"/>
        <v>0</v>
      </c>
      <c r="DF16" s="821">
        <f t="shared" si="39"/>
        <v>0</v>
      </c>
      <c r="DG16" s="805">
        <f t="shared" si="40"/>
        <v>0</v>
      </c>
      <c r="DH16" s="805">
        <f t="shared" si="41"/>
        <v>0</v>
      </c>
      <c r="DI16" s="475">
        <f t="shared" si="42"/>
        <v>0</v>
      </c>
      <c r="DJ16" s="715">
        <f t="shared" si="43"/>
        <v>0</v>
      </c>
      <c r="DK16" s="715">
        <f t="shared" si="14"/>
        <v>0</v>
      </c>
      <c r="DL16" s="715">
        <f t="shared" si="14"/>
        <v>0</v>
      </c>
    </row>
    <row r="17" spans="1:119">
      <c r="A17" s="543">
        <f>'Livestock parameters'!A13</f>
        <v>0</v>
      </c>
      <c r="B17" s="807">
        <f>IFERROR(Feed!H154*Feed!E89,0)</f>
        <v>0</v>
      </c>
      <c r="C17" s="1115">
        <f>IFERROR(Feed!I154*Feed!N89,0)</f>
        <v>0</v>
      </c>
      <c r="D17" s="1115">
        <f>IFERROR(Feed!J154*Feed!W89,0)</f>
        <v>0</v>
      </c>
      <c r="E17" s="243">
        <f>VLOOKUP(INPUTS!$D$91,'Crop parameters'!$A$2:$Z$43,4,FALSE)*1000</f>
        <v>0</v>
      </c>
      <c r="F17" s="475">
        <f>INPUTS!$E$106</f>
        <v>0</v>
      </c>
      <c r="G17" s="243">
        <f>VLOOKUP(INPUTS!$D$91,'Crop parameters'!$A$2:$Z$43,8,FALSE)*1000</f>
        <v>0</v>
      </c>
      <c r="H17" s="475">
        <f>IF(INPUTS!$E$91="Residue",INPUTS!$F$106,0)</f>
        <v>0</v>
      </c>
      <c r="I17" s="475">
        <f>IFERROR(IF(INPUTS!$E$91="Main",B17/(E17*F17),B17/(G17*H17)),0)</f>
        <v>0</v>
      </c>
      <c r="J17" s="475">
        <f>IFERROR(IF(INPUTS!$E$91="Main",C17/(E17*F17),C17/(G17*H17)),0)</f>
        <v>0</v>
      </c>
      <c r="K17" s="475">
        <f>IFERROR(IF(INPUTS!$E$91="Main",D17/(E17*F17),D17/(G17*H17)),0)</f>
        <v>0</v>
      </c>
      <c r="L17" s="805">
        <f t="shared" si="0"/>
        <v>0</v>
      </c>
      <c r="M17" s="821">
        <f t="shared" si="1"/>
        <v>0</v>
      </c>
      <c r="N17" s="821">
        <f t="shared" si="15"/>
        <v>0</v>
      </c>
      <c r="O17" s="805">
        <f t="shared" si="16"/>
        <v>0</v>
      </c>
      <c r="P17" s="805">
        <f t="shared" si="17"/>
        <v>0</v>
      </c>
      <c r="Q17" s="805">
        <f t="shared" si="18"/>
        <v>0</v>
      </c>
      <c r="R17" s="713">
        <f>IFERROR(Feed!H154*Feed!F89,0)</f>
        <v>0</v>
      </c>
      <c r="S17" s="553">
        <f>IFERROR(Feed!I154*Feed!O89,0)</f>
        <v>0</v>
      </c>
      <c r="T17" s="1115">
        <f>IFERROR(Feed!Z154*Feed!X89,0)</f>
        <v>0</v>
      </c>
      <c r="U17" s="243">
        <f>VLOOKUP(INPUTS!$D$92,'Crop parameters'!$A$2:$Z$43,4,FALSE)*1000</f>
        <v>13049.999999999998</v>
      </c>
      <c r="V17" s="475">
        <f>INPUTS!$E$107</f>
        <v>0.9</v>
      </c>
      <c r="W17" s="243">
        <f>VLOOKUP(INPUTS!$D$92,'Crop parameters'!$A$2:$Z$43,8,FALSE)*1000</f>
        <v>4999.9999999999982</v>
      </c>
      <c r="X17" s="475">
        <f>IF(INPUTS!$E$92="Residue",INPUTS!$F$107,0)</f>
        <v>0</v>
      </c>
      <c r="Y17" s="475">
        <f>IFERROR(IF(INPUTS!$E$92="Main",R17/(U17*V17),R17/(W17*X17)),0)</f>
        <v>0</v>
      </c>
      <c r="Z17" s="475">
        <f>IFERROR(IF(INPUTS!$E$92="Main",S17/(U17*V17),S17/(W17*X17)),0)</f>
        <v>0</v>
      </c>
      <c r="AA17" s="475">
        <f>IFERROR(IF(INPUTS!$E$92="Main",T17/(U17*V17),T17/(W17*X17)),0)</f>
        <v>0</v>
      </c>
      <c r="AB17" s="805">
        <f t="shared" si="2"/>
        <v>0</v>
      </c>
      <c r="AC17" s="821">
        <f t="shared" si="3"/>
        <v>0</v>
      </c>
      <c r="AD17" s="821">
        <f t="shared" si="19"/>
        <v>0</v>
      </c>
      <c r="AE17" s="805">
        <f t="shared" si="20"/>
        <v>0</v>
      </c>
      <c r="AF17" s="805">
        <f t="shared" si="21"/>
        <v>0</v>
      </c>
      <c r="AG17" s="805">
        <f t="shared" si="22"/>
        <v>0</v>
      </c>
      <c r="AH17" s="713">
        <f>IFERROR(Feed!H154*Feed!G89,0)</f>
        <v>0</v>
      </c>
      <c r="AI17" s="553">
        <f>IFERROR(Feed!I154*Feed!P89,0)</f>
        <v>0</v>
      </c>
      <c r="AJ17" s="1115">
        <f>IFERROR(Feed!J154*Feed!Y89,0)</f>
        <v>0</v>
      </c>
      <c r="AK17" s="243">
        <f>VLOOKUP(INPUTS!$D$93,'Crop parameters'!$A$2:$Z$43,4,FALSE)*1000</f>
        <v>1299</v>
      </c>
      <c r="AL17" s="475">
        <f>INPUTS!$E$108</f>
        <v>0.4</v>
      </c>
      <c r="AM17" s="243">
        <f>VLOOKUP(INPUTS!$D$93,'Crop parameters'!$A$2:$Z$43,8,FALSE)*1000</f>
        <v>3582.4421538461534</v>
      </c>
      <c r="AN17" s="475">
        <f>IF(INPUTS!$E$93="Residue",INPUTS!$F$108,0)</f>
        <v>0.6</v>
      </c>
      <c r="AO17" s="475">
        <f>IFERROR(IF(INPUTS!$E$93="Main",AH17/(AK17*AL17),AH17/(AM17*AN17)),0)</f>
        <v>0</v>
      </c>
      <c r="AP17" s="475">
        <f>IFERROR(IF(INPUTS!$E$93="Main",AI17/(AK17*AL17),AI17/(AM17*AN17)),0)</f>
        <v>0</v>
      </c>
      <c r="AQ17" s="475">
        <f>IFERROR(IF(INPUTS!$E$93="Main",AJ17/(AK17*AL17),AJ17/(AM17*AN17)),0)</f>
        <v>0</v>
      </c>
      <c r="AR17" s="805">
        <f t="shared" si="4"/>
        <v>0</v>
      </c>
      <c r="AS17" s="821">
        <f t="shared" si="5"/>
        <v>0</v>
      </c>
      <c r="AT17" s="821">
        <f t="shared" si="23"/>
        <v>0</v>
      </c>
      <c r="AU17" s="805">
        <f t="shared" si="24"/>
        <v>0</v>
      </c>
      <c r="AV17" s="805">
        <f t="shared" si="25"/>
        <v>0</v>
      </c>
      <c r="AW17" s="805">
        <f t="shared" si="26"/>
        <v>0</v>
      </c>
      <c r="AX17" s="807">
        <f>IFERROR(Feed!H154*Feed!H89,0)</f>
        <v>0</v>
      </c>
      <c r="AY17" s="553">
        <f>IFERROR(Feed!I154*Feed!Q89,0)</f>
        <v>0</v>
      </c>
      <c r="AZ17" s="553">
        <f>IFERROR(Feed!J154*Feed!Z89,0)</f>
        <v>0</v>
      </c>
      <c r="BA17" s="243">
        <f>VLOOKUP(INPUTS!$D$94,'Crop parameters'!$A$2:$Z$43,4,FALSE)*1000</f>
        <v>0</v>
      </c>
      <c r="BB17" s="475">
        <f>INPUTS!$E$109</f>
        <v>0.9</v>
      </c>
      <c r="BC17" s="243">
        <f>VLOOKUP(INPUTS!$D$94,'Crop parameters'!$A$2:$Z$43,8,FALSE)*1000</f>
        <v>0</v>
      </c>
      <c r="BD17" s="475">
        <f>IF(INPUTS!$E$94="Residue",INPUTS!$F$109,0)</f>
        <v>0</v>
      </c>
      <c r="BE17" s="475">
        <f>IFERROR(IF(INPUTS!$E$94="Main",AX17/(BA17*BB17),AX17/(BC17*BD17)),0)</f>
        <v>0</v>
      </c>
      <c r="BF17" s="475">
        <f>IFERROR(IF(INPUTS!$E$94="Main",AY17/(BA17*BB17),AY17/(BC17*BD17)),0)</f>
        <v>0</v>
      </c>
      <c r="BG17" s="475">
        <f>IFERROR(IF(INPUTS!$E$94="Main",AZ17/(BA17*BB17),AZ17/(BC17*BD17)),0)</f>
        <v>0</v>
      </c>
      <c r="BH17" s="805">
        <f t="shared" si="6"/>
        <v>0</v>
      </c>
      <c r="BI17" s="821">
        <f t="shared" si="7"/>
        <v>0</v>
      </c>
      <c r="BJ17" s="821">
        <f t="shared" si="27"/>
        <v>0</v>
      </c>
      <c r="BK17" s="805">
        <f t="shared" si="28"/>
        <v>0</v>
      </c>
      <c r="BL17" s="805">
        <f t="shared" si="29"/>
        <v>0</v>
      </c>
      <c r="BM17" s="805">
        <f t="shared" si="30"/>
        <v>0</v>
      </c>
      <c r="BN17" s="1115">
        <f>IFERROR(Feed!H154*Feed!I89,0)</f>
        <v>0</v>
      </c>
      <c r="BO17" s="553">
        <f>IFERROR(Feed!I154*Feed!R89,0)</f>
        <v>0</v>
      </c>
      <c r="BP17" s="553">
        <f>IFERROR(Feed!J154*Feed!AA89,0)</f>
        <v>0</v>
      </c>
      <c r="BQ17" s="243">
        <f>VLOOKUP(INPUTS!$D$95,'Crop parameters'!$A$2:$Z$43,4,FALSE)*1000</f>
        <v>0</v>
      </c>
      <c r="BR17" s="475">
        <f>INPUTS!$E$110</f>
        <v>0.9</v>
      </c>
      <c r="BS17" s="243">
        <f>VLOOKUP(INPUTS!$D$95,'Crop parameters'!$A$2:$Z$43,8,FALSE)*1000</f>
        <v>0</v>
      </c>
      <c r="BT17" s="475">
        <f>IF(INPUTS!$E$95="Residue",INPUTS!$F$110,0)</f>
        <v>0</v>
      </c>
      <c r="BU17" s="475">
        <f>IFERROR(IF(INPUTS!$E$95="Main",BN17/(BQ17*BR17),BN17/(BS17*BT17)),0)</f>
        <v>0</v>
      </c>
      <c r="BV17" s="475">
        <f>IFERROR(IF(INPUTS!$E$95="Main",BO17/(BQ17*BR17),BO17/(BS17*BT17)),0)</f>
        <v>0</v>
      </c>
      <c r="BW17" s="475">
        <f>IFERROR(IF(INPUTS!$E$95="Main",BP17/(BQ17*BR17),BP17/(BS17*BT17)),0)</f>
        <v>0</v>
      </c>
      <c r="BX17" s="805">
        <f t="shared" si="8"/>
        <v>0</v>
      </c>
      <c r="BY17" s="821">
        <f t="shared" si="9"/>
        <v>0</v>
      </c>
      <c r="BZ17" s="821">
        <f t="shared" si="31"/>
        <v>0</v>
      </c>
      <c r="CA17" s="805">
        <f t="shared" si="32"/>
        <v>0</v>
      </c>
      <c r="CB17" s="805">
        <f t="shared" si="33"/>
        <v>0</v>
      </c>
      <c r="CC17" s="805">
        <f t="shared" si="34"/>
        <v>0</v>
      </c>
      <c r="CD17" s="1115">
        <f>IFERROR(Feed!H154*Feed!J89,0)</f>
        <v>0</v>
      </c>
      <c r="CE17" s="553">
        <f>IFERROR(Feed!I154*Feed!S89,0)</f>
        <v>0</v>
      </c>
      <c r="CF17" s="553">
        <f>IFERROR(Feed!J154*Feed!AB89,0)</f>
        <v>0</v>
      </c>
      <c r="CG17" s="243">
        <f>VLOOKUP(INPUTS!$D$96,'Crop parameters'!$A$2:$Z$43,4,FALSE)*1000</f>
        <v>0</v>
      </c>
      <c r="CH17" s="475">
        <f>INPUTS!$E$111</f>
        <v>0.9</v>
      </c>
      <c r="CI17" s="243">
        <f>VLOOKUP(INPUTS!$D$96,'Crop parameters'!$A$2:$Z$43,8,FALSE)*1000</f>
        <v>0</v>
      </c>
      <c r="CJ17" s="475">
        <f>IF(INPUTS!$E$96="Residue",INPUTS!$F$111,0)</f>
        <v>0</v>
      </c>
      <c r="CK17" s="475">
        <f>IFERROR(IF(INPUTS!$E$96="Main",CD17/(CG17*CH17),CD17/(CI17*CJ17)),0)</f>
        <v>0</v>
      </c>
      <c r="CL17" s="475">
        <f>IFERROR(IF(INPUTS!$E$96="Main",CE17/(CG17*CH17),CE17/(CI17*CJ17)),0)</f>
        <v>0</v>
      </c>
      <c r="CM17" s="475">
        <f>IFERROR(IF(INPUTS!$E$96="Main",CF17/(CG17*CH17),CF17/(CI17*CJ17)),0)</f>
        <v>0</v>
      </c>
      <c r="CN17" s="805">
        <f t="shared" si="10"/>
        <v>0</v>
      </c>
      <c r="CO17" s="821">
        <f t="shared" si="11"/>
        <v>0</v>
      </c>
      <c r="CP17" s="821">
        <f t="shared" si="35"/>
        <v>0</v>
      </c>
      <c r="CQ17" s="805">
        <f t="shared" si="36"/>
        <v>0</v>
      </c>
      <c r="CR17" s="805">
        <f t="shared" si="37"/>
        <v>0</v>
      </c>
      <c r="CS17" s="805">
        <f t="shared" si="38"/>
        <v>0</v>
      </c>
      <c r="CT17" s="1115">
        <f>IFERROR(Feed!H154*Feed!K89,0)</f>
        <v>0</v>
      </c>
      <c r="CU17" s="553">
        <f>IFERROR(Feed!I154*Feed!T89,0)</f>
        <v>0</v>
      </c>
      <c r="CV17" s="553">
        <f>IFERROR(Feed!J154*Feed!AC89,0)</f>
        <v>0</v>
      </c>
      <c r="CW17" s="243">
        <f>VLOOKUP(INPUTS!$D$97,'Crop parameters'!$A$2:$Z$43,4,FALSE)*1000</f>
        <v>0</v>
      </c>
      <c r="CX17" s="475">
        <f>INPUTS!$E$112</f>
        <v>0</v>
      </c>
      <c r="CY17" s="243">
        <f>VLOOKUP(INPUTS!$D$97,'Crop parameters'!$A$2:$Z$43,8,FALSE)*1000</f>
        <v>0</v>
      </c>
      <c r="CZ17" s="475">
        <f>IF(INPUTS!$E$97="Residue",INPUTS!$F$112,0)</f>
        <v>0</v>
      </c>
      <c r="DA17" s="475">
        <f>IFERROR(IF(INPUTS!$E$97="Main",CT17/(CW17*CX17),CT17/(CY17*CZ17)),0)</f>
        <v>0</v>
      </c>
      <c r="DB17" s="475">
        <f>IFERROR(IF(INPUTS!$E$97="Main",CU17/(CW17*CX17),CU17/(CY17*CZ17)),0)</f>
        <v>0</v>
      </c>
      <c r="DC17" s="475">
        <f>IFERROR(IF(INPUTS!$E$97="Main",CV17/(CW17*CX17),CV17/(CY17*CZ17)),0)</f>
        <v>0</v>
      </c>
      <c r="DD17" s="805">
        <f t="shared" si="12"/>
        <v>0</v>
      </c>
      <c r="DE17" s="821">
        <f t="shared" si="13"/>
        <v>0</v>
      </c>
      <c r="DF17" s="821">
        <f t="shared" si="39"/>
        <v>0</v>
      </c>
      <c r="DG17" s="805">
        <f t="shared" si="40"/>
        <v>0</v>
      </c>
      <c r="DH17" s="805">
        <f t="shared" si="41"/>
        <v>0</v>
      </c>
      <c r="DI17" s="475">
        <f t="shared" si="42"/>
        <v>0</v>
      </c>
      <c r="DJ17" s="715">
        <f t="shared" si="43"/>
        <v>0</v>
      </c>
      <c r="DK17" s="715">
        <f t="shared" si="14"/>
        <v>0</v>
      </c>
      <c r="DL17" s="715">
        <f t="shared" si="14"/>
        <v>0</v>
      </c>
    </row>
    <row r="18" spans="1:119">
      <c r="A18" s="543">
        <f>'Livestock parameters'!A14</f>
        <v>0</v>
      </c>
      <c r="B18" s="807">
        <f>IFERROR(Feed!H155*Feed!E96,0)</f>
        <v>0</v>
      </c>
      <c r="C18" s="1115">
        <f>IFERROR(Feed!I155*Feed!N96,0)</f>
        <v>0</v>
      </c>
      <c r="D18" s="1115">
        <f>IFERROR(Feed!J155*Feed!W96,0)</f>
        <v>0</v>
      </c>
      <c r="E18" s="243">
        <f>VLOOKUP(INPUTS!$D$91,'Crop parameters'!$A$2:$Z$43,4,FALSE)*1000</f>
        <v>0</v>
      </c>
      <c r="F18" s="475">
        <f>INPUTS!$E$106</f>
        <v>0</v>
      </c>
      <c r="G18" s="243">
        <f>VLOOKUP(INPUTS!$D$91,'Crop parameters'!$A$2:$Z$43,8,FALSE)*1000</f>
        <v>0</v>
      </c>
      <c r="H18" s="475">
        <f>IF(INPUTS!$E$91="Residue",INPUTS!$F$106,0)</f>
        <v>0</v>
      </c>
      <c r="I18" s="475">
        <f>IFERROR(IF(INPUTS!$E$91="Main",B18/(E18*F18),B18/(G18*H18)),0)</f>
        <v>0</v>
      </c>
      <c r="J18" s="475">
        <f>IFERROR(IF(INPUTS!$E$91="Main",C18/(E18*F18),C18/(G18*H18)),0)</f>
        <v>0</v>
      </c>
      <c r="K18" s="475">
        <f>IFERROR(IF(INPUTS!$E$91="Main",D18/(E18*F18),D18/(G18*H18)),0)</f>
        <v>0</v>
      </c>
      <c r="L18" s="805">
        <f t="shared" si="0"/>
        <v>0</v>
      </c>
      <c r="M18" s="821">
        <f t="shared" si="1"/>
        <v>0</v>
      </c>
      <c r="N18" s="821">
        <f t="shared" si="15"/>
        <v>0</v>
      </c>
      <c r="O18" s="805">
        <f t="shared" si="16"/>
        <v>0</v>
      </c>
      <c r="P18" s="805">
        <f t="shared" si="17"/>
        <v>0</v>
      </c>
      <c r="Q18" s="805">
        <f t="shared" si="18"/>
        <v>0</v>
      </c>
      <c r="R18" s="713">
        <f>IFERROR(Feed!H155*Feed!F96,0)</f>
        <v>0</v>
      </c>
      <c r="S18" s="553">
        <f>IFERROR(Feed!I155*Feed!O96,0)</f>
        <v>0</v>
      </c>
      <c r="T18" s="1115">
        <f>IFERROR(Feed!Z155*Feed!X96,0)</f>
        <v>0</v>
      </c>
      <c r="U18" s="243">
        <f>VLOOKUP(INPUTS!$D$92,'Crop parameters'!$A$2:$Z$43,4,FALSE)*1000</f>
        <v>13049.999999999998</v>
      </c>
      <c r="V18" s="475">
        <f>INPUTS!$E$107</f>
        <v>0.9</v>
      </c>
      <c r="W18" s="243">
        <f>VLOOKUP(INPUTS!$D$92,'Crop parameters'!$A$2:$Z$43,8,FALSE)*1000</f>
        <v>4999.9999999999982</v>
      </c>
      <c r="X18" s="475">
        <f>IF(INPUTS!$E$92="Residue",INPUTS!$F$107,0)</f>
        <v>0</v>
      </c>
      <c r="Y18" s="475">
        <f>IFERROR(IF(INPUTS!$E$92="Main",R18/(U18*V18),R18/(W18*X18)),0)</f>
        <v>0</v>
      </c>
      <c r="Z18" s="475">
        <f>IFERROR(IF(INPUTS!$E$92="Main",S18/(U18*V18),S18/(W18*X18)),0)</f>
        <v>0</v>
      </c>
      <c r="AA18" s="475">
        <f>IFERROR(IF(INPUTS!$E$92="Main",T18/(U18*V18),T18/(W18*X18)),0)</f>
        <v>0</v>
      </c>
      <c r="AB18" s="805">
        <f t="shared" si="2"/>
        <v>0</v>
      </c>
      <c r="AC18" s="821">
        <f t="shared" si="3"/>
        <v>0</v>
      </c>
      <c r="AD18" s="821">
        <f t="shared" si="19"/>
        <v>0</v>
      </c>
      <c r="AE18" s="805">
        <f t="shared" si="20"/>
        <v>0</v>
      </c>
      <c r="AF18" s="805">
        <f t="shared" si="21"/>
        <v>0</v>
      </c>
      <c r="AG18" s="805">
        <f t="shared" si="22"/>
        <v>0</v>
      </c>
      <c r="AH18" s="713">
        <f>IFERROR(Feed!H155*Feed!G96,0)</f>
        <v>0</v>
      </c>
      <c r="AI18" s="553">
        <f>IFERROR(Feed!I155*Feed!P96,0)</f>
        <v>0</v>
      </c>
      <c r="AJ18" s="1115">
        <f>IFERROR(Feed!J155*Feed!Y96,0)</f>
        <v>0</v>
      </c>
      <c r="AK18" s="243">
        <f>VLOOKUP(INPUTS!$D$93,'Crop parameters'!$A$2:$Z$43,4,FALSE)*1000</f>
        <v>1299</v>
      </c>
      <c r="AL18" s="475">
        <f>INPUTS!$E$108</f>
        <v>0.4</v>
      </c>
      <c r="AM18" s="243">
        <f>VLOOKUP(INPUTS!$D$93,'Crop parameters'!$A$2:$Z$43,8,FALSE)*1000</f>
        <v>3582.4421538461534</v>
      </c>
      <c r="AN18" s="475">
        <f>IF(INPUTS!$E$93="Residue",INPUTS!$F$108,0)</f>
        <v>0.6</v>
      </c>
      <c r="AO18" s="475">
        <f>IFERROR(IF(INPUTS!$E$93="Main",AH18/(AK18*AL18),AH18/(AM18*AN18)),0)</f>
        <v>0</v>
      </c>
      <c r="AP18" s="475">
        <f>IFERROR(IF(INPUTS!$E$93="Main",AI18/(AK18*AL18),AI18/(AM18*AN18)),0)</f>
        <v>0</v>
      </c>
      <c r="AQ18" s="475">
        <f>IFERROR(IF(INPUTS!$E$93="Main",AJ18/(AK18*AL18),AJ18/(AM18*AN18)),0)</f>
        <v>0</v>
      </c>
      <c r="AR18" s="805">
        <f t="shared" si="4"/>
        <v>0</v>
      </c>
      <c r="AS18" s="821">
        <f t="shared" si="5"/>
        <v>0</v>
      </c>
      <c r="AT18" s="821">
        <f t="shared" si="23"/>
        <v>0</v>
      </c>
      <c r="AU18" s="805">
        <f t="shared" si="24"/>
        <v>0</v>
      </c>
      <c r="AV18" s="805">
        <f t="shared" si="25"/>
        <v>0</v>
      </c>
      <c r="AW18" s="805">
        <f t="shared" si="26"/>
        <v>0</v>
      </c>
      <c r="AX18" s="807">
        <f>IFERROR(Feed!H155*Feed!H96,0)</f>
        <v>0</v>
      </c>
      <c r="AY18" s="553">
        <f>IFERROR(Feed!I155*Feed!Q96,0)</f>
        <v>0</v>
      </c>
      <c r="AZ18" s="553">
        <f>IFERROR(Feed!J155*Feed!Z96,0)</f>
        <v>0</v>
      </c>
      <c r="BA18" s="243">
        <f>VLOOKUP(INPUTS!$D$94,'Crop parameters'!$A$2:$Z$43,4,FALSE)*1000</f>
        <v>0</v>
      </c>
      <c r="BB18" s="475">
        <f>INPUTS!$E$109</f>
        <v>0.9</v>
      </c>
      <c r="BC18" s="243">
        <f>VLOOKUP(INPUTS!$D$94,'Crop parameters'!$A$2:$Z$43,8,FALSE)*1000</f>
        <v>0</v>
      </c>
      <c r="BD18" s="475">
        <f>IF(INPUTS!$E$94="Residue",INPUTS!$F$109,0)</f>
        <v>0</v>
      </c>
      <c r="BE18" s="475">
        <f>IFERROR(IF(INPUTS!$E$94="Main",AX18/(BA18*BB18),AX18/(BC18*BD18)),0)</f>
        <v>0</v>
      </c>
      <c r="BF18" s="475">
        <f>IFERROR(IF(INPUTS!$E$94="Main",AY18/(BA18*BB18),AY18/(BC18*BD18)),0)</f>
        <v>0</v>
      </c>
      <c r="BG18" s="475">
        <f>IFERROR(IF(INPUTS!$E$94="Main",AZ18/(BA18*BB18),AZ18/(BC18*BD18)),0)</f>
        <v>0</v>
      </c>
      <c r="BH18" s="805">
        <f t="shared" si="6"/>
        <v>0</v>
      </c>
      <c r="BI18" s="821">
        <f t="shared" si="7"/>
        <v>0</v>
      </c>
      <c r="BJ18" s="821">
        <f t="shared" si="27"/>
        <v>0</v>
      </c>
      <c r="BK18" s="805">
        <f t="shared" si="28"/>
        <v>0</v>
      </c>
      <c r="BL18" s="805">
        <f t="shared" si="29"/>
        <v>0</v>
      </c>
      <c r="BM18" s="805">
        <f t="shared" si="30"/>
        <v>0</v>
      </c>
      <c r="BN18" s="1115">
        <f>IFERROR(Feed!H155*Feed!I96,0)</f>
        <v>0</v>
      </c>
      <c r="BO18" s="553">
        <f>IFERROR(Feed!I155*Feed!R96,0)</f>
        <v>0</v>
      </c>
      <c r="BP18" s="553">
        <f>IFERROR(Feed!J155*Feed!AA96,0)</f>
        <v>0</v>
      </c>
      <c r="BQ18" s="243">
        <f>VLOOKUP(INPUTS!$D$95,'Crop parameters'!$A$2:$Z$43,4,FALSE)*1000</f>
        <v>0</v>
      </c>
      <c r="BR18" s="475">
        <f>INPUTS!$E$110</f>
        <v>0.9</v>
      </c>
      <c r="BS18" s="243">
        <f>VLOOKUP(INPUTS!$D$95,'Crop parameters'!$A$2:$Z$43,8,FALSE)*1000</f>
        <v>0</v>
      </c>
      <c r="BT18" s="475">
        <f>IF(INPUTS!$E$95="Residue",INPUTS!$F$110,0)</f>
        <v>0</v>
      </c>
      <c r="BU18" s="475">
        <f>IFERROR(IF(INPUTS!$E$95="Main",BN18/(BQ18*BR18),BN18/(BS18*BT18)),0)</f>
        <v>0</v>
      </c>
      <c r="BV18" s="475">
        <f>IFERROR(IF(INPUTS!$E$95="Main",BO18/(BQ18*BR18),BO18/(BS18*BT18)),0)</f>
        <v>0</v>
      </c>
      <c r="BW18" s="475">
        <f>IFERROR(IF(INPUTS!$E$95="Main",BP18/(BQ18*BR18),BP18/(BS18*BT18)),0)</f>
        <v>0</v>
      </c>
      <c r="BX18" s="805">
        <f t="shared" si="8"/>
        <v>0</v>
      </c>
      <c r="BY18" s="821">
        <f t="shared" si="9"/>
        <v>0</v>
      </c>
      <c r="BZ18" s="821">
        <f t="shared" si="31"/>
        <v>0</v>
      </c>
      <c r="CA18" s="805">
        <f t="shared" si="32"/>
        <v>0</v>
      </c>
      <c r="CB18" s="805">
        <f t="shared" si="33"/>
        <v>0</v>
      </c>
      <c r="CC18" s="805">
        <f t="shared" si="34"/>
        <v>0</v>
      </c>
      <c r="CD18" s="1115">
        <f>IFERROR(Feed!H155*Feed!J96,0)</f>
        <v>0</v>
      </c>
      <c r="CE18" s="553">
        <f>IFERROR(Feed!I155*Feed!S96,0)</f>
        <v>0</v>
      </c>
      <c r="CF18" s="553">
        <f>IFERROR(Feed!J155*Feed!AB96,0)</f>
        <v>0</v>
      </c>
      <c r="CG18" s="243">
        <f>VLOOKUP(INPUTS!$D$96,'Crop parameters'!$A$2:$Z$43,4,FALSE)*1000</f>
        <v>0</v>
      </c>
      <c r="CH18" s="475">
        <f>INPUTS!$E$111</f>
        <v>0.9</v>
      </c>
      <c r="CI18" s="243">
        <f>VLOOKUP(INPUTS!$D$96,'Crop parameters'!$A$2:$Z$43,8,FALSE)*1000</f>
        <v>0</v>
      </c>
      <c r="CJ18" s="475">
        <f>IF(INPUTS!$E$96="Residue",INPUTS!$F$111,0)</f>
        <v>0</v>
      </c>
      <c r="CK18" s="475">
        <f>IFERROR(IF(INPUTS!$E$96="Main",CD18/(CG18*CH18),CD18/(CI18*CJ18)),0)</f>
        <v>0</v>
      </c>
      <c r="CL18" s="475">
        <f>IFERROR(IF(INPUTS!$E$96="Main",CE18/(CG18*CH18),CE18/(CI18*CJ18)),0)</f>
        <v>0</v>
      </c>
      <c r="CM18" s="475">
        <f>IFERROR(IF(INPUTS!$E$96="Main",CF18/(CG18*CH18),CF18/(CI18*CJ18)),0)</f>
        <v>0</v>
      </c>
      <c r="CN18" s="805">
        <f t="shared" si="10"/>
        <v>0</v>
      </c>
      <c r="CO18" s="821">
        <f t="shared" si="11"/>
        <v>0</v>
      </c>
      <c r="CP18" s="821">
        <f t="shared" si="35"/>
        <v>0</v>
      </c>
      <c r="CQ18" s="805">
        <f t="shared" si="36"/>
        <v>0</v>
      </c>
      <c r="CR18" s="805">
        <f t="shared" si="37"/>
        <v>0</v>
      </c>
      <c r="CS18" s="805">
        <f t="shared" si="38"/>
        <v>0</v>
      </c>
      <c r="CT18" s="1115">
        <f>IFERROR(Feed!H155*Feed!K96,0)</f>
        <v>0</v>
      </c>
      <c r="CU18" s="553">
        <f>IFERROR(Feed!I155*Feed!T96,0)</f>
        <v>0</v>
      </c>
      <c r="CV18" s="553">
        <f>IFERROR(Feed!J155*Feed!AC96,0)</f>
        <v>0</v>
      </c>
      <c r="CW18" s="243">
        <f>VLOOKUP(INPUTS!$D$97,'Crop parameters'!$A$2:$Z$43,4,FALSE)*1000</f>
        <v>0</v>
      </c>
      <c r="CX18" s="475">
        <f>INPUTS!$E$112</f>
        <v>0</v>
      </c>
      <c r="CY18" s="243">
        <f>VLOOKUP(INPUTS!$D$97,'Crop parameters'!$A$2:$Z$43,8,FALSE)*1000</f>
        <v>0</v>
      </c>
      <c r="CZ18" s="475">
        <f>IF(INPUTS!$E$97="Residue",INPUTS!$F$112,0)</f>
        <v>0</v>
      </c>
      <c r="DA18" s="475">
        <f>IFERROR(IF(INPUTS!$E$97="Main",CT18/(CW18*CX18),CT18/(CY18*CZ18)),0)</f>
        <v>0</v>
      </c>
      <c r="DB18" s="475">
        <f>IFERROR(IF(INPUTS!$E$97="Main",CU18/(CW18*CX18),CU18/(CY18*CZ18)),0)</f>
        <v>0</v>
      </c>
      <c r="DC18" s="475">
        <f>IFERROR(IF(INPUTS!$E$97="Main",CV18/(CW18*CX18),CV18/(CY18*CZ18)),0)</f>
        <v>0</v>
      </c>
      <c r="DD18" s="805">
        <f t="shared" si="12"/>
        <v>0</v>
      </c>
      <c r="DE18" s="821">
        <f t="shared" si="13"/>
        <v>0</v>
      </c>
      <c r="DF18" s="821">
        <f t="shared" si="39"/>
        <v>0</v>
      </c>
      <c r="DG18" s="805">
        <f t="shared" si="40"/>
        <v>0</v>
      </c>
      <c r="DH18" s="805">
        <f t="shared" si="41"/>
        <v>0</v>
      </c>
      <c r="DI18" s="475">
        <f t="shared" si="42"/>
        <v>0</v>
      </c>
      <c r="DJ18" s="715">
        <f t="shared" si="43"/>
        <v>0</v>
      </c>
      <c r="DK18" s="715">
        <f t="shared" si="14"/>
        <v>0</v>
      </c>
      <c r="DL18" s="715">
        <f t="shared" si="14"/>
        <v>0</v>
      </c>
    </row>
    <row r="19" spans="1:119">
      <c r="A19" s="543">
        <f>'Livestock parameters'!A15</f>
        <v>0</v>
      </c>
      <c r="B19" s="713">
        <f>IFERROR(Feed!H156*Feed!E103,0)</f>
        <v>0</v>
      </c>
      <c r="C19" s="713">
        <f>IFERROR(Feed!I156*Feed!N103,0)</f>
        <v>0</v>
      </c>
      <c r="D19" s="713">
        <f>IFERROR(Feed!J156*Feed!W103,0)</f>
        <v>0</v>
      </c>
      <c r="E19" s="243">
        <f>VLOOKUP(INPUTS!$D$91,'Crop parameters'!$A$2:$Z$43,4,FALSE)*1000</f>
        <v>0</v>
      </c>
      <c r="F19" s="475">
        <f>INPUTS!$E$106</f>
        <v>0</v>
      </c>
      <c r="G19" s="243">
        <f>VLOOKUP(INPUTS!$D$91,'Crop parameters'!$A$2:$Z$43,8,FALSE)*1000</f>
        <v>0</v>
      </c>
      <c r="H19" s="475">
        <f>IF(INPUTS!$E$91="Residue",INPUTS!$F$106,0)</f>
        <v>0</v>
      </c>
      <c r="I19" s="475">
        <f>IFERROR(IF(INPUTS!$E$91="Main",B19/(E19*F19),B19/(G19*H19)),0)</f>
        <v>0</v>
      </c>
      <c r="J19" s="475">
        <f>IFERROR(IF(INPUTS!$E$91="Main",C19/(E19*F19),C19/(G19*H19)),0)</f>
        <v>0</v>
      </c>
      <c r="K19" s="475">
        <f>IFERROR(IF(INPUTS!$E$91="Main",D19/(E19*F19),D19/(G19*H19)),0)</f>
        <v>0</v>
      </c>
      <c r="L19" s="805">
        <f t="shared" si="0"/>
        <v>0</v>
      </c>
      <c r="M19" s="821">
        <f t="shared" si="1"/>
        <v>0</v>
      </c>
      <c r="N19" s="821">
        <f t="shared" si="15"/>
        <v>0</v>
      </c>
      <c r="O19" s="805">
        <f t="shared" si="16"/>
        <v>0</v>
      </c>
      <c r="P19" s="805">
        <f t="shared" si="17"/>
        <v>0</v>
      </c>
      <c r="Q19" s="805">
        <f t="shared" si="18"/>
        <v>0</v>
      </c>
      <c r="R19" s="713">
        <f>IFERROR(Feed!H156*Feed!F103,0)</f>
        <v>0</v>
      </c>
      <c r="S19" s="553">
        <f>IFERROR(Feed!I156*Feed!O103,0)</f>
        <v>0</v>
      </c>
      <c r="T19" s="713">
        <f>IFERROR(Feed!Z156*Feed!X103,0)</f>
        <v>0</v>
      </c>
      <c r="U19" s="243">
        <f>VLOOKUP(INPUTS!$D$92,'Crop parameters'!$A$2:$Z$43,4,FALSE)*1000</f>
        <v>13049.999999999998</v>
      </c>
      <c r="V19" s="475">
        <f>INPUTS!$E$107</f>
        <v>0.9</v>
      </c>
      <c r="W19" s="243">
        <f>VLOOKUP(INPUTS!$D$92,'Crop parameters'!$A$2:$Z$43,8,FALSE)*1000</f>
        <v>4999.9999999999982</v>
      </c>
      <c r="X19" s="475">
        <f>IF(INPUTS!$E$92="Residue",INPUTS!$F$107,0)</f>
        <v>0</v>
      </c>
      <c r="Y19" s="475">
        <f>IFERROR(IF(INPUTS!$E$92="Main",R19/(U19*V19),R19/(W19*X19)),0)</f>
        <v>0</v>
      </c>
      <c r="Z19" s="475">
        <f>IFERROR(IF(INPUTS!$E$92="Main",S19/(U19*V19),S19/(W19*X19)),0)</f>
        <v>0</v>
      </c>
      <c r="AA19" s="475">
        <f>IFERROR(IF(INPUTS!$E$92="Main",T19/(U19*V19),T19/(W19*X19)),0)</f>
        <v>0</v>
      </c>
      <c r="AB19" s="805">
        <f t="shared" si="2"/>
        <v>0</v>
      </c>
      <c r="AC19" s="821">
        <f t="shared" si="3"/>
        <v>0</v>
      </c>
      <c r="AD19" s="821">
        <f t="shared" si="19"/>
        <v>0</v>
      </c>
      <c r="AE19" s="805">
        <f t="shared" si="20"/>
        <v>0</v>
      </c>
      <c r="AF19" s="805">
        <f t="shared" si="21"/>
        <v>0</v>
      </c>
      <c r="AG19" s="805">
        <f t="shared" si="22"/>
        <v>0</v>
      </c>
      <c r="AH19" s="713">
        <f>IFERROR(Feed!H156*Feed!G103,0)</f>
        <v>0</v>
      </c>
      <c r="AI19" s="553">
        <f>IFERROR(Feed!I156*Feed!P103,0)</f>
        <v>0</v>
      </c>
      <c r="AJ19" s="713">
        <f>IFERROR(Feed!J156*Feed!Y103,0)</f>
        <v>0</v>
      </c>
      <c r="AK19" s="243">
        <f>VLOOKUP(INPUTS!$D$93,'Crop parameters'!$A$2:$Z$43,4,FALSE)*1000</f>
        <v>1299</v>
      </c>
      <c r="AL19" s="475">
        <f>INPUTS!$E$108</f>
        <v>0.4</v>
      </c>
      <c r="AM19" s="243">
        <f>VLOOKUP(INPUTS!$D$93,'Crop parameters'!$A$2:$Z$43,8,FALSE)*1000</f>
        <v>3582.4421538461534</v>
      </c>
      <c r="AN19" s="475">
        <f>IF(INPUTS!$E$93="Residue",INPUTS!$F$108,0)</f>
        <v>0.6</v>
      </c>
      <c r="AO19" s="475">
        <f>IFERROR(IF(INPUTS!$E$93="Main",AH19/(AK19*AL19),AH19/(AM19*AN19)),0)</f>
        <v>0</v>
      </c>
      <c r="AP19" s="475">
        <f>IFERROR(IF(INPUTS!$E$93="Main",AI19/(AK19*AL19),AI19/(AM19*AN19)),0)</f>
        <v>0</v>
      </c>
      <c r="AQ19" s="475">
        <f>IFERROR(IF(INPUTS!$E$93="Main",AJ19/(AK19*AL19),AJ19/(AM19*AN19)),0)</f>
        <v>0</v>
      </c>
      <c r="AR19" s="805">
        <f t="shared" si="4"/>
        <v>0</v>
      </c>
      <c r="AS19" s="821">
        <f t="shared" si="5"/>
        <v>0</v>
      </c>
      <c r="AT19" s="821">
        <f t="shared" si="23"/>
        <v>0</v>
      </c>
      <c r="AU19" s="805">
        <f t="shared" si="24"/>
        <v>0</v>
      </c>
      <c r="AV19" s="805">
        <f t="shared" si="25"/>
        <v>0</v>
      </c>
      <c r="AW19" s="805">
        <f t="shared" si="26"/>
        <v>0</v>
      </c>
      <c r="AX19" s="807">
        <f>IFERROR(Feed!H156*Feed!H103,0)</f>
        <v>0</v>
      </c>
      <c r="AY19" s="553">
        <f>IFERROR(Feed!I156*Feed!Q103,0)</f>
        <v>0</v>
      </c>
      <c r="AZ19" s="553">
        <f>IFERROR(Feed!J156*Feed!Z103,0)</f>
        <v>0</v>
      </c>
      <c r="BA19" s="243">
        <f>VLOOKUP(INPUTS!$D$94,'Crop parameters'!$A$2:$Z$43,4,FALSE)*1000</f>
        <v>0</v>
      </c>
      <c r="BB19" s="475">
        <f>INPUTS!$E$109</f>
        <v>0.9</v>
      </c>
      <c r="BC19" s="243">
        <f>VLOOKUP(INPUTS!$D$94,'Crop parameters'!$A$2:$Z$43,8,FALSE)*1000</f>
        <v>0</v>
      </c>
      <c r="BD19" s="475">
        <f>IF(INPUTS!$E$94="Residue",INPUTS!$F$109,0)</f>
        <v>0</v>
      </c>
      <c r="BE19" s="475">
        <f>IFERROR(IF(INPUTS!$E$94="Main",AX19/(BA19*BB19),AX19/(BC19*BD19)),0)</f>
        <v>0</v>
      </c>
      <c r="BF19" s="475">
        <f>IFERROR(IF(INPUTS!$E$94="Main",AY19/(BA19*BB19),AY19/(BC19*BD19)),0)</f>
        <v>0</v>
      </c>
      <c r="BG19" s="475">
        <f>IFERROR(IF(INPUTS!$E$94="Main",AZ19/(BA19*BB19),AZ19/(BC19*BD19)),0)</f>
        <v>0</v>
      </c>
      <c r="BH19" s="805">
        <f t="shared" si="6"/>
        <v>0</v>
      </c>
      <c r="BI19" s="821">
        <f t="shared" si="7"/>
        <v>0</v>
      </c>
      <c r="BJ19" s="821">
        <f t="shared" si="27"/>
        <v>0</v>
      </c>
      <c r="BK19" s="805">
        <f t="shared" si="28"/>
        <v>0</v>
      </c>
      <c r="BL19" s="805">
        <f t="shared" si="29"/>
        <v>0</v>
      </c>
      <c r="BM19" s="805">
        <f t="shared" si="30"/>
        <v>0</v>
      </c>
      <c r="BN19" s="1115">
        <f>IFERROR(Feed!H156*Feed!I103,0)</f>
        <v>0</v>
      </c>
      <c r="BO19" s="553">
        <f>IFERROR(Feed!I156*Feed!R103,0)</f>
        <v>0</v>
      </c>
      <c r="BP19" s="553">
        <f>IFERROR(Feed!J156*Feed!AA103,0)</f>
        <v>0</v>
      </c>
      <c r="BQ19" s="243">
        <f>VLOOKUP(INPUTS!$D$95,'Crop parameters'!$A$2:$Z$43,4,FALSE)*1000</f>
        <v>0</v>
      </c>
      <c r="BR19" s="475">
        <f>INPUTS!$E$110</f>
        <v>0.9</v>
      </c>
      <c r="BS19" s="243">
        <f>VLOOKUP(INPUTS!$D$95,'Crop parameters'!$A$2:$Z$43,8,FALSE)*1000</f>
        <v>0</v>
      </c>
      <c r="BT19" s="475">
        <f>IF(INPUTS!$E$95="Residue",INPUTS!$F$110,0)</f>
        <v>0</v>
      </c>
      <c r="BU19" s="475">
        <f>IFERROR(IF(INPUTS!$E$95="Main",BN19/(BQ19*BR19),BN19/(BS19*BT19)),0)</f>
        <v>0</v>
      </c>
      <c r="BV19" s="475">
        <f>IFERROR(IF(INPUTS!$E$95="Main",BO19/(BQ19*BR19),BO19/(BS19*BT19)),0)</f>
        <v>0</v>
      </c>
      <c r="BW19" s="475">
        <f>IFERROR(IF(INPUTS!$E$95="Main",BP19/(BQ19*BR19),BP19/(BS19*BT19)),0)</f>
        <v>0</v>
      </c>
      <c r="BX19" s="805">
        <f t="shared" si="8"/>
        <v>0</v>
      </c>
      <c r="BY19" s="821">
        <f t="shared" si="9"/>
        <v>0</v>
      </c>
      <c r="BZ19" s="821">
        <f t="shared" si="31"/>
        <v>0</v>
      </c>
      <c r="CA19" s="805">
        <f t="shared" si="32"/>
        <v>0</v>
      </c>
      <c r="CB19" s="805">
        <f t="shared" si="33"/>
        <v>0</v>
      </c>
      <c r="CC19" s="805">
        <f t="shared" si="34"/>
        <v>0</v>
      </c>
      <c r="CD19" s="1115">
        <f>IFERROR(Feed!H156*Feed!J103,0)</f>
        <v>0</v>
      </c>
      <c r="CE19" s="553">
        <f>IFERROR(Feed!I156*Feed!S103,0)</f>
        <v>0</v>
      </c>
      <c r="CF19" s="553">
        <f>IFERROR(Feed!J156*Feed!AB103,0)</f>
        <v>0</v>
      </c>
      <c r="CG19" s="243">
        <f>VLOOKUP(INPUTS!$D$96,'Crop parameters'!$A$2:$Z$43,4,FALSE)*1000</f>
        <v>0</v>
      </c>
      <c r="CH19" s="475">
        <f>INPUTS!$E$111</f>
        <v>0.9</v>
      </c>
      <c r="CI19" s="243">
        <f>VLOOKUP(INPUTS!$D$96,'Crop parameters'!$A$2:$Z$43,8,FALSE)*1000</f>
        <v>0</v>
      </c>
      <c r="CJ19" s="475">
        <f>IF(INPUTS!$E$96="Residue",INPUTS!$F$111,0)</f>
        <v>0</v>
      </c>
      <c r="CK19" s="475">
        <f>IFERROR(IF(INPUTS!$E$96="Main",CD19/(CG19*CH19),CD19/(CI19*CJ19)),0)</f>
        <v>0</v>
      </c>
      <c r="CL19" s="475">
        <f>IFERROR(IF(INPUTS!$E$96="Main",CE19/(CG19*CH19),CE19/(CI19*CJ19)),0)</f>
        <v>0</v>
      </c>
      <c r="CM19" s="475">
        <f>IFERROR(IF(INPUTS!$E$96="Main",CF19/(CG19*CH19),CF19/(CI19*CJ19)),0)</f>
        <v>0</v>
      </c>
      <c r="CN19" s="805">
        <f t="shared" si="10"/>
        <v>0</v>
      </c>
      <c r="CO19" s="821">
        <f t="shared" si="11"/>
        <v>0</v>
      </c>
      <c r="CP19" s="821">
        <f t="shared" si="35"/>
        <v>0</v>
      </c>
      <c r="CQ19" s="805">
        <f t="shared" si="36"/>
        <v>0</v>
      </c>
      <c r="CR19" s="805">
        <f t="shared" si="37"/>
        <v>0</v>
      </c>
      <c r="CS19" s="805">
        <f t="shared" si="38"/>
        <v>0</v>
      </c>
      <c r="CT19" s="1115">
        <f>IFERROR(Feed!H156*Feed!K103,0)</f>
        <v>0</v>
      </c>
      <c r="CU19" s="553">
        <f>IFERROR(Feed!I156*Feed!T103,0)</f>
        <v>0</v>
      </c>
      <c r="CV19" s="553">
        <f>IFERROR(Feed!J156*Feed!AC103,0)</f>
        <v>0</v>
      </c>
      <c r="CW19" s="243">
        <f>VLOOKUP(INPUTS!$D$97,'Crop parameters'!$A$2:$Z$43,4,FALSE)*1000</f>
        <v>0</v>
      </c>
      <c r="CX19" s="475">
        <f>INPUTS!$E$112</f>
        <v>0</v>
      </c>
      <c r="CY19" s="243">
        <f>VLOOKUP(INPUTS!$D$97,'Crop parameters'!$A$2:$Z$43,8,FALSE)*1000</f>
        <v>0</v>
      </c>
      <c r="CZ19" s="475">
        <f>IF(INPUTS!$E$97="Residue",INPUTS!$F$112,0)</f>
        <v>0</v>
      </c>
      <c r="DA19" s="475">
        <f>IFERROR(IF(INPUTS!$E$97="Main",CT19/(CW19*CX19),CT19/(CY19*CZ19)),0)</f>
        <v>0</v>
      </c>
      <c r="DB19" s="475">
        <f>IFERROR(IF(INPUTS!$E$97="Main",CU19/(CW19*CX19),CU19/(CY19*CZ19)),0)</f>
        <v>0</v>
      </c>
      <c r="DC19" s="475">
        <f>IFERROR(IF(INPUTS!$E$97="Main",CV19/(CW19*CX19),CV19/(CY19*CZ19)),0)</f>
        <v>0</v>
      </c>
      <c r="DD19" s="805">
        <f t="shared" si="12"/>
        <v>0</v>
      </c>
      <c r="DE19" s="821">
        <f t="shared" si="13"/>
        <v>0</v>
      </c>
      <c r="DF19" s="821">
        <f t="shared" si="39"/>
        <v>0</v>
      </c>
      <c r="DG19" s="805">
        <f t="shared" si="40"/>
        <v>0</v>
      </c>
      <c r="DH19" s="805">
        <f t="shared" si="41"/>
        <v>0</v>
      </c>
      <c r="DI19" s="475">
        <f t="shared" si="42"/>
        <v>0</v>
      </c>
      <c r="DJ19" s="715">
        <f t="shared" si="43"/>
        <v>0</v>
      </c>
      <c r="DK19" s="715">
        <f t="shared" si="14"/>
        <v>0</v>
      </c>
      <c r="DL19" s="715">
        <f t="shared" si="14"/>
        <v>0</v>
      </c>
    </row>
    <row r="20" spans="1:119">
      <c r="A20" s="543"/>
      <c r="B20" s="717">
        <f>SUM(B6:B19)</f>
        <v>375.79701041834443</v>
      </c>
      <c r="C20" s="717">
        <f>SUM(C6:C19)</f>
        <v>242.06744364785249</v>
      </c>
      <c r="D20" s="717">
        <f>SUM(D6:D19)</f>
        <v>0</v>
      </c>
      <c r="E20" s="387"/>
      <c r="F20" s="387"/>
      <c r="G20" s="387"/>
      <c r="H20" s="243"/>
      <c r="I20" s="475"/>
      <c r="J20" s="809"/>
      <c r="K20" s="809"/>
      <c r="L20" s="809"/>
      <c r="M20" s="809"/>
      <c r="N20" s="809"/>
      <c r="O20" s="809"/>
      <c r="P20" s="809"/>
      <c r="Q20" s="715"/>
      <c r="R20" s="548">
        <f t="shared" ref="R20:S20" si="44">SUM(R6:R19)</f>
        <v>1261.5088087510026</v>
      </c>
      <c r="S20" s="387">
        <f t="shared" si="44"/>
        <v>812.59351194321334</v>
      </c>
      <c r="T20" s="717">
        <f>SUM(T6:T19)</f>
        <v>0</v>
      </c>
      <c r="U20" s="387"/>
      <c r="V20" s="387"/>
      <c r="W20" s="387"/>
      <c r="X20" s="243"/>
      <c r="Y20" s="475"/>
      <c r="Z20" s="809"/>
      <c r="AA20" s="809"/>
      <c r="AB20" s="809"/>
      <c r="AC20" s="809"/>
      <c r="AD20" s="809"/>
      <c r="AE20" s="809"/>
      <c r="AF20" s="809"/>
      <c r="AG20" s="715"/>
      <c r="AH20" s="548">
        <f t="shared" ref="AH20:AI20" si="45">SUM(AH6:AH19)</f>
        <v>3124.1258132778357</v>
      </c>
      <c r="AI20" s="387">
        <f t="shared" si="45"/>
        <v>2012.3873481924797</v>
      </c>
      <c r="AJ20" s="717">
        <f>SUM(AJ6:AJ19)</f>
        <v>0</v>
      </c>
      <c r="AK20" s="387"/>
      <c r="AL20" s="387"/>
      <c r="AM20" s="387"/>
      <c r="AN20" s="243"/>
      <c r="AO20" s="475"/>
      <c r="AP20" s="809"/>
      <c r="AQ20" s="809"/>
      <c r="AR20" s="809"/>
      <c r="AS20" s="809"/>
      <c r="AT20" s="809"/>
      <c r="AU20" s="809"/>
      <c r="AV20" s="809"/>
      <c r="AW20" s="715"/>
      <c r="AX20" s="548">
        <f t="shared" ref="AX20:AY20" si="46">SUM(AX6:AX19)</f>
        <v>0</v>
      </c>
      <c r="AY20" s="387">
        <f t="shared" si="46"/>
        <v>0</v>
      </c>
      <c r="AZ20" s="717">
        <f>SUM(AZ6:AZ19)</f>
        <v>0</v>
      </c>
      <c r="BA20" s="387"/>
      <c r="BB20" s="387"/>
      <c r="BC20" s="387"/>
      <c r="BD20" s="243"/>
      <c r="BE20" s="475"/>
      <c r="BF20" s="809"/>
      <c r="BG20" s="809"/>
      <c r="BH20" s="809"/>
      <c r="BI20" s="809"/>
      <c r="BJ20" s="809"/>
      <c r="BK20" s="809"/>
      <c r="BL20" s="809"/>
      <c r="BM20" s="715"/>
      <c r="BN20" s="548">
        <f t="shared" ref="BN20:BP20" si="47">SUM(BN6:BN19)</f>
        <v>0</v>
      </c>
      <c r="BO20" s="387">
        <f t="shared" si="47"/>
        <v>0</v>
      </c>
      <c r="BP20" s="387">
        <f t="shared" si="47"/>
        <v>0</v>
      </c>
      <c r="BQ20" s="387"/>
      <c r="BR20" s="387"/>
      <c r="BS20" s="387"/>
      <c r="BT20" s="243"/>
      <c r="BU20" s="475"/>
      <c r="BV20" s="809"/>
      <c r="BW20" s="809"/>
      <c r="BX20" s="809"/>
      <c r="BY20" s="809"/>
      <c r="BZ20" s="809"/>
      <c r="CA20" s="809"/>
      <c r="CB20" s="809"/>
      <c r="CC20" s="715"/>
      <c r="CD20" s="548">
        <f t="shared" ref="CD20:CF20" si="48">SUM(CD6:CD19)</f>
        <v>0</v>
      </c>
      <c r="CE20" s="387">
        <f t="shared" si="48"/>
        <v>0</v>
      </c>
      <c r="CF20" s="387">
        <f t="shared" si="48"/>
        <v>0</v>
      </c>
      <c r="CG20" s="387"/>
      <c r="CH20" s="387"/>
      <c r="CI20" s="387"/>
      <c r="CJ20" s="243"/>
      <c r="CK20" s="475"/>
      <c r="CL20" s="809"/>
      <c r="CM20" s="809"/>
      <c r="CN20" s="809"/>
      <c r="CO20" s="809"/>
      <c r="CP20" s="809"/>
      <c r="CQ20" s="809"/>
      <c r="CR20" s="809"/>
      <c r="CS20" s="715"/>
      <c r="CT20" s="1116">
        <f t="shared" ref="CT20:CV20" si="49">SUM(CT6:CT19)</f>
        <v>0</v>
      </c>
      <c r="CU20" s="387">
        <f t="shared" si="49"/>
        <v>0</v>
      </c>
      <c r="CV20" s="387">
        <f t="shared" si="49"/>
        <v>0</v>
      </c>
      <c r="CW20" s="387"/>
      <c r="CX20" s="387"/>
      <c r="CY20" s="387"/>
      <c r="CZ20" s="243"/>
      <c r="DA20" s="475"/>
      <c r="DB20" s="809"/>
      <c r="DC20" s="809"/>
      <c r="DD20" s="809"/>
      <c r="DE20" s="809"/>
      <c r="DF20" s="809"/>
      <c r="DG20" s="809"/>
      <c r="DH20" s="809"/>
      <c r="DI20" s="715"/>
      <c r="DJ20" s="547"/>
      <c r="DK20" s="547"/>
      <c r="DL20" s="547"/>
    </row>
    <row r="21" spans="1:119" ht="16.5" thickBot="1">
      <c r="A21" s="544"/>
      <c r="B21" s="549"/>
      <c r="C21" s="550"/>
      <c r="D21" s="550"/>
      <c r="E21" s="550"/>
      <c r="F21" s="550"/>
      <c r="G21" s="550"/>
      <c r="H21" s="550"/>
      <c r="I21" s="554">
        <f>SUM(I6:I19)</f>
        <v>0</v>
      </c>
      <c r="J21" s="554">
        <f t="shared" ref="J21:Q21" si="50">SUM(J6:J19)</f>
        <v>0</v>
      </c>
      <c r="K21" s="554">
        <f t="shared" si="50"/>
        <v>0</v>
      </c>
      <c r="L21" s="554">
        <f t="shared" si="50"/>
        <v>0</v>
      </c>
      <c r="M21" s="554">
        <f t="shared" si="50"/>
        <v>0</v>
      </c>
      <c r="N21" s="554">
        <f t="shared" si="50"/>
        <v>0</v>
      </c>
      <c r="O21" s="554">
        <f t="shared" si="50"/>
        <v>0</v>
      </c>
      <c r="P21" s="554">
        <f t="shared" si="50"/>
        <v>0</v>
      </c>
      <c r="Q21" s="554">
        <f t="shared" si="50"/>
        <v>0</v>
      </c>
      <c r="R21" s="549"/>
      <c r="S21" s="550"/>
      <c r="T21" s="550"/>
      <c r="U21" s="550"/>
      <c r="V21" s="550"/>
      <c r="W21" s="550"/>
      <c r="X21" s="550"/>
      <c r="Y21" s="554">
        <f>SUM(Y6:Y19)</f>
        <v>0.10740815740749278</v>
      </c>
      <c r="Z21" s="554">
        <f t="shared" ref="Z21:AG21" si="51">SUM(Z6:Z19)</f>
        <v>6.9186335627348938E-2</v>
      </c>
      <c r="AA21" s="554">
        <f t="shared" si="51"/>
        <v>0</v>
      </c>
      <c r="AB21" s="554">
        <f t="shared" si="51"/>
        <v>0</v>
      </c>
      <c r="AC21" s="554">
        <f t="shared" si="51"/>
        <v>0</v>
      </c>
      <c r="AD21" s="554">
        <f t="shared" si="51"/>
        <v>0</v>
      </c>
      <c r="AE21" s="554">
        <f t="shared" si="51"/>
        <v>0.10740815740749278</v>
      </c>
      <c r="AF21" s="554">
        <f t="shared" si="51"/>
        <v>6.9186335627348938E-2</v>
      </c>
      <c r="AG21" s="554">
        <f t="shared" si="51"/>
        <v>0</v>
      </c>
      <c r="AH21" s="549"/>
      <c r="AI21" s="550"/>
      <c r="AJ21" s="550"/>
      <c r="AK21" s="550"/>
      <c r="AL21" s="550"/>
      <c r="AM21" s="550"/>
      <c r="AN21" s="550"/>
      <c r="AO21" s="554">
        <f>SUM(AO6:AO19)</f>
        <v>1.4534432467731251</v>
      </c>
      <c r="AP21" s="554">
        <f t="shared" ref="AP21:AW21" si="52">SUM(AP6:AP19)</f>
        <v>0.93622695625476071</v>
      </c>
      <c r="AQ21" s="554">
        <f t="shared" si="52"/>
        <v>0</v>
      </c>
      <c r="AR21" s="554">
        <f t="shared" si="52"/>
        <v>0.2829489084436585</v>
      </c>
      <c r="AS21" s="554">
        <f t="shared" si="52"/>
        <v>0.18225988246596023</v>
      </c>
      <c r="AT21" s="554">
        <f t="shared" si="52"/>
        <v>0</v>
      </c>
      <c r="AU21" s="554">
        <f t="shared" si="52"/>
        <v>1.1704943383294664</v>
      </c>
      <c r="AV21" s="554">
        <f t="shared" si="52"/>
        <v>0.75396707378880046</v>
      </c>
      <c r="AW21" s="554">
        <f t="shared" si="52"/>
        <v>0</v>
      </c>
      <c r="AX21" s="806"/>
      <c r="AY21" s="550"/>
      <c r="AZ21" s="550"/>
      <c r="BA21" s="550"/>
      <c r="BB21" s="550"/>
      <c r="BC21" s="550"/>
      <c r="BD21" s="550"/>
      <c r="BE21" s="554">
        <f>SUM(BE6:BE19)</f>
        <v>0</v>
      </c>
      <c r="BF21" s="554">
        <f t="shared" ref="BF21:BM21" si="53">SUM(BF6:BF19)</f>
        <v>0</v>
      </c>
      <c r="BG21" s="554">
        <f t="shared" si="53"/>
        <v>0</v>
      </c>
      <c r="BH21" s="554">
        <f t="shared" si="53"/>
        <v>0</v>
      </c>
      <c r="BI21" s="554">
        <f t="shared" si="53"/>
        <v>0</v>
      </c>
      <c r="BJ21" s="554">
        <f t="shared" si="53"/>
        <v>0</v>
      </c>
      <c r="BK21" s="554">
        <f t="shared" si="53"/>
        <v>0</v>
      </c>
      <c r="BL21" s="554">
        <f t="shared" si="53"/>
        <v>0</v>
      </c>
      <c r="BM21" s="554">
        <f t="shared" si="53"/>
        <v>0</v>
      </c>
      <c r="BN21" s="549"/>
      <c r="BO21" s="550"/>
      <c r="BP21" s="550"/>
      <c r="BQ21" s="550"/>
      <c r="BR21" s="550"/>
      <c r="BS21" s="550"/>
      <c r="BT21" s="550"/>
      <c r="BU21" s="554">
        <f>SUM(BU6:BU19)</f>
        <v>0</v>
      </c>
      <c r="BV21" s="554">
        <f t="shared" ref="BV21:CC21" si="54">SUM(BV6:BV19)</f>
        <v>0</v>
      </c>
      <c r="BW21" s="554">
        <f t="shared" si="54"/>
        <v>0</v>
      </c>
      <c r="BX21" s="554">
        <f t="shared" si="54"/>
        <v>0</v>
      </c>
      <c r="BY21" s="554">
        <f t="shared" si="54"/>
        <v>0</v>
      </c>
      <c r="BZ21" s="554">
        <f t="shared" si="54"/>
        <v>0</v>
      </c>
      <c r="CA21" s="554">
        <f t="shared" si="54"/>
        <v>0</v>
      </c>
      <c r="CB21" s="554">
        <f t="shared" si="54"/>
        <v>0</v>
      </c>
      <c r="CC21" s="554">
        <f t="shared" si="54"/>
        <v>0</v>
      </c>
      <c r="CD21" s="549"/>
      <c r="CE21" s="550"/>
      <c r="CF21" s="550"/>
      <c r="CG21" s="550"/>
      <c r="CH21" s="550"/>
      <c r="CI21" s="550"/>
      <c r="CJ21" s="550"/>
      <c r="CK21" s="554">
        <f>SUM(CK6:CK19)</f>
        <v>0</v>
      </c>
      <c r="CL21" s="554">
        <f t="shared" ref="CL21:CS21" si="55">SUM(CL6:CL19)</f>
        <v>0</v>
      </c>
      <c r="CM21" s="554">
        <f t="shared" si="55"/>
        <v>0</v>
      </c>
      <c r="CN21" s="554">
        <f t="shared" si="55"/>
        <v>0</v>
      </c>
      <c r="CO21" s="554">
        <f t="shared" si="55"/>
        <v>0</v>
      </c>
      <c r="CP21" s="554">
        <f t="shared" si="55"/>
        <v>0</v>
      </c>
      <c r="CQ21" s="554">
        <f t="shared" si="55"/>
        <v>0</v>
      </c>
      <c r="CR21" s="554">
        <f t="shared" si="55"/>
        <v>0</v>
      </c>
      <c r="CS21" s="554">
        <f t="shared" si="55"/>
        <v>0</v>
      </c>
      <c r="CT21" s="549"/>
      <c r="CU21" s="550"/>
      <c r="CV21" s="550"/>
      <c r="CW21" s="550"/>
      <c r="CX21" s="550"/>
      <c r="CY21" s="550"/>
      <c r="CZ21" s="550"/>
      <c r="DA21" s="554">
        <f>SUM(DA6:DA19)</f>
        <v>0</v>
      </c>
      <c r="DB21" s="554">
        <f t="shared" ref="DB21:DL21" si="56">SUM(DB6:DB19)</f>
        <v>0</v>
      </c>
      <c r="DC21" s="554">
        <f t="shared" si="56"/>
        <v>0</v>
      </c>
      <c r="DD21" s="554">
        <f t="shared" si="56"/>
        <v>0</v>
      </c>
      <c r="DE21" s="554">
        <f t="shared" si="56"/>
        <v>0</v>
      </c>
      <c r="DF21" s="554">
        <f t="shared" si="56"/>
        <v>0</v>
      </c>
      <c r="DG21" s="554">
        <f t="shared" si="56"/>
        <v>0</v>
      </c>
      <c r="DH21" s="554">
        <f t="shared" si="56"/>
        <v>0</v>
      </c>
      <c r="DI21" s="554">
        <f t="shared" si="56"/>
        <v>0</v>
      </c>
      <c r="DJ21" s="554">
        <f t="shared" si="56"/>
        <v>1.2779024957369594</v>
      </c>
      <c r="DK21" s="554">
        <f t="shared" si="56"/>
        <v>0.82315340941614945</v>
      </c>
      <c r="DL21" s="554">
        <f t="shared" si="56"/>
        <v>0</v>
      </c>
      <c r="DN21" s="810"/>
      <c r="DO21" s="810"/>
    </row>
    <row r="22" spans="1:119">
      <c r="A22" s="482"/>
      <c r="B22" s="481"/>
      <c r="C22" s="481"/>
      <c r="D22" s="481"/>
      <c r="E22" s="481"/>
      <c r="F22" s="481"/>
      <c r="G22" s="481"/>
      <c r="H22" s="481"/>
      <c r="I22" s="481"/>
      <c r="J22" s="481"/>
      <c r="K22" s="481"/>
      <c r="L22" s="481"/>
      <c r="M22" s="481"/>
      <c r="N22" s="481"/>
      <c r="O22" s="481"/>
      <c r="P22" s="481"/>
      <c r="Q22" s="481"/>
      <c r="R22" s="481"/>
      <c r="S22" s="481"/>
      <c r="T22" s="481"/>
      <c r="U22" s="481"/>
      <c r="V22" s="481"/>
      <c r="W22" s="481"/>
      <c r="X22" s="481"/>
      <c r="Y22" s="481"/>
      <c r="Z22" s="481"/>
      <c r="AA22" s="481"/>
      <c r="AB22" s="481"/>
      <c r="AC22" s="481"/>
      <c r="AD22" s="481"/>
      <c r="AE22" s="481"/>
      <c r="AF22" s="481"/>
      <c r="AG22" s="481"/>
      <c r="AH22" s="480"/>
      <c r="AI22" s="480"/>
      <c r="AJ22" s="480"/>
      <c r="AK22" s="480"/>
      <c r="AL22" s="480"/>
      <c r="AM22" s="480"/>
      <c r="AN22" s="481"/>
      <c r="AO22" s="481"/>
      <c r="AP22" s="481"/>
      <c r="AQ22" s="481"/>
      <c r="AR22" s="481"/>
      <c r="AS22" s="481"/>
      <c r="AT22" s="481"/>
      <c r="AU22" s="481"/>
      <c r="AV22" s="481"/>
      <c r="AW22" s="481"/>
      <c r="AX22" s="480"/>
      <c r="AY22" s="480"/>
      <c r="AZ22" s="480"/>
      <c r="BA22" s="480"/>
      <c r="BB22" s="480"/>
      <c r="BC22" s="480"/>
      <c r="BD22" s="480"/>
      <c r="BE22" s="481"/>
      <c r="BF22" s="481"/>
      <c r="BG22" s="481"/>
      <c r="BH22" s="481"/>
      <c r="BI22" s="481"/>
      <c r="BJ22" s="481"/>
      <c r="BK22" s="481"/>
      <c r="BL22" s="481"/>
      <c r="BM22" s="523"/>
      <c r="BN22" s="480"/>
      <c r="BO22" s="480"/>
      <c r="BP22" s="480"/>
      <c r="BQ22" s="480"/>
      <c r="BR22" s="480"/>
      <c r="BS22" s="480"/>
      <c r="BT22" s="480"/>
      <c r="BU22" s="481"/>
      <c r="BV22" s="481"/>
      <c r="BW22" s="481"/>
      <c r="BX22" s="481"/>
      <c r="BY22" s="481"/>
      <c r="BZ22" s="481"/>
      <c r="CA22" s="481"/>
      <c r="CB22" s="481"/>
      <c r="CC22" s="481"/>
      <c r="CD22" s="480"/>
      <c r="CE22" s="480"/>
      <c r="CF22" s="480"/>
      <c r="CG22" s="480"/>
      <c r="CH22" s="480"/>
      <c r="CI22" s="480"/>
      <c r="CJ22" s="480"/>
      <c r="CK22" s="481"/>
      <c r="CL22" s="481"/>
      <c r="CM22" s="481"/>
      <c r="CN22" s="481"/>
      <c r="CO22" s="481"/>
      <c r="CP22" s="481"/>
      <c r="CQ22" s="481"/>
      <c r="CR22" s="481"/>
      <c r="CS22" s="481"/>
      <c r="CT22" s="480"/>
      <c r="CU22" s="480"/>
      <c r="CV22" s="480"/>
      <c r="CW22" s="480"/>
      <c r="CX22" s="480"/>
      <c r="CY22" s="480"/>
      <c r="CZ22" s="480"/>
      <c r="DA22" s="480"/>
      <c r="DB22" s="480"/>
      <c r="DC22" s="480"/>
      <c r="DD22" s="481"/>
      <c r="DE22" s="481"/>
      <c r="DF22" s="481"/>
      <c r="DG22" s="481"/>
      <c r="DH22" s="481"/>
      <c r="DI22" s="481"/>
      <c r="DJ22" s="481"/>
      <c r="DK22" s="481"/>
    </row>
    <row r="23" spans="1:119">
      <c r="A23" s="477"/>
      <c r="B23" s="72"/>
      <c r="C23" s="72"/>
      <c r="D23" s="72"/>
      <c r="E23" s="478"/>
      <c r="F23" s="478"/>
      <c r="G23" s="478"/>
      <c r="H23" s="479"/>
      <c r="I23" s="479"/>
      <c r="J23" s="479"/>
      <c r="K23" s="479"/>
      <c r="L23" s="479"/>
      <c r="M23" s="479"/>
      <c r="N23" s="479"/>
      <c r="O23" s="479"/>
      <c r="P23" s="479"/>
      <c r="Q23" s="478"/>
      <c r="R23" s="478"/>
      <c r="S23" s="478"/>
      <c r="T23" s="478"/>
      <c r="U23" s="478"/>
      <c r="V23" s="478"/>
      <c r="W23" s="478"/>
      <c r="X23" s="478"/>
      <c r="Y23" s="478"/>
      <c r="Z23" s="478"/>
      <c r="AA23" s="478"/>
      <c r="AB23" s="478"/>
      <c r="AC23" s="478"/>
      <c r="AD23" s="478"/>
      <c r="AE23" s="478"/>
      <c r="AF23" s="478"/>
      <c r="AG23" s="478"/>
      <c r="AH23" s="478"/>
      <c r="AI23" s="478"/>
      <c r="AJ23" s="478"/>
      <c r="AK23" s="478"/>
      <c r="AL23" s="478"/>
      <c r="AM23" s="478"/>
      <c r="AN23" s="479"/>
      <c r="AO23" s="479"/>
      <c r="AP23" s="479"/>
      <c r="AQ23" s="479"/>
      <c r="AR23" s="479"/>
      <c r="AS23" s="479"/>
      <c r="AT23" s="479"/>
      <c r="AU23" s="479"/>
      <c r="AV23" s="479"/>
      <c r="AW23" s="478"/>
      <c r="AX23" s="478"/>
      <c r="AY23" s="478"/>
      <c r="AZ23" s="478"/>
      <c r="BA23" s="478"/>
      <c r="BB23" s="478"/>
      <c r="BC23" s="478"/>
      <c r="BD23" s="478"/>
      <c r="BE23" s="478"/>
      <c r="BF23" s="478"/>
      <c r="BG23" s="478"/>
      <c r="BH23" s="478"/>
      <c r="BI23" s="478"/>
      <c r="BJ23" s="478"/>
      <c r="BK23" s="478"/>
      <c r="BL23" s="478"/>
      <c r="BM23" s="186"/>
      <c r="BN23" s="478"/>
      <c r="BO23" s="478"/>
      <c r="BP23" s="478"/>
      <c r="BQ23" s="478"/>
      <c r="BR23" s="478"/>
      <c r="BS23" s="478"/>
      <c r="BT23" s="478"/>
      <c r="BU23" s="478"/>
      <c r="BV23" s="478"/>
      <c r="BW23" s="478"/>
      <c r="BX23" s="478"/>
      <c r="BY23" s="478"/>
      <c r="BZ23" s="478"/>
      <c r="CA23" s="478"/>
      <c r="CB23" s="478"/>
      <c r="CC23" s="478"/>
      <c r="CD23" s="478"/>
      <c r="CE23" s="478"/>
      <c r="CF23" s="478"/>
      <c r="CG23" s="478"/>
      <c r="CH23" s="478"/>
      <c r="CI23" s="478"/>
      <c r="CJ23" s="478"/>
      <c r="CK23" s="478"/>
      <c r="CL23" s="478"/>
      <c r="CM23" s="478"/>
      <c r="CN23" s="478"/>
      <c r="CO23" s="478"/>
      <c r="CP23" s="478"/>
      <c r="CQ23" s="478"/>
      <c r="CR23" s="478"/>
      <c r="CS23" s="478"/>
      <c r="CT23" s="478"/>
      <c r="CU23" s="478"/>
      <c r="CV23" s="478"/>
      <c r="CW23" s="478"/>
      <c r="CX23" s="478"/>
      <c r="CY23" s="478"/>
      <c r="CZ23" s="478"/>
      <c r="DA23" s="478"/>
      <c r="DB23" s="478"/>
      <c r="DC23" s="478"/>
      <c r="DD23" s="478"/>
      <c r="DE23" s="478"/>
      <c r="DF23" s="478"/>
      <c r="DG23" s="478"/>
      <c r="DH23" s="478"/>
      <c r="DI23" s="478"/>
      <c r="DJ23" s="72"/>
      <c r="DK23" s="72"/>
    </row>
    <row r="24" spans="1:119">
      <c r="A24" s="477"/>
      <c r="B24" s="478"/>
      <c r="C24" s="478"/>
      <c r="D24" s="478"/>
      <c r="E24" s="478"/>
      <c r="F24" s="478"/>
      <c r="G24" s="478"/>
      <c r="H24" s="479"/>
      <c r="I24" s="479"/>
      <c r="J24" s="479"/>
      <c r="K24" s="479"/>
      <c r="L24" s="479"/>
      <c r="M24" s="479"/>
      <c r="N24" s="479"/>
      <c r="O24" s="479"/>
      <c r="P24" s="479"/>
      <c r="Q24" s="478"/>
      <c r="R24" s="478"/>
      <c r="S24" s="478"/>
      <c r="T24" s="478"/>
      <c r="U24" s="478"/>
      <c r="V24" s="478"/>
      <c r="W24" s="478"/>
      <c r="X24" s="478"/>
      <c r="Y24" s="478"/>
      <c r="Z24" s="478"/>
      <c r="AA24" s="478"/>
      <c r="AB24" s="478"/>
      <c r="AC24" s="478"/>
      <c r="AD24" s="478"/>
      <c r="AE24" s="478"/>
      <c r="AF24" s="478"/>
      <c r="AG24" s="478"/>
      <c r="AH24" s="478"/>
      <c r="AI24" s="478"/>
      <c r="AJ24" s="478"/>
      <c r="AK24" s="478"/>
      <c r="AL24" s="478"/>
      <c r="AM24" s="478"/>
      <c r="AN24" s="479"/>
      <c r="AO24" s="479"/>
      <c r="AP24" s="479"/>
      <c r="AQ24" s="479"/>
      <c r="AR24" s="479"/>
      <c r="AS24" s="479"/>
      <c r="AT24" s="479"/>
      <c r="AU24" s="479"/>
      <c r="AV24" s="479"/>
      <c r="AW24" s="478"/>
      <c r="AX24" s="478"/>
      <c r="AY24" s="478"/>
      <c r="AZ24" s="478"/>
      <c r="BA24" s="478"/>
      <c r="BB24" s="478"/>
      <c r="BC24" s="478"/>
      <c r="BD24" s="478"/>
      <c r="BE24" s="478"/>
      <c r="BF24" s="478"/>
      <c r="BG24" s="478"/>
      <c r="BH24" s="478"/>
      <c r="BI24" s="478"/>
      <c r="BJ24" s="478"/>
      <c r="BK24" s="478"/>
      <c r="BL24" s="478"/>
      <c r="BM24" s="186"/>
      <c r="BN24" s="478"/>
      <c r="BO24" s="478"/>
      <c r="BP24" s="478"/>
      <c r="BQ24" s="478"/>
      <c r="BR24" s="478"/>
      <c r="BS24" s="478"/>
      <c r="BT24" s="478"/>
      <c r="BU24" s="478"/>
      <c r="BV24" s="478"/>
      <c r="BW24" s="478"/>
      <c r="BX24" s="478"/>
      <c r="BY24" s="478"/>
      <c r="BZ24" s="478"/>
      <c r="CA24" s="478"/>
      <c r="CB24" s="478"/>
      <c r="CC24" s="478"/>
      <c r="CD24" s="478"/>
      <c r="CE24" s="478"/>
      <c r="CF24" s="478"/>
      <c r="CG24" s="478"/>
      <c r="CH24" s="478"/>
      <c r="CI24" s="478"/>
      <c r="CJ24" s="478"/>
      <c r="CK24" s="478"/>
      <c r="CL24" s="478"/>
      <c r="CM24" s="478"/>
      <c r="CN24" s="478"/>
      <c r="CO24" s="478"/>
      <c r="CP24" s="478"/>
      <c r="CQ24" s="478"/>
      <c r="CR24" s="478"/>
      <c r="CS24" s="478"/>
      <c r="CT24" s="478"/>
      <c r="CU24" s="478"/>
      <c r="CV24" s="478"/>
      <c r="CW24" s="478"/>
      <c r="CX24" s="478"/>
      <c r="CY24" s="478"/>
      <c r="CZ24" s="478"/>
      <c r="DA24" s="478"/>
      <c r="DB24" s="478"/>
      <c r="DC24" s="478"/>
      <c r="DD24" s="478"/>
      <c r="DE24" s="478"/>
      <c r="DF24" s="478"/>
      <c r="DG24" s="478"/>
      <c r="DH24" s="478"/>
      <c r="DI24" s="478"/>
      <c r="DJ24" s="72"/>
      <c r="DK24" s="72"/>
    </row>
    <row r="25" spans="1:119">
      <c r="A25" s="480"/>
      <c r="B25" s="481"/>
      <c r="C25" s="481"/>
      <c r="D25" s="481"/>
      <c r="E25" s="481"/>
      <c r="F25" s="481"/>
      <c r="G25" s="481"/>
      <c r="H25" s="481"/>
      <c r="I25" s="481"/>
      <c r="J25" s="481"/>
      <c r="K25" s="481"/>
      <c r="L25" s="481"/>
      <c r="M25" s="481"/>
      <c r="N25" s="481"/>
      <c r="O25" s="481"/>
      <c r="P25" s="481"/>
      <c r="Q25" s="481"/>
      <c r="R25" s="481"/>
      <c r="S25" s="735"/>
      <c r="T25" s="735"/>
      <c r="U25" s="735"/>
      <c r="V25" s="735"/>
      <c r="W25" s="481"/>
      <c r="X25" s="481"/>
      <c r="Y25" s="481"/>
      <c r="Z25" s="481"/>
      <c r="AA25" s="481"/>
      <c r="AB25" s="481"/>
      <c r="AC25" s="481"/>
      <c r="AD25" s="481"/>
      <c r="AE25" s="481"/>
      <c r="AF25" s="481"/>
      <c r="AG25" s="481"/>
      <c r="AH25" s="480"/>
      <c r="AI25" s="480"/>
      <c r="AJ25" s="480"/>
      <c r="AK25" s="480"/>
      <c r="AL25" s="480"/>
      <c r="AM25" s="480"/>
      <c r="AN25" s="481"/>
      <c r="AO25" s="481"/>
      <c r="AP25" s="481"/>
      <c r="AQ25" s="481"/>
      <c r="AR25" s="481"/>
      <c r="AS25" s="481"/>
      <c r="AT25" s="481"/>
      <c r="AU25" s="481"/>
      <c r="AV25" s="481"/>
      <c r="AW25" s="481"/>
      <c r="AX25" s="480"/>
      <c r="AY25" s="480"/>
      <c r="AZ25" s="480"/>
      <c r="BA25" s="480"/>
      <c r="BB25" s="480"/>
      <c r="BC25" s="480"/>
      <c r="BD25" s="480"/>
      <c r="BE25" s="481"/>
      <c r="BF25" s="481"/>
      <c r="BG25" s="481"/>
      <c r="BH25" s="481"/>
      <c r="BI25" s="481"/>
      <c r="BJ25" s="481"/>
      <c r="BK25" s="481"/>
      <c r="BL25" s="481"/>
      <c r="BM25" s="523"/>
      <c r="BN25" s="480"/>
      <c r="BO25" s="480"/>
      <c r="BP25" s="480"/>
      <c r="BQ25" s="480"/>
      <c r="BR25" s="480"/>
      <c r="BS25" s="480"/>
      <c r="BT25" s="480"/>
      <c r="BU25" s="481"/>
      <c r="BV25" s="481"/>
      <c r="BW25" s="481"/>
      <c r="BX25" s="481"/>
      <c r="BY25" s="481"/>
      <c r="BZ25" s="481"/>
      <c r="CA25" s="481"/>
      <c r="CB25" s="481"/>
      <c r="CC25" s="481"/>
      <c r="CD25" s="480"/>
      <c r="CE25" s="480"/>
      <c r="CF25" s="480"/>
      <c r="CG25" s="480"/>
      <c r="CH25" s="480"/>
      <c r="CI25" s="480"/>
      <c r="CJ25" s="480"/>
      <c r="CK25" s="481"/>
      <c r="CL25" s="481"/>
      <c r="CM25" s="481"/>
      <c r="CN25" s="481"/>
      <c r="CO25" s="481"/>
      <c r="CP25" s="481"/>
      <c r="CQ25" s="481"/>
      <c r="CR25" s="481"/>
      <c r="CS25" s="481"/>
      <c r="CT25" s="480"/>
      <c r="CU25" s="480"/>
      <c r="CV25" s="480"/>
      <c r="CW25" s="480"/>
      <c r="CX25" s="480"/>
      <c r="CY25" s="480"/>
      <c r="CZ25" s="480"/>
      <c r="DA25" s="480"/>
      <c r="DB25" s="480"/>
      <c r="DC25" s="480"/>
      <c r="DD25" s="481"/>
      <c r="DE25" s="481"/>
      <c r="DF25" s="481"/>
      <c r="DG25" s="481"/>
      <c r="DH25" s="481"/>
      <c r="DI25" s="481"/>
      <c r="DJ25" s="481"/>
      <c r="DK25" s="481"/>
    </row>
    <row r="26" spans="1:119">
      <c r="A26" s="477"/>
      <c r="B26" s="477"/>
      <c r="C26" s="477"/>
      <c r="D26" s="477"/>
      <c r="E26" s="477"/>
      <c r="F26" s="477"/>
      <c r="G26" s="477"/>
      <c r="H26" s="477"/>
      <c r="I26" s="477"/>
      <c r="J26" s="477"/>
      <c r="K26" s="477"/>
      <c r="L26" s="477"/>
      <c r="M26" s="477"/>
      <c r="N26" s="477"/>
      <c r="O26" s="477"/>
      <c r="P26" s="477"/>
      <c r="Q26" s="477"/>
      <c r="R26" s="477"/>
      <c r="S26" s="477"/>
      <c r="T26" s="477"/>
      <c r="U26" s="477"/>
      <c r="V26" s="477"/>
      <c r="W26" s="477"/>
      <c r="X26" s="477"/>
      <c r="Y26" s="477"/>
      <c r="Z26" s="477"/>
      <c r="AA26" s="477"/>
      <c r="AB26" s="477"/>
      <c r="AC26" s="477"/>
      <c r="AD26" s="477"/>
      <c r="AE26" s="477"/>
      <c r="AF26" s="477"/>
      <c r="AG26" s="477"/>
      <c r="AH26" s="477"/>
      <c r="AI26" s="477"/>
      <c r="AJ26" s="477"/>
      <c r="AK26" s="477"/>
      <c r="AL26" s="477"/>
      <c r="AM26" s="477"/>
      <c r="AN26" s="477"/>
      <c r="AO26" s="477"/>
      <c r="AP26" s="477"/>
      <c r="AQ26" s="477"/>
      <c r="AR26" s="477"/>
      <c r="AS26" s="477"/>
      <c r="AT26" s="477"/>
      <c r="AU26" s="477"/>
      <c r="AV26" s="477"/>
      <c r="AW26" s="477"/>
      <c r="AX26" s="477"/>
      <c r="AY26" s="477"/>
      <c r="AZ26" s="477"/>
      <c r="BA26" s="477"/>
      <c r="BB26" s="477"/>
      <c r="BC26" s="477"/>
      <c r="BD26" s="477"/>
      <c r="BE26" s="477"/>
      <c r="BF26" s="477"/>
      <c r="BG26" s="477"/>
      <c r="BH26" s="477"/>
      <c r="BI26" s="477"/>
      <c r="BJ26" s="477"/>
      <c r="BK26" s="477"/>
      <c r="BL26" s="477"/>
      <c r="BM26" s="145"/>
      <c r="BN26" s="477"/>
      <c r="BO26" s="477"/>
      <c r="BP26" s="477"/>
      <c r="BQ26" s="477"/>
      <c r="BR26" s="477"/>
      <c r="BS26" s="477"/>
      <c r="BT26" s="477"/>
      <c r="BU26" s="477"/>
      <c r="BV26" s="477"/>
      <c r="BW26" s="477"/>
      <c r="BX26" s="477"/>
      <c r="BY26" s="477"/>
      <c r="BZ26" s="477"/>
      <c r="CA26" s="477"/>
      <c r="CB26" s="477"/>
      <c r="CC26" s="477"/>
      <c r="CD26" s="477"/>
      <c r="CE26" s="477"/>
      <c r="CF26" s="477"/>
      <c r="CG26" s="477"/>
      <c r="CH26" s="477"/>
      <c r="CI26" s="477"/>
      <c r="CJ26" s="477"/>
      <c r="CK26" s="477"/>
      <c r="CL26" s="477"/>
      <c r="CM26" s="477"/>
      <c r="CN26" s="477"/>
      <c r="CO26" s="477"/>
      <c r="CP26" s="477"/>
      <c r="CQ26" s="477"/>
      <c r="CR26" s="477"/>
      <c r="CS26" s="477"/>
      <c r="CT26" s="72"/>
      <c r="CU26" s="72"/>
      <c r="CV26" s="72"/>
      <c r="CW26" s="72"/>
      <c r="CX26" s="72"/>
      <c r="CY26" s="72"/>
      <c r="CZ26" s="72"/>
      <c r="DA26" s="72"/>
      <c r="DB26" s="72"/>
      <c r="DC26" s="72"/>
      <c r="DD26" s="72"/>
      <c r="DE26" s="72"/>
      <c r="DF26" s="72"/>
      <c r="DG26" s="72"/>
      <c r="DH26" s="72"/>
      <c r="DI26" s="72"/>
      <c r="DJ26" s="72"/>
      <c r="DK26" s="72"/>
    </row>
    <row r="28" spans="1:119">
      <c r="AI28" s="13"/>
      <c r="AJ28" s="1203"/>
    </row>
  </sheetData>
  <mergeCells count="8">
    <mergeCell ref="B3:DK3"/>
    <mergeCell ref="B4:Q4"/>
    <mergeCell ref="R4:AG4"/>
    <mergeCell ref="AH4:AW4"/>
    <mergeCell ref="AX4:BM4"/>
    <mergeCell ref="BN4:CC4"/>
    <mergeCell ref="CD4:CS4"/>
    <mergeCell ref="CT4:DI4"/>
  </mergeCell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00B050"/>
  </sheetPr>
  <dimension ref="A1:U42"/>
  <sheetViews>
    <sheetView topLeftCell="F1" workbookViewId="0">
      <selection activeCell="O1" sqref="O1:U17"/>
    </sheetView>
  </sheetViews>
  <sheetFormatPr defaultColWidth="8.875" defaultRowHeight="15"/>
  <cols>
    <col min="1" max="1" width="35.125" style="293" customWidth="1"/>
    <col min="2" max="2" width="8.875" style="293"/>
    <col min="3" max="3" width="15" style="293" customWidth="1"/>
    <col min="4" max="4" width="8.875" style="293"/>
    <col min="5" max="5" width="9.875" style="293" customWidth="1"/>
    <col min="6" max="6" width="8.875" style="293"/>
    <col min="7" max="10" width="12.75" style="293" customWidth="1"/>
    <col min="11" max="11" width="19.25" style="293" customWidth="1"/>
    <col min="12" max="12" width="8.875" style="293"/>
    <col min="13" max="13" width="13.5" style="293" bestFit="1" customWidth="1"/>
    <col min="14" max="14" width="14.125" style="293" customWidth="1"/>
    <col min="15" max="15" width="15.875" style="293" bestFit="1" customWidth="1"/>
    <col min="16" max="16" width="12.5" style="293" bestFit="1" customWidth="1"/>
    <col min="17" max="17" width="12.125" style="293" customWidth="1"/>
    <col min="18" max="18" width="12.625" style="293" customWidth="1"/>
    <col min="19" max="19" width="8.875" style="293"/>
    <col min="20" max="20" width="17.375" style="293" customWidth="1"/>
    <col min="21" max="16384" width="8.875" style="293"/>
  </cols>
  <sheetData>
    <row r="1" spans="1:21" ht="15.75" thickBot="1">
      <c r="A1" s="956" t="s">
        <v>1016</v>
      </c>
      <c r="B1" s="1023" t="s">
        <v>1005</v>
      </c>
      <c r="C1" s="1023"/>
      <c r="D1" s="1023"/>
      <c r="E1" s="957"/>
      <c r="F1" s="957"/>
      <c r="G1" s="957"/>
      <c r="H1" s="957"/>
      <c r="I1" s="957"/>
      <c r="J1" s="958"/>
      <c r="K1" s="962" t="s">
        <v>1159</v>
      </c>
      <c r="L1" s="963"/>
      <c r="M1" s="957"/>
      <c r="N1" s="958"/>
      <c r="O1" s="1371" t="s">
        <v>1879</v>
      </c>
    </row>
    <row r="2" spans="1:21" ht="60">
      <c r="A2" s="1170"/>
      <c r="B2" s="1171" t="s">
        <v>1550</v>
      </c>
      <c r="C2" s="1171" t="s">
        <v>1551</v>
      </c>
      <c r="D2" s="1172" t="s">
        <v>1330</v>
      </c>
      <c r="E2" s="1276" t="s">
        <v>1656</v>
      </c>
      <c r="F2" s="1173"/>
      <c r="G2" s="1173" t="s">
        <v>1552</v>
      </c>
      <c r="H2" s="1174" t="s">
        <v>1016</v>
      </c>
      <c r="I2" s="1173" t="s">
        <v>1015</v>
      </c>
      <c r="J2" s="1175" t="s">
        <v>1555</v>
      </c>
      <c r="K2" s="1176" t="s">
        <v>1554</v>
      </c>
      <c r="L2" s="1175" t="s">
        <v>1556</v>
      </c>
      <c r="M2" s="1173" t="s">
        <v>1015</v>
      </c>
      <c r="N2" s="1175" t="s">
        <v>1555</v>
      </c>
      <c r="O2" s="1363" t="s">
        <v>1016</v>
      </c>
      <c r="P2" s="1363" t="s">
        <v>1159</v>
      </c>
    </row>
    <row r="3" spans="1:21">
      <c r="A3" s="1268" t="str">
        <f>INPUTS!C17</f>
        <v>Cows (improved)</v>
      </c>
      <c r="B3" s="1177">
        <f>INPUTS!D17</f>
        <v>1</v>
      </c>
      <c r="C3" s="1177">
        <f>INPUTS!F17</f>
        <v>0</v>
      </c>
      <c r="D3" s="1274">
        <f>B3*'Livestock parameters'!B2/250</f>
        <v>1.524</v>
      </c>
      <c r="E3" s="1277">
        <f>'Livestock parameters'!V2</f>
        <v>1.2</v>
      </c>
      <c r="F3" s="1178"/>
      <c r="G3" s="1178">
        <f>B3*C3</f>
        <v>0</v>
      </c>
      <c r="H3" s="1178">
        <f>G3*'Livestock parameters'!AB2</f>
        <v>0</v>
      </c>
      <c r="I3" s="1179">
        <f>H3*'Livestock parameters'!Z2</f>
        <v>0</v>
      </c>
      <c r="J3" s="1269">
        <f>H3*'Livestock parameters'!AA2/100</f>
        <v>0</v>
      </c>
      <c r="K3" s="1279">
        <f>INPUTS!E17</f>
        <v>1525</v>
      </c>
      <c r="L3" s="1274">
        <f>INPUTS!E17*INPUTS!D17*(0.337+(0.116*'Livestock parameters'!X2)+(0.06*'Livestock parameters'!W2))</f>
        <v>1613.1450000000002</v>
      </c>
      <c r="M3" s="1179">
        <f>L3*'Livestock parameters'!Y2</f>
        <v>1564750.6500000001</v>
      </c>
      <c r="N3" s="1269">
        <f>L3*'Livestock parameters'!W2/100</f>
        <v>59.686365000000016</v>
      </c>
      <c r="O3" s="959">
        <f>H3</f>
        <v>0</v>
      </c>
      <c r="P3" s="293">
        <f>B3*K3</f>
        <v>1525</v>
      </c>
      <c r="Q3" s="293" t="str">
        <f>'Livestock parameters'!AF2</f>
        <v>beef</v>
      </c>
      <c r="R3" s="293" t="str">
        <f>'Livestock parameters'!AG2</f>
        <v>cow milk</v>
      </c>
      <c r="T3" s="1362" t="s">
        <v>1564</v>
      </c>
      <c r="U3" s="293">
        <f>SUMIF($Q$3:$Q$16,"beef",$O$3:$O$16)</f>
        <v>90.47999999999999</v>
      </c>
    </row>
    <row r="4" spans="1:21">
      <c r="A4" s="1268" t="str">
        <f>INPUTS!C18</f>
        <v>Steers/heifers (improved)</v>
      </c>
      <c r="B4" s="1177">
        <f>INPUTS!D18</f>
        <v>1</v>
      </c>
      <c r="C4" s="1177">
        <f>INPUTS!F18</f>
        <v>156</v>
      </c>
      <c r="D4" s="1274">
        <f>B4*'Livestock parameters'!B3/250</f>
        <v>1.1599999999999999</v>
      </c>
      <c r="E4" s="1277">
        <f>'Livestock parameters'!V3</f>
        <v>0</v>
      </c>
      <c r="F4" s="1178"/>
      <c r="G4" s="1178">
        <f t="shared" ref="G4:G10" si="0">B4*C4</f>
        <v>156</v>
      </c>
      <c r="H4" s="1178">
        <f>G4*'Livestock parameters'!AB3</f>
        <v>90.47999999999999</v>
      </c>
      <c r="I4" s="1179">
        <f>H4*'Livestock parameters'!Z3</f>
        <v>199055.99999999997</v>
      </c>
      <c r="J4" s="1269">
        <f>H4*'Livestock parameters'!AA3/100</f>
        <v>23.524799999999995</v>
      </c>
      <c r="K4" s="1279">
        <f>INPUTS!E18</f>
        <v>0</v>
      </c>
      <c r="L4" s="1274">
        <f>INPUTS!E18*INPUTS!D18*(0.337+(0.116*'Livestock parameters'!X3)+(0.06*'Livestock parameters'!W3))</f>
        <v>0</v>
      </c>
      <c r="M4" s="1179">
        <f>L4*'Livestock parameters'!Y3</f>
        <v>0</v>
      </c>
      <c r="N4" s="1269">
        <f>L4*'Livestock parameters'!W3/100</f>
        <v>0</v>
      </c>
      <c r="O4" s="959">
        <f t="shared" ref="O4:O16" si="1">H4</f>
        <v>90.47999999999999</v>
      </c>
      <c r="P4" s="293">
        <f t="shared" ref="P4:P16" si="2">B4*K4</f>
        <v>0</v>
      </c>
      <c r="Q4" s="293" t="str">
        <f>'Livestock parameters'!AF3</f>
        <v>beef</v>
      </c>
      <c r="R4" s="293" t="str">
        <f>'Livestock parameters'!AG3</f>
        <v>cow milk</v>
      </c>
      <c r="T4" s="1362" t="s">
        <v>1876</v>
      </c>
      <c r="U4" s="293">
        <f>SUMIF($Q$3:$Q$16,"buffalo meat",$O$3:$O$16)</f>
        <v>0</v>
      </c>
    </row>
    <row r="5" spans="1:21">
      <c r="A5" s="1268">
        <f>INPUTS!C19</f>
        <v>0</v>
      </c>
      <c r="B5" s="1177">
        <f>INPUTS!D19</f>
        <v>0</v>
      </c>
      <c r="C5" s="1177">
        <f>INPUTS!F19</f>
        <v>0</v>
      </c>
      <c r="D5" s="1274">
        <f>B5*'Livestock parameters'!B4/250</f>
        <v>0</v>
      </c>
      <c r="E5" s="1277">
        <f>'Livestock parameters'!V4</f>
        <v>0</v>
      </c>
      <c r="F5" s="1178"/>
      <c r="G5" s="1178">
        <f t="shared" si="0"/>
        <v>0</v>
      </c>
      <c r="H5" s="1178">
        <f>G5*'Livestock parameters'!AB4</f>
        <v>0</v>
      </c>
      <c r="I5" s="1179">
        <f>H5*'Livestock parameters'!Z4</f>
        <v>0</v>
      </c>
      <c r="J5" s="1269">
        <f>H5*'Livestock parameters'!AA4/100</f>
        <v>0</v>
      </c>
      <c r="K5" s="1279">
        <f>INPUTS!E19</f>
        <v>0</v>
      </c>
      <c r="L5" s="1274">
        <f>INPUTS!E19*INPUTS!D19*(0.337+(0.116*'Livestock parameters'!X4)+(0.06*'Livestock parameters'!W4))</f>
        <v>0</v>
      </c>
      <c r="M5" s="1179">
        <f>L5*'Livestock parameters'!Y4</f>
        <v>0</v>
      </c>
      <c r="N5" s="1269">
        <f>L5*'Livestock parameters'!W4/100</f>
        <v>0</v>
      </c>
      <c r="O5" s="959">
        <f t="shared" si="1"/>
        <v>0</v>
      </c>
      <c r="P5" s="293">
        <f t="shared" si="2"/>
        <v>0</v>
      </c>
      <c r="Q5" s="293">
        <f>'Livestock parameters'!AF4</f>
        <v>0</v>
      </c>
      <c r="R5" s="293">
        <f>'Livestock parameters'!AG4</f>
        <v>0</v>
      </c>
      <c r="T5" s="1362" t="s">
        <v>1874</v>
      </c>
      <c r="U5" s="293">
        <f>SUMIF($Q$3:$Q$16,"mutton/goat",$O$3:$O$16)</f>
        <v>0</v>
      </c>
    </row>
    <row r="6" spans="1:21">
      <c r="A6" s="1268">
        <f>INPUTS!C20</f>
        <v>0</v>
      </c>
      <c r="B6" s="1177">
        <f>INPUTS!D20</f>
        <v>0</v>
      </c>
      <c r="C6" s="1177">
        <f>INPUTS!F20</f>
        <v>0</v>
      </c>
      <c r="D6" s="1274">
        <f>B6*'Livestock parameters'!B5/250</f>
        <v>0</v>
      </c>
      <c r="E6" s="1277">
        <f>'Livestock parameters'!V5</f>
        <v>0</v>
      </c>
      <c r="F6" s="1178"/>
      <c r="G6" s="1178">
        <f t="shared" si="0"/>
        <v>0</v>
      </c>
      <c r="H6" s="1178">
        <f>G6*'Livestock parameters'!AB5</f>
        <v>0</v>
      </c>
      <c r="I6" s="1179">
        <f>H6*'Livestock parameters'!Z5</f>
        <v>0</v>
      </c>
      <c r="J6" s="1269">
        <f>H6*'Livestock parameters'!AA5/100</f>
        <v>0</v>
      </c>
      <c r="K6" s="1279">
        <f>INPUTS!E20</f>
        <v>0</v>
      </c>
      <c r="L6" s="1274">
        <f>INPUTS!E20*INPUTS!D20*(0.337+(0.116*'Livestock parameters'!X5)+(0.06*'Livestock parameters'!W5))</f>
        <v>0</v>
      </c>
      <c r="M6" s="1179">
        <f>L6*'Livestock parameters'!Y5</f>
        <v>0</v>
      </c>
      <c r="N6" s="1269">
        <f>L6*'Livestock parameters'!W5/100</f>
        <v>0</v>
      </c>
      <c r="O6" s="959">
        <f t="shared" si="1"/>
        <v>0</v>
      </c>
      <c r="P6" s="293">
        <f t="shared" si="2"/>
        <v>0</v>
      </c>
      <c r="Q6" s="293">
        <f>'Livestock parameters'!AF5</f>
        <v>0</v>
      </c>
      <c r="R6" s="293">
        <f>'Livestock parameters'!AG5</f>
        <v>0</v>
      </c>
      <c r="T6" s="1362" t="s">
        <v>1655</v>
      </c>
      <c r="U6" s="293">
        <f>SUMIF($Q$3:$Q$16,"pork",$O$3:$O$16)</f>
        <v>0</v>
      </c>
    </row>
    <row r="7" spans="1:21">
      <c r="A7" s="1268">
        <f>INPUTS!C21</f>
        <v>0</v>
      </c>
      <c r="B7" s="1177">
        <f>INPUTS!D21</f>
        <v>0</v>
      </c>
      <c r="C7" s="1177">
        <f>INPUTS!F21</f>
        <v>0</v>
      </c>
      <c r="D7" s="1274">
        <f>B7*'Livestock parameters'!B6/250</f>
        <v>0</v>
      </c>
      <c r="E7" s="1277">
        <f>'Livestock parameters'!V6</f>
        <v>0</v>
      </c>
      <c r="F7" s="1178"/>
      <c r="G7" s="1178">
        <f t="shared" si="0"/>
        <v>0</v>
      </c>
      <c r="H7" s="1178">
        <f>G7*'Livestock parameters'!AB6</f>
        <v>0</v>
      </c>
      <c r="I7" s="1179">
        <f>H7*'Livestock parameters'!Z6</f>
        <v>0</v>
      </c>
      <c r="J7" s="1269">
        <f>H7*'Livestock parameters'!AA6/100</f>
        <v>0</v>
      </c>
      <c r="K7" s="1279">
        <f>INPUTS!E21</f>
        <v>0</v>
      </c>
      <c r="L7" s="1274">
        <f>INPUTS!E21*INPUTS!D21*(0.337+(0.116*'Livestock parameters'!X6)+(0.06*'Livestock parameters'!W6))</f>
        <v>0</v>
      </c>
      <c r="M7" s="1179">
        <f>L7*'Livestock parameters'!Y6</f>
        <v>0</v>
      </c>
      <c r="N7" s="1269">
        <f>L7*'Livestock parameters'!W6/100</f>
        <v>0</v>
      </c>
      <c r="O7" s="959">
        <f t="shared" si="1"/>
        <v>0</v>
      </c>
      <c r="P7" s="293">
        <f t="shared" si="2"/>
        <v>0</v>
      </c>
      <c r="Q7" s="293">
        <f>'Livestock parameters'!AF6</f>
        <v>0</v>
      </c>
      <c r="R7" s="293">
        <f>'Livestock parameters'!AG6</f>
        <v>0</v>
      </c>
      <c r="T7" s="1362" t="s">
        <v>1875</v>
      </c>
      <c r="U7" s="293">
        <f>SUMIF($R$3:$R$16,"cow milk",$P$3:$P$16)</f>
        <v>1525</v>
      </c>
    </row>
    <row r="8" spans="1:21">
      <c r="A8" s="1268">
        <f>INPUTS!C22</f>
        <v>0</v>
      </c>
      <c r="B8" s="1177">
        <f>INPUTS!D22</f>
        <v>0</v>
      </c>
      <c r="C8" s="1177">
        <f>INPUTS!F22</f>
        <v>0</v>
      </c>
      <c r="D8" s="1274">
        <f>B8*'Livestock parameters'!B7/250</f>
        <v>0</v>
      </c>
      <c r="E8" s="1277">
        <f>'Livestock parameters'!V7</f>
        <v>0</v>
      </c>
      <c r="F8" s="1178"/>
      <c r="G8" s="1178">
        <f t="shared" si="0"/>
        <v>0</v>
      </c>
      <c r="H8" s="1178">
        <f>G8*'Livestock parameters'!AB7</f>
        <v>0</v>
      </c>
      <c r="I8" s="1179">
        <f>H8*'Livestock parameters'!Z7</f>
        <v>0</v>
      </c>
      <c r="J8" s="1269">
        <f>H8*'Livestock parameters'!AA7/100</f>
        <v>0</v>
      </c>
      <c r="K8" s="1279">
        <f>INPUTS!E22</f>
        <v>0</v>
      </c>
      <c r="L8" s="1274">
        <f>INPUTS!E22*INPUTS!D22*(0.337+(0.116*'Livestock parameters'!X7)+(0.06*'Livestock parameters'!W7))</f>
        <v>0</v>
      </c>
      <c r="M8" s="1179">
        <f>L8*'Livestock parameters'!Y7</f>
        <v>0</v>
      </c>
      <c r="N8" s="1269">
        <f>L8*'Livestock parameters'!W7/100</f>
        <v>0</v>
      </c>
      <c r="O8" s="959">
        <f t="shared" si="1"/>
        <v>0</v>
      </c>
      <c r="P8" s="293">
        <f t="shared" si="2"/>
        <v>0</v>
      </c>
      <c r="Q8" s="293">
        <f>'Livestock parameters'!AF7</f>
        <v>0</v>
      </c>
      <c r="R8" s="293">
        <f>'Livestock parameters'!AG7</f>
        <v>0</v>
      </c>
      <c r="T8" s="1362" t="s">
        <v>1877</v>
      </c>
      <c r="U8" s="293">
        <f>SUMIF($R$3:$R$16,"buffalo milk",$P$3:$P$16)</f>
        <v>0</v>
      </c>
    </row>
    <row r="9" spans="1:21">
      <c r="A9" s="1268">
        <f>INPUTS!C23</f>
        <v>0</v>
      </c>
      <c r="B9" s="1177">
        <f>INPUTS!D23</f>
        <v>0</v>
      </c>
      <c r="C9" s="1177">
        <f>INPUTS!F23</f>
        <v>0</v>
      </c>
      <c r="D9" s="1274">
        <f>B9*'Livestock parameters'!B8/250</f>
        <v>0</v>
      </c>
      <c r="E9" s="1277">
        <f>'Livestock parameters'!V8</f>
        <v>0</v>
      </c>
      <c r="F9" s="1178"/>
      <c r="G9" s="1178">
        <f t="shared" si="0"/>
        <v>0</v>
      </c>
      <c r="H9" s="1178">
        <f>G9*'Livestock parameters'!AB8</f>
        <v>0</v>
      </c>
      <c r="I9" s="1179">
        <f>H9*'Livestock parameters'!Z8</f>
        <v>0</v>
      </c>
      <c r="J9" s="1269">
        <f>H9*'Livestock parameters'!AA8/100</f>
        <v>0</v>
      </c>
      <c r="K9" s="1279">
        <f>INPUTS!E23</f>
        <v>0</v>
      </c>
      <c r="L9" s="1274">
        <f>INPUTS!E23*INPUTS!D23*(0.337+(0.116*'Livestock parameters'!X8)+(0.06*'Livestock parameters'!W8))</f>
        <v>0</v>
      </c>
      <c r="M9" s="1179">
        <f>L9*'Livestock parameters'!Y8</f>
        <v>0</v>
      </c>
      <c r="N9" s="1269">
        <f>L9*'Livestock parameters'!W8/100</f>
        <v>0</v>
      </c>
      <c r="O9" s="959">
        <f t="shared" si="1"/>
        <v>0</v>
      </c>
      <c r="P9" s="293">
        <f t="shared" si="2"/>
        <v>0</v>
      </c>
      <c r="Q9" s="293">
        <f>'Livestock parameters'!AF8</f>
        <v>0</v>
      </c>
      <c r="R9" s="293">
        <f>'Livestock parameters'!AG8</f>
        <v>0</v>
      </c>
      <c r="T9" s="1362" t="s">
        <v>1878</v>
      </c>
      <c r="U9" s="293">
        <f>SUMIF($R$3:$R$16,"goat/sheep milk",$P$3:$P$16)</f>
        <v>0</v>
      </c>
    </row>
    <row r="10" spans="1:21">
      <c r="A10" s="1268">
        <f>INPUTS!C24</f>
        <v>0</v>
      </c>
      <c r="B10" s="1177">
        <f>INPUTS!D24</f>
        <v>0</v>
      </c>
      <c r="C10" s="1177">
        <f>INPUTS!F24</f>
        <v>0</v>
      </c>
      <c r="D10" s="1274">
        <f>B10*'Livestock parameters'!B9/250</f>
        <v>0</v>
      </c>
      <c r="E10" s="1277">
        <f>'Livestock parameters'!V9</f>
        <v>0</v>
      </c>
      <c r="F10" s="1178"/>
      <c r="G10" s="1178">
        <f t="shared" si="0"/>
        <v>0</v>
      </c>
      <c r="H10" s="1178">
        <f>G10*'Livestock parameters'!AB9</f>
        <v>0</v>
      </c>
      <c r="I10" s="1179">
        <f>H10*'Livestock parameters'!Z9</f>
        <v>0</v>
      </c>
      <c r="J10" s="1269">
        <f>H10*'Livestock parameters'!AA9/100</f>
        <v>0</v>
      </c>
      <c r="K10" s="1279">
        <f>INPUTS!E24</f>
        <v>0</v>
      </c>
      <c r="L10" s="1274">
        <f>INPUTS!E24*INPUTS!D24*(0.337+(0.116*'Livestock parameters'!X9)+(0.06*'Livestock parameters'!W9))</f>
        <v>0</v>
      </c>
      <c r="M10" s="1179">
        <f>L10*'Livestock parameters'!Y9</f>
        <v>0</v>
      </c>
      <c r="N10" s="1269">
        <f>L10*'Livestock parameters'!W9/100</f>
        <v>0</v>
      </c>
      <c r="O10" s="959">
        <f t="shared" si="1"/>
        <v>0</v>
      </c>
      <c r="P10" s="293">
        <f t="shared" si="2"/>
        <v>0</v>
      </c>
      <c r="Q10" s="293">
        <f>'Livestock parameters'!AF9</f>
        <v>0</v>
      </c>
      <c r="R10" s="293">
        <f>'Livestock parameters'!AG9</f>
        <v>0</v>
      </c>
    </row>
    <row r="11" spans="1:21">
      <c r="A11" s="1268">
        <f>INPUTS!C25</f>
        <v>0</v>
      </c>
      <c r="B11" s="1177">
        <f>INPUTS!D25</f>
        <v>0</v>
      </c>
      <c r="C11" s="1177">
        <f>INPUTS!F25</f>
        <v>0</v>
      </c>
      <c r="D11" s="1274">
        <f>B11*'Livestock parameters'!B10/250</f>
        <v>0</v>
      </c>
      <c r="E11" s="1277">
        <f>'Livestock parameters'!V10</f>
        <v>0</v>
      </c>
      <c r="F11" s="1178"/>
      <c r="G11" s="1178">
        <f t="shared" ref="G11:G16" si="3">B11*C11</f>
        <v>0</v>
      </c>
      <c r="H11" s="1178">
        <f>G11*'Livestock parameters'!AB10</f>
        <v>0</v>
      </c>
      <c r="I11" s="1179">
        <f>H11*'Livestock parameters'!Z10</f>
        <v>0</v>
      </c>
      <c r="J11" s="1269">
        <f>H11*'Livestock parameters'!AA10/100</f>
        <v>0</v>
      </c>
      <c r="K11" s="1279">
        <f>INPUTS!E25</f>
        <v>0</v>
      </c>
      <c r="L11" s="1274">
        <f>INPUTS!E25*INPUTS!D25*(0.337+(0.116*'Livestock parameters'!X10)+(0.06*'Livestock parameters'!W10))</f>
        <v>0</v>
      </c>
      <c r="M11" s="1179">
        <f>L11*'Livestock parameters'!Y10</f>
        <v>0</v>
      </c>
      <c r="N11" s="1269">
        <f>L11*'Livestock parameters'!W10/100</f>
        <v>0</v>
      </c>
      <c r="O11" s="959">
        <f t="shared" si="1"/>
        <v>0</v>
      </c>
      <c r="P11" s="293">
        <f t="shared" si="2"/>
        <v>0</v>
      </c>
      <c r="Q11" s="293">
        <f>'Livestock parameters'!AF10</f>
        <v>0</v>
      </c>
      <c r="R11" s="293">
        <f>'Livestock parameters'!AG10</f>
        <v>0</v>
      </c>
    </row>
    <row r="12" spans="1:21">
      <c r="A12" s="1268">
        <f>INPUTS!C26</f>
        <v>0</v>
      </c>
      <c r="B12" s="1177">
        <f>INPUTS!D26</f>
        <v>0</v>
      </c>
      <c r="C12" s="1177">
        <f>INPUTS!F26</f>
        <v>0</v>
      </c>
      <c r="D12" s="1274">
        <f>B12*'Livestock parameters'!B11/250</f>
        <v>0</v>
      </c>
      <c r="E12" s="1277">
        <f>'Livestock parameters'!V11</f>
        <v>0</v>
      </c>
      <c r="F12" s="1178"/>
      <c r="G12" s="1178">
        <f t="shared" si="3"/>
        <v>0</v>
      </c>
      <c r="H12" s="1178">
        <f>G12*'Livestock parameters'!AB11</f>
        <v>0</v>
      </c>
      <c r="I12" s="1179">
        <f>H12*'Livestock parameters'!Z11</f>
        <v>0</v>
      </c>
      <c r="J12" s="1269">
        <f>H12*'Livestock parameters'!AA11/100</f>
        <v>0</v>
      </c>
      <c r="K12" s="1279">
        <f>INPUTS!E26</f>
        <v>0</v>
      </c>
      <c r="L12" s="1274">
        <f>INPUTS!E26*INPUTS!D26*(0.337+(0.116*'Livestock parameters'!X11)+(0.06*'Livestock parameters'!W11))</f>
        <v>0</v>
      </c>
      <c r="M12" s="1179">
        <f>L12*'Livestock parameters'!Y11</f>
        <v>0</v>
      </c>
      <c r="N12" s="1269">
        <f>L12*'Livestock parameters'!W11/100</f>
        <v>0</v>
      </c>
      <c r="O12" s="959">
        <f t="shared" si="1"/>
        <v>0</v>
      </c>
      <c r="P12" s="293">
        <f t="shared" si="2"/>
        <v>0</v>
      </c>
      <c r="Q12" s="293">
        <f>'Livestock parameters'!AF11</f>
        <v>0</v>
      </c>
      <c r="R12" s="293">
        <f>'Livestock parameters'!AG11</f>
        <v>0</v>
      </c>
    </row>
    <row r="13" spans="1:21">
      <c r="A13" s="1268">
        <f>INPUTS!C27</f>
        <v>0</v>
      </c>
      <c r="B13" s="1177">
        <f>INPUTS!D27</f>
        <v>0</v>
      </c>
      <c r="C13" s="1177">
        <f>INPUTS!F27</f>
        <v>0</v>
      </c>
      <c r="D13" s="1274">
        <f>B13*'Livestock parameters'!B12/250</f>
        <v>0</v>
      </c>
      <c r="E13" s="1277">
        <f>'Livestock parameters'!V12</f>
        <v>0</v>
      </c>
      <c r="F13" s="1178"/>
      <c r="G13" s="1178">
        <f t="shared" si="3"/>
        <v>0</v>
      </c>
      <c r="H13" s="1178">
        <f>G13*'Livestock parameters'!AB12</f>
        <v>0</v>
      </c>
      <c r="I13" s="1179">
        <f>H13*'Livestock parameters'!Z12</f>
        <v>0</v>
      </c>
      <c r="J13" s="1269">
        <f>H13*'Livestock parameters'!AA12/100</f>
        <v>0</v>
      </c>
      <c r="K13" s="1279">
        <f>INPUTS!E27</f>
        <v>0</v>
      </c>
      <c r="L13" s="1274">
        <f>INPUTS!E27*INPUTS!D27*(0.337+(0.116*'Livestock parameters'!X12)+(0.06*'Livestock parameters'!W12))</f>
        <v>0</v>
      </c>
      <c r="M13" s="1179">
        <f>L13*'Livestock parameters'!Y12</f>
        <v>0</v>
      </c>
      <c r="N13" s="1269">
        <f>L13*'Livestock parameters'!W12/100</f>
        <v>0</v>
      </c>
      <c r="O13" s="959">
        <f t="shared" si="1"/>
        <v>0</v>
      </c>
      <c r="P13" s="293">
        <f t="shared" si="2"/>
        <v>0</v>
      </c>
      <c r="Q13" s="293">
        <f>'Livestock parameters'!AF12</f>
        <v>0</v>
      </c>
      <c r="R13" s="293">
        <f>'Livestock parameters'!AG12</f>
        <v>0</v>
      </c>
    </row>
    <row r="14" spans="1:21">
      <c r="A14" s="1268">
        <f>INPUTS!C28</f>
        <v>0</v>
      </c>
      <c r="B14" s="1177">
        <f>INPUTS!D28</f>
        <v>0</v>
      </c>
      <c r="C14" s="1177">
        <f>INPUTS!F28</f>
        <v>0</v>
      </c>
      <c r="D14" s="1274">
        <f>B14*'Livestock parameters'!B13/250</f>
        <v>0</v>
      </c>
      <c r="E14" s="1277">
        <f>'Livestock parameters'!V13</f>
        <v>0</v>
      </c>
      <c r="F14" s="1178"/>
      <c r="G14" s="1178">
        <f t="shared" si="3"/>
        <v>0</v>
      </c>
      <c r="H14" s="1178">
        <f>G14*'Livestock parameters'!AB13</f>
        <v>0</v>
      </c>
      <c r="I14" s="1179">
        <f>H14*'Livestock parameters'!Z13</f>
        <v>0</v>
      </c>
      <c r="J14" s="1269">
        <f>H14*'Livestock parameters'!AA13/100</f>
        <v>0</v>
      </c>
      <c r="K14" s="1279">
        <f>INPUTS!E28</f>
        <v>0</v>
      </c>
      <c r="L14" s="1274">
        <f>INPUTS!E28*INPUTS!D28*(0.337+(0.116*'Livestock parameters'!X13)+(0.06*'Livestock parameters'!W13))</f>
        <v>0</v>
      </c>
      <c r="M14" s="1179">
        <f>L14*'Livestock parameters'!Y13</f>
        <v>0</v>
      </c>
      <c r="N14" s="1269">
        <f>L14*'Livestock parameters'!W13/100</f>
        <v>0</v>
      </c>
      <c r="O14" s="959">
        <f t="shared" si="1"/>
        <v>0</v>
      </c>
      <c r="P14" s="293">
        <f t="shared" si="2"/>
        <v>0</v>
      </c>
      <c r="Q14" s="293">
        <f>'Livestock parameters'!AF13</f>
        <v>0</v>
      </c>
      <c r="R14" s="293">
        <f>'Livestock parameters'!AG13</f>
        <v>0</v>
      </c>
    </row>
    <row r="15" spans="1:21">
      <c r="A15" s="1268">
        <f>INPUTS!C29</f>
        <v>0</v>
      </c>
      <c r="B15" s="1177">
        <f>INPUTS!D29</f>
        <v>0</v>
      </c>
      <c r="C15" s="1177">
        <f>INPUTS!F29</f>
        <v>0</v>
      </c>
      <c r="D15" s="1274">
        <f>B15*'Livestock parameters'!B14/250</f>
        <v>0</v>
      </c>
      <c r="E15" s="1277">
        <f>'Livestock parameters'!V14</f>
        <v>0</v>
      </c>
      <c r="F15" s="1178"/>
      <c r="G15" s="1178">
        <f t="shared" si="3"/>
        <v>0</v>
      </c>
      <c r="H15" s="1178">
        <f>G15*'Livestock parameters'!AB14</f>
        <v>0</v>
      </c>
      <c r="I15" s="1179">
        <f>H15*'Livestock parameters'!Z14</f>
        <v>0</v>
      </c>
      <c r="J15" s="1269">
        <f>H15*'Livestock parameters'!AA14/100</f>
        <v>0</v>
      </c>
      <c r="K15" s="1279">
        <f>INPUTS!E29</f>
        <v>0</v>
      </c>
      <c r="L15" s="1274">
        <f>INPUTS!E29*INPUTS!D29*(0.337+(0.116*'Livestock parameters'!X14)+(0.06*'Livestock parameters'!W14))</f>
        <v>0</v>
      </c>
      <c r="M15" s="1179">
        <f>L15*'Livestock parameters'!Y14</f>
        <v>0</v>
      </c>
      <c r="N15" s="1269">
        <f>L15*'Livestock parameters'!W14/100</f>
        <v>0</v>
      </c>
      <c r="O15" s="959">
        <f t="shared" si="1"/>
        <v>0</v>
      </c>
      <c r="P15" s="293">
        <f t="shared" si="2"/>
        <v>0</v>
      </c>
      <c r="Q15" s="293">
        <f>'Livestock parameters'!AF14</f>
        <v>0</v>
      </c>
      <c r="R15" s="293">
        <f>'Livestock parameters'!AG14</f>
        <v>0</v>
      </c>
    </row>
    <row r="16" spans="1:21">
      <c r="A16" s="1268">
        <f>INPUTS!C30</f>
        <v>0</v>
      </c>
      <c r="B16" s="1177">
        <f>INPUTS!D30</f>
        <v>0</v>
      </c>
      <c r="C16" s="1177">
        <f>INPUTS!F30</f>
        <v>0</v>
      </c>
      <c r="D16" s="1274">
        <f>B16*'Livestock parameters'!B15/250</f>
        <v>0</v>
      </c>
      <c r="E16" s="1277">
        <f>'Livestock parameters'!V15</f>
        <v>0</v>
      </c>
      <c r="F16" s="1178"/>
      <c r="G16" s="1178">
        <f t="shared" si="3"/>
        <v>0</v>
      </c>
      <c r="H16" s="1178">
        <f>G16*'Livestock parameters'!AB15</f>
        <v>0</v>
      </c>
      <c r="I16" s="1179">
        <f>H16*'Livestock parameters'!Z15</f>
        <v>0</v>
      </c>
      <c r="J16" s="1269">
        <f>H16*'Livestock parameters'!AA15/100</f>
        <v>0</v>
      </c>
      <c r="K16" s="1279">
        <f>INPUTS!E30</f>
        <v>0</v>
      </c>
      <c r="L16" s="1274">
        <f>INPUTS!E30*INPUTS!D30*(0.337+(0.116*'Livestock parameters'!X15)+(0.06*'Livestock parameters'!W15))</f>
        <v>0</v>
      </c>
      <c r="M16" s="1179">
        <f>L16*'Livestock parameters'!Y15</f>
        <v>0</v>
      </c>
      <c r="N16" s="1269">
        <f>L16*'Livestock parameters'!W15/100</f>
        <v>0</v>
      </c>
      <c r="O16" s="959">
        <f t="shared" si="1"/>
        <v>0</v>
      </c>
      <c r="P16" s="293">
        <f t="shared" si="2"/>
        <v>0</v>
      </c>
      <c r="Q16" s="293">
        <f>'Livestock parameters'!AF15</f>
        <v>0</v>
      </c>
      <c r="R16" s="293">
        <f>'Livestock parameters'!AG15</f>
        <v>0</v>
      </c>
    </row>
    <row r="17" spans="1:14" ht="18" customHeight="1" thickBot="1">
      <c r="A17" s="1270"/>
      <c r="B17" s="1271"/>
      <c r="C17" s="1271"/>
      <c r="D17" s="1275">
        <f>SUM(D3:D16)</f>
        <v>2.6840000000000002</v>
      </c>
      <c r="E17" s="1278"/>
      <c r="F17" s="1271"/>
      <c r="G17" s="1271">
        <f>SUM(G3:G16)</f>
        <v>156</v>
      </c>
      <c r="H17" s="1271">
        <f>SUM(H3:H16)</f>
        <v>90.47999999999999</v>
      </c>
      <c r="I17" s="1272">
        <f>SUM(I3:I16)</f>
        <v>199055.99999999997</v>
      </c>
      <c r="J17" s="1275">
        <f>SUM(J3:J16)</f>
        <v>23.524799999999995</v>
      </c>
      <c r="K17" s="1278"/>
      <c r="L17" s="1275">
        <f>SUM(L3:L16)</f>
        <v>1613.1450000000002</v>
      </c>
      <c r="M17" s="1272">
        <f>SUM(M3:M16)</f>
        <v>1564750.6500000001</v>
      </c>
      <c r="N17" s="1273">
        <f>SUM(N3:N16)</f>
        <v>59.686365000000016</v>
      </c>
    </row>
    <row r="18" spans="1:14" ht="18" customHeight="1">
      <c r="A18" s="294" t="s">
        <v>1010</v>
      </c>
    </row>
    <row r="19" spans="1:14" ht="105">
      <c r="A19" s="295" t="s">
        <v>1011</v>
      </c>
    </row>
    <row r="20" spans="1:14" ht="30">
      <c r="A20" s="295" t="s">
        <v>1006</v>
      </c>
    </row>
    <row r="21" spans="1:14">
      <c r="A21" s="955" t="s">
        <v>1553</v>
      </c>
    </row>
    <row r="22" spans="1:14">
      <c r="A22" s="296" t="s">
        <v>1007</v>
      </c>
    </row>
    <row r="23" spans="1:14" ht="120">
      <c r="A23" s="296" t="s">
        <v>1008</v>
      </c>
    </row>
    <row r="24" spans="1:14" ht="30">
      <c r="A24" s="296" t="s">
        <v>1009</v>
      </c>
    </row>
    <row r="25" spans="1:14" ht="18" customHeight="1">
      <c r="A25" s="296"/>
    </row>
    <row r="26" spans="1:14" ht="18" customHeight="1">
      <c r="A26" s="977" t="s">
        <v>1559</v>
      </c>
      <c r="B26" s="969"/>
      <c r="C26" s="969"/>
    </row>
    <row r="27" spans="1:14" ht="18" customHeight="1">
      <c r="A27" s="970" t="s">
        <v>1560</v>
      </c>
      <c r="B27" s="971"/>
      <c r="C27" s="971"/>
    </row>
    <row r="28" spans="1:14">
      <c r="A28" s="961" t="s">
        <v>1557</v>
      </c>
      <c r="B28" s="293">
        <f>I17</f>
        <v>199055.99999999997</v>
      </c>
      <c r="K28" s="733"/>
    </row>
    <row r="29" spans="1:14">
      <c r="A29" s="820" t="s">
        <v>1421</v>
      </c>
      <c r="B29" s="959">
        <f>H17</f>
        <v>90.47999999999999</v>
      </c>
      <c r="K29" s="723"/>
    </row>
    <row r="30" spans="1:14">
      <c r="A30" s="961" t="s">
        <v>1302</v>
      </c>
      <c r="B30" s="293">
        <f>J17</f>
        <v>23.524799999999995</v>
      </c>
    </row>
    <row r="31" spans="1:14" ht="15.75">
      <c r="A31"/>
      <c r="B31"/>
      <c r="C31"/>
      <c r="D31"/>
      <c r="E31"/>
      <c r="F31"/>
      <c r="G31"/>
      <c r="H31"/>
      <c r="I31"/>
      <c r="J31"/>
      <c r="K31"/>
      <c r="L31"/>
    </row>
    <row r="32" spans="1:14">
      <c r="A32" s="972" t="s">
        <v>1159</v>
      </c>
      <c r="B32" s="1596"/>
      <c r="C32" s="1596"/>
      <c r="D32" s="973"/>
      <c r="E32" s="974"/>
      <c r="F32" s="974"/>
      <c r="G32" s="974"/>
      <c r="H32" s="974"/>
      <c r="I32" s="974"/>
      <c r="J32" s="974"/>
      <c r="K32" s="974"/>
    </row>
    <row r="33" spans="1:12" ht="15.75">
      <c r="A33" s="390" t="s">
        <v>1019</v>
      </c>
      <c r="B33" s="968">
        <f>L17</f>
        <v>1613.1450000000002</v>
      </c>
      <c r="C33"/>
      <c r="D33"/>
      <c r="E33"/>
      <c r="F33"/>
      <c r="G33"/>
      <c r="H33"/>
      <c r="I33"/>
      <c r="J33"/>
      <c r="K33"/>
      <c r="L33"/>
    </row>
    <row r="34" spans="1:12" ht="15.75">
      <c r="A34"/>
      <c r="B34"/>
      <c r="C34"/>
      <c r="D34"/>
      <c r="E34"/>
      <c r="F34"/>
      <c r="G34"/>
      <c r="H34"/>
      <c r="I34"/>
      <c r="J34"/>
      <c r="K34"/>
      <c r="L34"/>
    </row>
    <row r="35" spans="1:12" ht="15.75">
      <c r="A35" s="961" t="s">
        <v>1558</v>
      </c>
      <c r="B35">
        <f>M17</f>
        <v>1564750.6500000001</v>
      </c>
      <c r="C35"/>
      <c r="D35"/>
      <c r="E35"/>
      <c r="F35"/>
      <c r="G35"/>
      <c r="H35"/>
      <c r="I35"/>
      <c r="J35"/>
      <c r="K35"/>
      <c r="L35"/>
    </row>
    <row r="36" spans="1:12" ht="15.75">
      <c r="A36" t="s">
        <v>1302</v>
      </c>
      <c r="B36">
        <f>N17</f>
        <v>59.686365000000016</v>
      </c>
      <c r="C36"/>
      <c r="D36"/>
      <c r="E36"/>
      <c r="F36"/>
      <c r="G36"/>
      <c r="H36"/>
      <c r="I36"/>
      <c r="J36"/>
      <c r="K36"/>
      <c r="L36"/>
    </row>
    <row r="37" spans="1:12" ht="15.75">
      <c r="A37"/>
      <c r="B37"/>
      <c r="C37"/>
      <c r="D37"/>
      <c r="E37"/>
      <c r="F37"/>
      <c r="G37"/>
      <c r="H37"/>
      <c r="I37"/>
      <c r="J37"/>
      <c r="K37"/>
      <c r="L37"/>
    </row>
    <row r="38" spans="1:12" ht="15.75">
      <c r="A38" s="975" t="s">
        <v>1301</v>
      </c>
      <c r="B38" s="976">
        <f>J17+N17</f>
        <v>83.211165000000008</v>
      </c>
      <c r="C38"/>
      <c r="D38"/>
      <c r="E38"/>
      <c r="F38"/>
      <c r="G38"/>
      <c r="H38"/>
      <c r="I38"/>
      <c r="J38"/>
      <c r="K38"/>
      <c r="L38"/>
    </row>
    <row r="39" spans="1:12" ht="15.75">
      <c r="A39"/>
      <c r="B39"/>
      <c r="C39"/>
      <c r="D39"/>
      <c r="E39"/>
      <c r="F39"/>
      <c r="G39"/>
      <c r="H39"/>
      <c r="I39"/>
      <c r="J39"/>
      <c r="K39"/>
      <c r="L39"/>
    </row>
    <row r="40" spans="1:12" ht="15.75">
      <c r="A40"/>
      <c r="B40"/>
      <c r="C40"/>
      <c r="D40"/>
      <c r="E40"/>
      <c r="F40"/>
      <c r="G40"/>
      <c r="H40"/>
      <c r="I40"/>
      <c r="J40"/>
      <c r="K40"/>
      <c r="L40"/>
    </row>
    <row r="41" spans="1:12">
      <c r="A41" s="711"/>
      <c r="B41" s="959"/>
      <c r="C41" s="959"/>
      <c r="E41" s="960"/>
      <c r="F41" s="960"/>
      <c r="K41" s="959"/>
    </row>
    <row r="42" spans="1:12">
      <c r="A42" s="711"/>
      <c r="B42" s="959"/>
      <c r="C42" s="959"/>
      <c r="E42" s="960"/>
      <c r="F42" s="960"/>
      <c r="K42" s="959"/>
    </row>
  </sheetData>
  <mergeCells count="1">
    <mergeCell ref="B32:C32"/>
  </mergeCells>
  <pageMargins left="0.7" right="0.7" top="0.75" bottom="0.75" header="0.3" footer="0.3"/>
  <pageSetup paperSize="9" orientation="portrait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00B050"/>
  </sheetPr>
  <dimension ref="A1:N98"/>
  <sheetViews>
    <sheetView workbookViewId="0">
      <selection activeCell="B8" sqref="B8:F20"/>
    </sheetView>
  </sheetViews>
  <sheetFormatPr defaultColWidth="8.625" defaultRowHeight="15.75"/>
  <cols>
    <col min="1" max="1" width="53" style="1325" bestFit="1" customWidth="1"/>
    <col min="2" max="2" width="25.75" style="1325" bestFit="1" customWidth="1"/>
    <col min="3" max="3" width="36.5" style="1325" customWidth="1"/>
    <col min="4" max="4" width="28.125" style="1325" customWidth="1"/>
    <col min="5" max="5" width="31.75" style="1325" customWidth="1"/>
    <col min="6" max="6" width="29.125" style="1325" customWidth="1"/>
    <col min="7" max="7" width="23.25" style="1325" customWidth="1"/>
    <col min="8" max="8" width="18.75" style="1325" customWidth="1"/>
    <col min="9" max="9" width="26.5" style="1325" customWidth="1"/>
    <col min="10" max="10" width="22.625" style="1325" customWidth="1"/>
    <col min="11" max="11" width="25.625" style="1325" customWidth="1"/>
    <col min="12" max="12" width="19" style="1325" customWidth="1"/>
    <col min="13" max="13" width="23.5" style="1325" customWidth="1"/>
    <col min="14" max="14" width="20.875" style="1325" customWidth="1"/>
    <col min="15" max="16384" width="8.625" style="1325"/>
  </cols>
  <sheetData>
    <row r="1" spans="1:13" s="511" customFormat="1" ht="29.25" customHeight="1">
      <c r="A1" s="512" t="s">
        <v>1176</v>
      </c>
      <c r="B1" s="512"/>
    </row>
    <row r="3" spans="1:13" s="359" customFormat="1">
      <c r="A3" s="42" t="s">
        <v>1246</v>
      </c>
    </row>
    <row r="4" spans="1:13">
      <c r="A4" s="1325" t="s">
        <v>1195</v>
      </c>
    </row>
    <row r="5" spans="1:13">
      <c r="A5" s="657" t="s">
        <v>1223</v>
      </c>
      <c r="I5" s="648"/>
    </row>
    <row r="7" spans="1:13" ht="31.5">
      <c r="A7" s="17" t="s">
        <v>1196</v>
      </c>
      <c r="B7" s="17" t="s">
        <v>1192</v>
      </c>
      <c r="C7" s="17" t="s">
        <v>1296</v>
      </c>
      <c r="D7" s="605" t="s">
        <v>1295</v>
      </c>
      <c r="E7" s="17" t="s">
        <v>1197</v>
      </c>
      <c r="F7" s="607" t="s">
        <v>1198</v>
      </c>
      <c r="I7" s="10"/>
      <c r="J7" s="10"/>
      <c r="K7" s="10"/>
      <c r="L7" s="10"/>
      <c r="M7" s="10"/>
    </row>
    <row r="8" spans="1:13">
      <c r="A8" s="13" t="str">
        <f>Economics_Parameters!B4</f>
        <v>Cattle Manure</v>
      </c>
      <c r="B8" s="13">
        <f>Economics_Parameters!C4</f>
        <v>5.7999999999999996E-3</v>
      </c>
      <c r="C8" s="602">
        <f>Feed!F175</f>
        <v>2857.3951767242161</v>
      </c>
      <c r="D8" s="606">
        <f>Feed!$Q$175</f>
        <v>2571.6556590517948</v>
      </c>
      <c r="E8" s="632">
        <f>C8*B8</f>
        <v>16.572892025000453</v>
      </c>
      <c r="F8" s="631">
        <f>D8*B8</f>
        <v>14.915602822500409</v>
      </c>
      <c r="J8" s="649"/>
      <c r="K8" s="649"/>
      <c r="L8" s="610"/>
      <c r="M8" s="610"/>
    </row>
    <row r="9" spans="1:13">
      <c r="A9" s="13" t="str">
        <f>Economics_Parameters!B5</f>
        <v>Sheep Manure</v>
      </c>
      <c r="B9" s="13">
        <f>Economics_Parameters!C5</f>
        <v>0</v>
      </c>
      <c r="C9" s="602"/>
      <c r="D9" s="606"/>
      <c r="E9" s="632">
        <f t="shared" ref="E9:E17" si="0">C9*B9</f>
        <v>0</v>
      </c>
      <c r="F9" s="608">
        <f t="shared" ref="F9:F10" si="1">D9*B9</f>
        <v>0</v>
      </c>
      <c r="J9" s="590"/>
      <c r="L9" s="610"/>
    </row>
    <row r="10" spans="1:13">
      <c r="A10" s="13" t="str">
        <f>Economics_Parameters!B6</f>
        <v>Goat Manure</v>
      </c>
      <c r="B10" s="13">
        <f>Economics_Parameters!C6</f>
        <v>0</v>
      </c>
      <c r="C10" s="602"/>
      <c r="D10" s="606"/>
      <c r="E10" s="632">
        <f t="shared" si="0"/>
        <v>0</v>
      </c>
      <c r="F10" s="608">
        <f t="shared" si="1"/>
        <v>0</v>
      </c>
      <c r="J10" s="590"/>
      <c r="L10" s="610"/>
    </row>
    <row r="11" spans="1:13">
      <c r="A11" s="13" t="str">
        <f>Economics_Parameters!B7</f>
        <v>Beef</v>
      </c>
      <c r="B11" s="13">
        <f>Economics_Parameters!C7</f>
        <v>3</v>
      </c>
      <c r="C11" s="603">
        <f>'Meat &amp; Milk '!$U$3</f>
        <v>90.47999999999999</v>
      </c>
      <c r="E11" s="632">
        <f t="shared" si="0"/>
        <v>271.43999999999994</v>
      </c>
    </row>
    <row r="12" spans="1:13" s="1351" customFormat="1">
      <c r="A12" s="13" t="s">
        <v>1868</v>
      </c>
      <c r="B12" s="13">
        <f>Economics_Parameters!C8</f>
        <v>0</v>
      </c>
      <c r="C12" s="603">
        <f>'Meat &amp; Milk '!U4</f>
        <v>0</v>
      </c>
      <c r="E12" s="632">
        <f t="shared" si="0"/>
        <v>0</v>
      </c>
    </row>
    <row r="13" spans="1:13">
      <c r="A13" s="13" t="str">
        <f>Economics_Parameters!B9</f>
        <v>Goat/Lamb/Mutton</v>
      </c>
      <c r="B13" s="13">
        <f>Economics_Parameters!C9</f>
        <v>0</v>
      </c>
      <c r="C13" s="603">
        <f>'Meat &amp; Milk '!U5</f>
        <v>0</v>
      </c>
      <c r="E13" s="632">
        <f t="shared" si="0"/>
        <v>0</v>
      </c>
    </row>
    <row r="14" spans="1:13" s="1351" customFormat="1">
      <c r="A14" s="13" t="s">
        <v>1643</v>
      </c>
      <c r="B14" s="13">
        <f>Economics_Parameters!C10</f>
        <v>0</v>
      </c>
      <c r="C14" s="603">
        <f>'Meat &amp; Milk '!U6</f>
        <v>0</v>
      </c>
      <c r="E14" s="632">
        <f t="shared" si="0"/>
        <v>0</v>
      </c>
    </row>
    <row r="15" spans="1:13">
      <c r="A15" s="13" t="str">
        <f>Economics_Parameters!B11</f>
        <v>Cow Milk</v>
      </c>
      <c r="B15" s="13">
        <f>Economics_Parameters!C11</f>
        <v>0.35</v>
      </c>
      <c r="C15" s="603">
        <f>'Meat &amp; Milk '!U7</f>
        <v>1525</v>
      </c>
      <c r="E15" s="632">
        <f t="shared" si="0"/>
        <v>533.75</v>
      </c>
      <c r="J15" s="600"/>
      <c r="K15" s="600"/>
      <c r="L15" s="614"/>
      <c r="M15" s="614"/>
    </row>
    <row r="16" spans="1:13" s="1351" customFormat="1">
      <c r="A16" s="13" t="s">
        <v>1867</v>
      </c>
      <c r="B16" s="13">
        <f>Economics_Parameters!C12</f>
        <v>0</v>
      </c>
      <c r="C16" s="603">
        <f>'Meat &amp; Milk '!U8</f>
        <v>0</v>
      </c>
      <c r="E16" s="632">
        <f t="shared" si="0"/>
        <v>0</v>
      </c>
      <c r="J16" s="600"/>
      <c r="K16" s="600"/>
      <c r="L16" s="614"/>
      <c r="M16" s="614"/>
    </row>
    <row r="17" spans="1:14">
      <c r="A17" s="13" t="str">
        <f>Economics_Parameters!B13</f>
        <v>Goat/sheep milk</v>
      </c>
      <c r="B17" s="13">
        <f>Economics_Parameters!C13</f>
        <v>0</v>
      </c>
      <c r="C17" s="603">
        <f>'Meat &amp; Milk '!U9</f>
        <v>0</v>
      </c>
      <c r="E17" s="632">
        <f t="shared" si="0"/>
        <v>0</v>
      </c>
      <c r="J17" s="600"/>
      <c r="K17" s="600"/>
      <c r="L17" s="614"/>
      <c r="M17" s="614"/>
    </row>
    <row r="18" spans="1:14">
      <c r="J18" s="600"/>
      <c r="K18" s="600"/>
      <c r="L18" s="614"/>
      <c r="M18" s="614"/>
    </row>
    <row r="19" spans="1:14">
      <c r="A19" s="1318" t="s">
        <v>1199</v>
      </c>
      <c r="B19" s="1318"/>
      <c r="C19" s="1318"/>
      <c r="D19" s="1318"/>
      <c r="E19" s="601">
        <f>SUM(E8:E17)</f>
        <v>821.76289202500038</v>
      </c>
      <c r="F19" s="601">
        <f>SUM(F8:F10)+SUM(E11:E17)</f>
        <v>820.10560282250037</v>
      </c>
      <c r="J19" s="600"/>
      <c r="K19" s="600"/>
      <c r="L19" s="614"/>
      <c r="M19" s="614"/>
    </row>
    <row r="20" spans="1:14" s="37" customFormat="1">
      <c r="E20" s="1040" t="e">
        <f ca="1">E19-INDIRECT(CONCATENATE("'[","Baseline.xlsm","]Economics_Payback '","!E18"))</f>
        <v>#REF!</v>
      </c>
      <c r="F20" s="668"/>
      <c r="J20" s="646"/>
      <c r="K20" s="646"/>
      <c r="L20" s="661"/>
      <c r="M20" s="661"/>
    </row>
    <row r="21" spans="1:14">
      <c r="J21" s="600"/>
      <c r="K21" s="600"/>
      <c r="L21" s="614"/>
      <c r="M21" s="614"/>
    </row>
    <row r="22" spans="1:14" s="359" customFormat="1">
      <c r="A22" s="359" t="s">
        <v>1247</v>
      </c>
      <c r="M22" s="656"/>
    </row>
    <row r="24" spans="1:14">
      <c r="A24" s="612" t="s">
        <v>1634</v>
      </c>
      <c r="B24" s="612" t="s">
        <v>1469</v>
      </c>
      <c r="C24" s="612" t="s">
        <v>1470</v>
      </c>
      <c r="D24" s="612"/>
      <c r="E24" s="612"/>
      <c r="F24" s="1318" t="s">
        <v>1471</v>
      </c>
    </row>
    <row r="25" spans="1:14">
      <c r="A25" s="72" t="str">
        <f>INPUTS!C17</f>
        <v>Cows (improved)</v>
      </c>
      <c r="B25" s="1036" t="e">
        <f>INPUTS!C162*(INPUTS!D162+INPUTS!F162*Economics_Parameters!$C$14)</f>
        <v>#VALUE!</v>
      </c>
      <c r="C25" s="1036">
        <f>INPUTS!C144*(INPUTS!D144+INPUTS!E144*Economics_Parameters!$C$14)+INPUTS!C162*(INPUTS!E162+INPUTS!G162*Economics_Parameters!$C$14)</f>
        <v>1800</v>
      </c>
      <c r="D25" s="615"/>
      <c r="E25" s="615"/>
      <c r="F25" s="615" t="e">
        <f>SUM(B25+C25+E25)</f>
        <v>#VALUE!</v>
      </c>
      <c r="J25" s="39"/>
      <c r="K25" s="647"/>
      <c r="L25" s="600"/>
      <c r="M25" s="600"/>
      <c r="N25" s="610"/>
    </row>
    <row r="26" spans="1:14">
      <c r="A26" s="72" t="str">
        <f>INPUTS!C18</f>
        <v>Steers/heifers (improved)</v>
      </c>
      <c r="B26" s="1036" t="e">
        <f>INPUTS!C163*(INPUTS!D163+INPUTS!F163*Economics_Parameters!$C$14)</f>
        <v>#VALUE!</v>
      </c>
      <c r="C26" s="1036">
        <f>INPUTS!C145*(INPUTS!D145+INPUTS!E145*Economics_Parameters!$C$14)+INPUTS!C163*(INPUTS!E163+INPUTS!G163*Economics_Parameters!$C$14)</f>
        <v>500</v>
      </c>
      <c r="D26" s="615"/>
      <c r="E26" s="615"/>
      <c r="F26" s="615" t="e">
        <f t="shared" ref="F26:F38" si="2">SUM(B26+C26+E26)</f>
        <v>#VALUE!</v>
      </c>
      <c r="J26" s="39"/>
      <c r="K26" s="647"/>
      <c r="L26" s="600"/>
      <c r="M26" s="600"/>
      <c r="N26" s="610"/>
    </row>
    <row r="27" spans="1:14">
      <c r="A27" s="72">
        <f>INPUTS!C19</f>
        <v>0</v>
      </c>
      <c r="B27" s="1036" t="e">
        <f>INPUTS!C164*(INPUTS!D164+INPUTS!F164*Economics_Parameters!$C$14)</f>
        <v>#N/A</v>
      </c>
      <c r="C27" s="1036" t="e">
        <f>INPUTS!C146*(INPUTS!D146+INPUTS!E146*Economics_Parameters!$C$14)+INPUTS!C164*(INPUTS!E164+INPUTS!G164*Economics_Parameters!$C$14)</f>
        <v>#N/A</v>
      </c>
      <c r="D27" s="615"/>
      <c r="E27" s="615"/>
      <c r="F27" s="615" t="e">
        <f t="shared" si="2"/>
        <v>#N/A</v>
      </c>
      <c r="J27" s="39"/>
      <c r="K27" s="647"/>
      <c r="L27" s="600"/>
      <c r="M27" s="600"/>
      <c r="N27" s="610"/>
    </row>
    <row r="28" spans="1:14">
      <c r="A28" s="72">
        <f>INPUTS!C20</f>
        <v>0</v>
      </c>
      <c r="B28" s="1036" t="e">
        <f>INPUTS!C165*(INPUTS!D165+INPUTS!F165*Economics_Parameters!$C$14)</f>
        <v>#N/A</v>
      </c>
      <c r="C28" s="1036" t="e">
        <f>INPUTS!C147*(INPUTS!D147+INPUTS!E147*Economics_Parameters!$C$14)+INPUTS!C165*(INPUTS!E165+INPUTS!G165*Economics_Parameters!$C$14)</f>
        <v>#N/A</v>
      </c>
      <c r="D28" s="615"/>
      <c r="E28" s="615"/>
      <c r="F28" s="615" t="e">
        <f t="shared" si="2"/>
        <v>#N/A</v>
      </c>
      <c r="J28" s="39"/>
      <c r="K28" s="647"/>
      <c r="L28" s="600"/>
      <c r="M28" s="600"/>
      <c r="N28" s="610"/>
    </row>
    <row r="29" spans="1:14">
      <c r="A29" s="72">
        <f>INPUTS!C21</f>
        <v>0</v>
      </c>
      <c r="B29" s="1036" t="e">
        <f>INPUTS!C166*(INPUTS!D166+INPUTS!F166*Economics_Parameters!$C$14)</f>
        <v>#N/A</v>
      </c>
      <c r="C29" s="1036" t="e">
        <f>INPUTS!C148*(INPUTS!D148+INPUTS!E148*Economics_Parameters!$C$14)+INPUTS!C166*(INPUTS!E166+INPUTS!G166*Economics_Parameters!$C$14)</f>
        <v>#N/A</v>
      </c>
      <c r="D29" s="615"/>
      <c r="E29" s="615"/>
      <c r="F29" s="615" t="e">
        <f t="shared" si="2"/>
        <v>#N/A</v>
      </c>
      <c r="J29" s="39"/>
      <c r="K29" s="647"/>
      <c r="L29" s="600"/>
      <c r="M29" s="600"/>
      <c r="N29" s="610"/>
    </row>
    <row r="30" spans="1:14">
      <c r="A30" s="72">
        <f>INPUTS!C22</f>
        <v>0</v>
      </c>
      <c r="B30" s="1036" t="e">
        <f>INPUTS!C167*(INPUTS!D167+INPUTS!F167*Economics_Parameters!$C$14)</f>
        <v>#N/A</v>
      </c>
      <c r="C30" s="1036" t="e">
        <f>INPUTS!C149*(INPUTS!D149+INPUTS!E149*Economics_Parameters!$C$14)+INPUTS!C167*(INPUTS!E167+INPUTS!G167*Economics_Parameters!$C$14)</f>
        <v>#N/A</v>
      </c>
      <c r="D30" s="615"/>
      <c r="E30" s="615"/>
      <c r="F30" s="615" t="e">
        <f t="shared" si="2"/>
        <v>#N/A</v>
      </c>
      <c r="J30" s="39"/>
      <c r="K30" s="647"/>
      <c r="L30" s="600"/>
      <c r="M30" s="600"/>
      <c r="N30" s="610"/>
    </row>
    <row r="31" spans="1:14">
      <c r="A31" s="72">
        <f>INPUTS!C23</f>
        <v>0</v>
      </c>
      <c r="B31" s="1036" t="e">
        <f>INPUTS!C168*(INPUTS!D168+INPUTS!F168*Economics_Parameters!$C$14)</f>
        <v>#N/A</v>
      </c>
      <c r="C31" s="1036" t="e">
        <f>INPUTS!C150*(INPUTS!D150+INPUTS!E150*Economics_Parameters!$C$14)+INPUTS!C168*(INPUTS!E168+INPUTS!G168*Economics_Parameters!$C$14)</f>
        <v>#N/A</v>
      </c>
      <c r="D31" s="615"/>
      <c r="E31" s="615"/>
      <c r="F31" s="615" t="e">
        <f t="shared" si="2"/>
        <v>#N/A</v>
      </c>
      <c r="J31" s="39"/>
      <c r="K31" s="647"/>
      <c r="L31" s="600"/>
      <c r="M31" s="600"/>
      <c r="N31" s="610"/>
    </row>
    <row r="32" spans="1:14">
      <c r="A32" s="72">
        <f>INPUTS!C24</f>
        <v>0</v>
      </c>
      <c r="B32" s="1036" t="e">
        <f>INPUTS!C171*(INPUTS!D171+INPUTS!F171*Economics_Parameters!$C$14)</f>
        <v>#N/A</v>
      </c>
      <c r="C32" s="1036" t="e">
        <f>INPUTS!C153*(INPUTS!D153+INPUTS!E153*Economics_Parameters!$C$14)+INPUTS!C171*(INPUTS!E171+INPUTS!G171*Economics_Parameters!$C$14)</f>
        <v>#N/A</v>
      </c>
      <c r="D32" s="615"/>
      <c r="E32" s="615"/>
      <c r="F32" s="615" t="e">
        <f t="shared" si="2"/>
        <v>#N/A</v>
      </c>
      <c r="J32" s="39"/>
      <c r="K32" s="647"/>
      <c r="L32" s="600"/>
      <c r="M32" s="600"/>
      <c r="N32" s="610"/>
    </row>
    <row r="33" spans="1:14">
      <c r="A33" s="72">
        <f>INPUTS!C25</f>
        <v>0</v>
      </c>
      <c r="B33" s="1036" t="e">
        <f>INPUTS!C172*(INPUTS!D172+INPUTS!F172*Economics_Parameters!$C$14)</f>
        <v>#N/A</v>
      </c>
      <c r="C33" s="1036" t="e">
        <f>INPUTS!C154*(INPUTS!D154+INPUTS!E154*Economics_Parameters!$C$14)+INPUTS!C172*(INPUTS!E172+INPUTS!G172*Economics_Parameters!$C$14)</f>
        <v>#N/A</v>
      </c>
      <c r="D33" s="615"/>
      <c r="E33" s="615"/>
      <c r="F33" s="615" t="e">
        <f t="shared" si="2"/>
        <v>#N/A</v>
      </c>
      <c r="J33" s="39"/>
      <c r="K33" s="647"/>
      <c r="L33" s="600"/>
      <c r="M33" s="600"/>
      <c r="N33" s="610"/>
    </row>
    <row r="34" spans="1:14">
      <c r="A34" s="72" t="e">
        <f>INPUTS!#REF!</f>
        <v>#REF!</v>
      </c>
      <c r="B34" s="1036" t="e">
        <f>INPUTS!C173*(INPUTS!D173+INPUTS!F173*Economics_Parameters!$C$14)</f>
        <v>#N/A</v>
      </c>
      <c r="C34" s="1036" t="e">
        <f>INPUTS!C155*(INPUTS!D155+INPUTS!E155*Economics_Parameters!$C$14)+INPUTS!C173*(INPUTS!E173+INPUTS!G173*Economics_Parameters!$C$14)</f>
        <v>#N/A</v>
      </c>
      <c r="D34" s="615"/>
      <c r="E34" s="615"/>
      <c r="F34" s="615" t="e">
        <f t="shared" si="2"/>
        <v>#N/A</v>
      </c>
      <c r="J34" s="39"/>
      <c r="K34" s="647"/>
      <c r="L34" s="600"/>
      <c r="M34" s="600"/>
      <c r="N34" s="610"/>
    </row>
    <row r="35" spans="1:14">
      <c r="A35" s="72" t="e">
        <f>INPUTS!#REF!</f>
        <v>#REF!</v>
      </c>
      <c r="B35" s="1036" t="e">
        <f>INPUTS!C174*(INPUTS!D174+INPUTS!F174*Economics_Parameters!$C$14)</f>
        <v>#N/A</v>
      </c>
      <c r="C35" s="1036" t="e">
        <f>INPUTS!C156*(INPUTS!D156+INPUTS!E156*Economics_Parameters!$C$14)+INPUTS!C174*(INPUTS!E174+INPUTS!G174*Economics_Parameters!$C$14)</f>
        <v>#N/A</v>
      </c>
      <c r="D35" s="615"/>
      <c r="E35" s="615"/>
      <c r="F35" s="615" t="e">
        <f t="shared" si="2"/>
        <v>#N/A</v>
      </c>
      <c r="J35" s="39"/>
      <c r="K35" s="647"/>
      <c r="L35" s="600"/>
      <c r="M35" s="600"/>
      <c r="N35" s="610"/>
    </row>
    <row r="36" spans="1:14">
      <c r="A36" s="72" t="e">
        <f>INPUTS!#REF!</f>
        <v>#REF!</v>
      </c>
      <c r="B36" s="1036" t="e">
        <f>INPUTS!C173*(INPUTS!D173+INPUTS!F173*Economics_Parameters!$C$14)</f>
        <v>#N/A</v>
      </c>
      <c r="C36" s="1036" t="e">
        <f>INPUTS!C155*(INPUTS!D155+INPUTS!E155*Economics_Parameters!$C$14)+INPUTS!C173*(INPUTS!E173+INPUTS!G173*Economics_Parameters!$C$14)</f>
        <v>#N/A</v>
      </c>
      <c r="D36" s="615"/>
      <c r="E36" s="615"/>
      <c r="F36" s="615" t="e">
        <f t="shared" si="2"/>
        <v>#N/A</v>
      </c>
      <c r="N36" s="610"/>
    </row>
    <row r="37" spans="1:14">
      <c r="A37" s="72" t="e">
        <f>INPUTS!#REF!</f>
        <v>#REF!</v>
      </c>
      <c r="B37" s="1036" t="e">
        <f>INPUTS!C174*(INPUTS!D174+INPUTS!F174*Economics_Parameters!$C$14)</f>
        <v>#N/A</v>
      </c>
      <c r="C37" s="1036" t="e">
        <f>INPUTS!C156*(INPUTS!D156+INPUTS!E156*Economics_Parameters!$C$14)+INPUTS!C174*(INPUTS!E174+INPUTS!G174*Economics_Parameters!$C$14)</f>
        <v>#N/A</v>
      </c>
      <c r="D37" s="615"/>
      <c r="E37" s="615"/>
      <c r="F37" s="615" t="e">
        <f t="shared" si="2"/>
        <v>#N/A</v>
      </c>
    </row>
    <row r="38" spans="1:14">
      <c r="A38" s="616" t="e">
        <f>INPUTS!#REF!</f>
        <v>#REF!</v>
      </c>
      <c r="B38" s="1036" t="e">
        <f>INPUTS!C175*(INPUTS!D175+INPUTS!F175*Economics_Parameters!$C$14)</f>
        <v>#N/A</v>
      </c>
      <c r="C38" s="1036" t="e">
        <f>INPUTS!C157*(INPUTS!D157+INPUTS!E157*Economics_Parameters!$C$14)+INPUTS!C175*(INPUTS!E175+INPUTS!G175*Economics_Parameters!$C$14)</f>
        <v>#N/A</v>
      </c>
      <c r="D38" s="617"/>
      <c r="E38" s="617"/>
      <c r="F38" s="617" t="e">
        <f t="shared" si="2"/>
        <v>#N/A</v>
      </c>
      <c r="N38" s="610"/>
    </row>
    <row r="39" spans="1:14">
      <c r="B39" s="641" t="e">
        <f>SUM(B25:B38)</f>
        <v>#VALUE!</v>
      </c>
      <c r="C39" s="641" t="e">
        <f>SUM(C25:C38)</f>
        <v>#N/A</v>
      </c>
      <c r="F39" s="611" t="e">
        <f>SUM(F25:F38)</f>
        <v>#VALUE!</v>
      </c>
      <c r="J39" s="600"/>
      <c r="K39" s="600"/>
      <c r="L39" s="614"/>
      <c r="M39" s="614"/>
    </row>
    <row r="40" spans="1:14">
      <c r="J40" s="600"/>
      <c r="K40" s="600"/>
      <c r="L40" s="614"/>
      <c r="M40" s="614"/>
    </row>
    <row r="41" spans="1:14">
      <c r="A41" s="612" t="s">
        <v>1635</v>
      </c>
      <c r="B41" s="612" t="s">
        <v>1469</v>
      </c>
      <c r="C41" s="612" t="s">
        <v>1470</v>
      </c>
      <c r="D41" s="637" t="s">
        <v>1220</v>
      </c>
      <c r="E41" s="612"/>
      <c r="F41" s="1318" t="s">
        <v>1248</v>
      </c>
      <c r="I41" s="600"/>
      <c r="J41" s="600"/>
      <c r="K41" s="614"/>
      <c r="L41" s="614"/>
    </row>
    <row r="42" spans="1:14">
      <c r="A42" s="72" t="e">
        <f ca="1">IF(INPUTS!$B$179= "",INPUTS!$B$189,INPUTS!$B$179)</f>
        <v>#REF!</v>
      </c>
      <c r="B42" s="1037" t="e">
        <f ca="1">IF(INPUTS!C189=0,INPUTS!D189*(INPUTS!E189+INPUTS!G189*Economics_Parameters!$C$14),INPUTS!C189*(INPUTS!E189+INPUTS!G189*Economics_Parameters!$C$14))+IF(INPUTS!C179=0,INPUTS!D179*(INPUTS!E179+INPUTS!G179*Economics_Parameters!$C$14),INPUTS!C179*(INPUTS!E179+INPUTS!G179*Economics_Parameters!$C$14))</f>
        <v>#REF!</v>
      </c>
      <c r="C42" s="1038" t="e">
        <f ca="1">IF(INPUTS!C179=0,INPUTS!D179*(INPUTS!F179+(INPUTS!H179*Economics_Parameters!$C$14)),INPUTS!C179*(INPUTS!F179+(INPUTS!H179*Economics_Parameters!$C$14)))+IF(INPUTS!C189=0,INPUTS!D189*(INPUTS!F189+(INPUTS!H189*Economics_Parameters!$C$14)),INPUTS!C189*(INPUTS!F189+(INPUTS!H189*Economics_Parameters!$C$14)))</f>
        <v>#REF!</v>
      </c>
      <c r="D42" s="1039" t="e">
        <f ca="1">(INPUTS!C179+INPUTS!C189)*Economics_Parameters!$C$19</f>
        <v>#REF!</v>
      </c>
      <c r="E42" s="72"/>
      <c r="F42" s="667" t="e">
        <f ca="1">SUM(B42+C42+D42+E42)</f>
        <v>#REF!</v>
      </c>
      <c r="L42" s="614"/>
    </row>
    <row r="43" spans="1:14">
      <c r="A43" s="72" t="e">
        <f ca="1">IF(INPUTS!$B$180= "",INPUTS!$B$190,INPUTS!$B$180)</f>
        <v>#REF!</v>
      </c>
      <c r="B43" s="1037" t="e">
        <f ca="1">IF(INPUTS!C190=0,INPUTS!D190*(INPUTS!E190+INPUTS!G190*Economics_Parameters!$C$14),INPUTS!C190*(INPUTS!E190+INPUTS!G190*Economics_Parameters!$C$14))+IF(INPUTS!C180=0,INPUTS!D180*(INPUTS!E180+INPUTS!G180*Economics_Parameters!$C$14),INPUTS!C180*(INPUTS!E180+INPUTS!G180*Economics_Parameters!$C$14))</f>
        <v>#REF!</v>
      </c>
      <c r="C43" s="1038" t="e">
        <f ca="1">IF(INPUTS!C180=0,INPUTS!D180*(INPUTS!F180+(INPUTS!H180*Economics_Parameters!$C$14)),INPUTS!C180*(INPUTS!F180+(INPUTS!H180*Economics_Parameters!$C$14)))+IF(INPUTS!C190=0,INPUTS!D190*(INPUTS!F190+(INPUTS!H190*Economics_Parameters!$C$14)),INPUTS!C190*(INPUTS!F190+(INPUTS!H190*Economics_Parameters!$C$14)))</f>
        <v>#REF!</v>
      </c>
      <c r="D43" s="1039" t="e">
        <f ca="1">(INPUTS!C180+INPUTS!C190)*Economics_Parameters!$C$19</f>
        <v>#REF!</v>
      </c>
      <c r="E43" s="72"/>
      <c r="F43" s="667" t="e">
        <f ca="1">SUM(B43+C43+D43+E43)</f>
        <v>#REF!</v>
      </c>
    </row>
    <row r="44" spans="1:14">
      <c r="A44" s="72" t="e">
        <f ca="1">IF(INPUTS!$B$181= "",INPUTS!$B$191,INPUTS!$B$181)</f>
        <v>#REF!</v>
      </c>
      <c r="B44" s="1037" t="e">
        <f ca="1">IF(INPUTS!C191=0,INPUTS!D191*(INPUTS!E191+INPUTS!G191*Economics_Parameters!$C$14),INPUTS!C191*(INPUTS!E191+INPUTS!G191*Economics_Parameters!$C$14))+IF(INPUTS!C181=0,INPUTS!D181*(INPUTS!E181+INPUTS!G181*Economics_Parameters!$C$14),INPUTS!C181*(INPUTS!E181+INPUTS!G181*Economics_Parameters!$C$14))</f>
        <v>#REF!</v>
      </c>
      <c r="C44" s="1038" t="e">
        <f ca="1">IF(INPUTS!C181=0,INPUTS!D181*(INPUTS!F181+(INPUTS!H181*Economics_Parameters!$C$14)),INPUTS!C181*(INPUTS!F181+(INPUTS!H181*Economics_Parameters!$C$14)))+IF(INPUTS!C191=0,INPUTS!D191*(INPUTS!F191+(INPUTS!H191*Economics_Parameters!$C$14)),INPUTS!C191*(INPUTS!F191+(INPUTS!H191*Economics_Parameters!$C$14)))</f>
        <v>#REF!</v>
      </c>
      <c r="D44" s="1039" t="e">
        <f ca="1">(INPUTS!C181+INPUTS!C191)*Economics_Parameters!$C$19</f>
        <v>#REF!</v>
      </c>
      <c r="E44" s="72"/>
      <c r="F44" s="667" t="e">
        <f ca="1">SUM(B44+C44+D44+E44)</f>
        <v>#REF!</v>
      </c>
      <c r="L44" s="610"/>
    </row>
    <row r="45" spans="1:14">
      <c r="A45" s="72" t="e">
        <f ca="1">IF(INPUTS!$B$182= "",INPUTS!$B$192,INPUTS!$B$182)</f>
        <v>#REF!</v>
      </c>
      <c r="B45" s="1037" t="e">
        <f ca="1">IF(INPUTS!C192=0,INPUTS!D192*(INPUTS!E192+INPUTS!G192*Economics_Parameters!$C$14),INPUTS!C192*(INPUTS!E192+INPUTS!G192*Economics_Parameters!$C$14))+IF(INPUTS!C182=0,INPUTS!D182*(INPUTS!E182+INPUTS!G182*Economics_Parameters!$C$14),INPUTS!C182*(INPUTS!E182+INPUTS!G182*Economics_Parameters!$C$14))</f>
        <v>#REF!</v>
      </c>
      <c r="C45" s="1038" t="e">
        <f ca="1">IF(INPUTS!C182=0,INPUTS!D182*(INPUTS!F182+(INPUTS!H182*Economics_Parameters!$C$14)),INPUTS!C182*(INPUTS!F182+(INPUTS!H182*Economics_Parameters!$C$14)))+IF(INPUTS!C192=0,INPUTS!D192*(INPUTS!F192+(INPUTS!H192*Economics_Parameters!$C$14)),INPUTS!C192*(INPUTS!F192+(INPUTS!H192*Economics_Parameters!$C$14)))</f>
        <v>#REF!</v>
      </c>
      <c r="D45" s="1039" t="e">
        <f ca="1">(INPUTS!C182+INPUTS!C192)*Economics_Parameters!$C$19</f>
        <v>#REF!</v>
      </c>
      <c r="E45" s="72"/>
      <c r="F45" s="667" t="e">
        <f ca="1">SUM(B45+C45+D45+E45)</f>
        <v>#REF!</v>
      </c>
    </row>
    <row r="46" spans="1:14">
      <c r="A46" s="72" t="e">
        <f ca="1">IF(INPUTS!$B$183= "",INPUTS!$B$193,INPUTS!$B$183)</f>
        <v>#REF!</v>
      </c>
      <c r="B46" s="1037" t="e">
        <f ca="1">IF(INPUTS!C193=0,INPUTS!D193*(INPUTS!E193+INPUTS!G193*Economics_Parameters!$C$14),INPUTS!C193*(INPUTS!E193+INPUTS!G193*Economics_Parameters!$C$14))+IF(INPUTS!C183=0,INPUTS!D183*(INPUTS!E183+INPUTS!G183*Economics_Parameters!$C$14),INPUTS!C183*(INPUTS!E183+INPUTS!G183*Economics_Parameters!$C$14))</f>
        <v>#REF!</v>
      </c>
      <c r="C46" s="1038" t="e">
        <f ca="1">IF(INPUTS!C183=0,INPUTS!D183*(INPUTS!F183+(INPUTS!H183*Economics_Parameters!$C$14)),INPUTS!C183*(INPUTS!F183+(INPUTS!H183*Economics_Parameters!$C$14)))+IF(INPUTS!C193=0,INPUTS!D193*(INPUTS!F193+(INPUTS!H193*Economics_Parameters!$C$14)),INPUTS!C193*(INPUTS!F193+(INPUTS!H193*Economics_Parameters!$C$14)))</f>
        <v>#REF!</v>
      </c>
      <c r="D46" s="1039" t="e">
        <f ca="1">(INPUTS!C183+INPUTS!C193)*Economics_Parameters!$C$19</f>
        <v>#REF!</v>
      </c>
      <c r="E46" s="72"/>
      <c r="F46" s="667" t="e">
        <f ca="1">SUM(B46+C46+D46+E46)</f>
        <v>#REF!</v>
      </c>
    </row>
    <row r="47" spans="1:14">
      <c r="A47" s="72" t="e">
        <f ca="1">IF(INPUTS!$B$184= "",INPUTS!$B$194,INPUTS!$B$184)</f>
        <v>#REF!</v>
      </c>
      <c r="B47" s="1037" t="e">
        <f ca="1">IF(INPUTS!C194=0,INPUTS!D194*(INPUTS!E194+INPUTS!G194*Economics_Parameters!$C$14),INPUTS!C194*(INPUTS!E194+INPUTS!G194*Economics_Parameters!$C$14))+IF(INPUTS!C184=0,INPUTS!D184*(INPUTS!E184+INPUTS!G184*Economics_Parameters!$C$14),INPUTS!C184*(INPUTS!E184+INPUTS!G184*Economics_Parameters!$C$14))</f>
        <v>#REF!</v>
      </c>
      <c r="C47" s="1038" t="e">
        <f ca="1">IF(INPUTS!C184=0,INPUTS!D184*(INPUTS!F184+(INPUTS!H184*Economics_Parameters!$C$14)),INPUTS!C184*(INPUTS!F184+(INPUTS!H184*Economics_Parameters!$C$14)))+IF(INPUTS!C194=0,INPUTS!D194*(INPUTS!F194+(INPUTS!H194*Economics_Parameters!$C$14)),INPUTS!C194*(INPUTS!F194+(INPUTS!H194*Economics_Parameters!$C$14)))</f>
        <v>#REF!</v>
      </c>
      <c r="D47" s="1039" t="e">
        <f ca="1">(INPUTS!C184+INPUTS!C194)*Economics_Parameters!$C$19</f>
        <v>#REF!</v>
      </c>
      <c r="E47" s="72"/>
      <c r="F47" s="667" t="e">
        <f t="shared" ref="F47:F48" ca="1" si="3">SUM(B47+C47+D47+E47)</f>
        <v>#REF!</v>
      </c>
    </row>
    <row r="48" spans="1:14">
      <c r="A48" s="616" t="e">
        <f ca="1">IF(INPUTS!$B$185= "",INPUTS!$B$195,INPUTS!$B$185)</f>
        <v>#REF!</v>
      </c>
      <c r="B48" s="1037" t="e">
        <f ca="1">IF(INPUTS!C195=0,INPUTS!D195*(INPUTS!E195+INPUTS!G195*Economics_Parameters!$C$14),INPUTS!C195*(INPUTS!E195+INPUTS!G195*Economics_Parameters!$C$14))+IF(INPUTS!C185=0,INPUTS!D185*(INPUTS!E185+INPUTS!G185*Economics_Parameters!$C$14),INPUTS!C185*(INPUTS!E185+INPUTS!G185*Economics_Parameters!$C$14))</f>
        <v>#REF!</v>
      </c>
      <c r="C48" s="1038" t="e">
        <f ca="1">IF(INPUTS!C185=0,INPUTS!D185*(INPUTS!F185+(INPUTS!H185*Economics_Parameters!$C$14)),INPUTS!C185*(INPUTS!F185+(INPUTS!H185*Economics_Parameters!$C$14)))+IF(INPUTS!C195=0,INPUTS!D195*(INPUTS!F195+(INPUTS!H195*Economics_Parameters!$C$14)),INPUTS!C195*(INPUTS!F195+(INPUTS!H195*Economics_Parameters!$C$14)))</f>
        <v>#REF!</v>
      </c>
      <c r="D48" s="1039" t="e">
        <f ca="1">(INPUTS!C185+INPUTS!C195)*Economics_Parameters!$C$19</f>
        <v>#REF!</v>
      </c>
      <c r="E48" s="616"/>
      <c r="F48" s="667" t="e">
        <f t="shared" ca="1" si="3"/>
        <v>#REF!</v>
      </c>
      <c r="I48" s="610"/>
    </row>
    <row r="49" spans="1:12">
      <c r="B49" s="640" t="e">
        <f ca="1">SUM(B42:B48)</f>
        <v>#REF!</v>
      </c>
      <c r="C49" s="1035" t="e">
        <f ca="1">SUM(C42:C48)</f>
        <v>#REF!</v>
      </c>
      <c r="D49" s="640" t="e">
        <f ca="1">SUM(D42:D48)</f>
        <v>#REF!</v>
      </c>
      <c r="F49" s="611" t="e">
        <f ca="1">SUM(F42:F48)</f>
        <v>#REF!</v>
      </c>
      <c r="I49" s="610"/>
    </row>
    <row r="50" spans="1:12">
      <c r="J50" s="610"/>
    </row>
    <row r="51" spans="1:12">
      <c r="A51" s="612" t="s">
        <v>1200</v>
      </c>
      <c r="B51" s="612" t="s">
        <v>1469</v>
      </c>
      <c r="C51" s="612" t="s">
        <v>1470</v>
      </c>
      <c r="D51" s="637"/>
      <c r="E51" s="612"/>
      <c r="F51" s="1318" t="s">
        <v>1248</v>
      </c>
    </row>
    <row r="52" spans="1:12">
      <c r="A52" s="72" t="str">
        <f>INPUTS!$B$199</f>
        <v>extra stable</v>
      </c>
      <c r="B52" s="633">
        <f>INPUTS!C199+INPUTS!E199*Economics_Parameters!$C$14</f>
        <v>267.5</v>
      </c>
      <c r="C52" s="633">
        <f>INPUTS!D199+INPUTS!F199*Economics_Parameters!$C$14</f>
        <v>3.5</v>
      </c>
      <c r="D52" s="615"/>
      <c r="E52" s="615"/>
      <c r="F52" s="615">
        <f>SUM(E52+C52+B52)</f>
        <v>271</v>
      </c>
    </row>
    <row r="53" spans="1:12">
      <c r="A53" s="72">
        <f>INPUTS!$B$200</f>
        <v>0</v>
      </c>
      <c r="B53" s="633">
        <f>INPUTS!C200+INPUTS!E200*Economics_Parameters!$C$14</f>
        <v>0</v>
      </c>
      <c r="C53" s="633">
        <f>INPUTS!D200+INPUTS!F200*Economics_Parameters!$C$14</f>
        <v>0</v>
      </c>
      <c r="D53" s="615"/>
      <c r="E53" s="615"/>
      <c r="F53" s="615">
        <f>SUM(E53+C53+B53)</f>
        <v>0</v>
      </c>
    </row>
    <row r="54" spans="1:12">
      <c r="A54" s="616">
        <f>INPUTS!$B$201</f>
        <v>0</v>
      </c>
      <c r="B54" s="633">
        <f>INPUTS!C201+INPUTS!E201*Economics_Parameters!$C$14</f>
        <v>0</v>
      </c>
      <c r="C54" s="633">
        <f>INPUTS!D201+INPUTS!F201*Economics_Parameters!$C$14</f>
        <v>0</v>
      </c>
      <c r="D54" s="617"/>
      <c r="E54" s="617"/>
      <c r="F54" s="617">
        <f>SUM(E54+C54+B54)</f>
        <v>0</v>
      </c>
    </row>
    <row r="55" spans="1:12">
      <c r="B55" s="641">
        <f>SUM(B52:B54)</f>
        <v>267.5</v>
      </c>
      <c r="C55" s="641">
        <f>SUM(C52:C54)</f>
        <v>3.5</v>
      </c>
      <c r="F55" s="611">
        <f>SUM(F52:F54)</f>
        <v>271</v>
      </c>
    </row>
    <row r="57" spans="1:12">
      <c r="A57" s="37"/>
      <c r="B57" s="1034" t="s">
        <v>1624</v>
      </c>
      <c r="C57" s="1034" t="s">
        <v>1625</v>
      </c>
      <c r="D57" s="665" t="s">
        <v>1249</v>
      </c>
      <c r="E57" s="37"/>
      <c r="F57" s="37" t="s">
        <v>126</v>
      </c>
    </row>
    <row r="58" spans="1:12">
      <c r="A58" s="658" t="s">
        <v>1297</v>
      </c>
      <c r="B58" s="659" t="e">
        <f ca="1">B39+B49+B55</f>
        <v>#VALUE!</v>
      </c>
      <c r="C58" s="659" t="e">
        <f ca="1">C39+C49+C55</f>
        <v>#N/A</v>
      </c>
      <c r="D58" s="666" t="e">
        <f ca="1">D39+D49+D55</f>
        <v>#REF!</v>
      </c>
      <c r="E58" s="627"/>
      <c r="F58" s="660" t="e">
        <f>SUM(F39,F49,F55)</f>
        <v>#VALUE!</v>
      </c>
    </row>
    <row r="60" spans="1:12">
      <c r="A60" s="1325" t="s">
        <v>1201</v>
      </c>
    </row>
    <row r="61" spans="1:12">
      <c r="B61" s="638" t="s">
        <v>1628</v>
      </c>
      <c r="C61" s="638" t="s">
        <v>1223</v>
      </c>
      <c r="D61" s="638" t="s">
        <v>1224</v>
      </c>
      <c r="E61" s="638" t="s">
        <v>1225</v>
      </c>
      <c r="F61" s="638" t="s">
        <v>1226</v>
      </c>
      <c r="G61" s="638" t="s">
        <v>1227</v>
      </c>
      <c r="H61" s="638" t="s">
        <v>1250</v>
      </c>
      <c r="I61" s="638" t="s">
        <v>1251</v>
      </c>
      <c r="J61" s="638" t="s">
        <v>1252</v>
      </c>
      <c r="K61" s="638" t="s">
        <v>1253</v>
      </c>
      <c r="L61" s="638"/>
    </row>
    <row r="62" spans="1:12">
      <c r="A62" s="1080" t="s">
        <v>1626</v>
      </c>
      <c r="B62" s="1081" t="e">
        <f ca="1">E20</f>
        <v>#REF!</v>
      </c>
      <c r="C62" s="635" t="e">
        <f ca="1">$B$62*2</f>
        <v>#REF!</v>
      </c>
      <c r="D62" s="635" t="e">
        <f ca="1">$B$62*3</f>
        <v>#REF!</v>
      </c>
      <c r="E62" s="635" t="e">
        <f ca="1">$B$62*4</f>
        <v>#REF!</v>
      </c>
      <c r="F62" s="635" t="e">
        <f ca="1">$B$62*5</f>
        <v>#REF!</v>
      </c>
      <c r="G62" s="635" t="e">
        <f ca="1">$B$62*6</f>
        <v>#REF!</v>
      </c>
      <c r="H62" s="635" t="e">
        <f ca="1">$B$62*7</f>
        <v>#REF!</v>
      </c>
      <c r="I62" s="635" t="e">
        <f ca="1">$B$62*8</f>
        <v>#REF!</v>
      </c>
      <c r="J62" s="635" t="e">
        <f ca="1">$B$62*9</f>
        <v>#REF!</v>
      </c>
      <c r="K62" s="635" t="e">
        <f ca="1">$B$62*10</f>
        <v>#REF!</v>
      </c>
      <c r="L62" s="635"/>
    </row>
    <row r="63" spans="1:12">
      <c r="A63" s="72" t="s">
        <v>1297</v>
      </c>
      <c r="B63" s="613" t="e">
        <f>F58</f>
        <v>#VALUE!</v>
      </c>
      <c r="C63" s="635" t="e">
        <f ca="1">B63+$C$58+$D$58</f>
        <v>#VALUE!</v>
      </c>
      <c r="D63" s="635" t="e">
        <f ca="1">C63+$C$58+$D$58</f>
        <v>#VALUE!</v>
      </c>
      <c r="E63" s="635" t="e">
        <f ca="1">D63+$C$58+$D$58</f>
        <v>#VALUE!</v>
      </c>
      <c r="F63" s="635" t="e">
        <f ca="1">E63+$C$58+$D$58</f>
        <v>#VALUE!</v>
      </c>
      <c r="G63" s="635" t="e">
        <f t="shared" ref="G63:K63" ca="1" si="4">F63+$C$58+$D$58</f>
        <v>#VALUE!</v>
      </c>
      <c r="H63" s="635" t="e">
        <f t="shared" ca="1" si="4"/>
        <v>#VALUE!</v>
      </c>
      <c r="I63" s="635" t="e">
        <f t="shared" ca="1" si="4"/>
        <v>#VALUE!</v>
      </c>
      <c r="J63" s="635" t="e">
        <f t="shared" ca="1" si="4"/>
        <v>#VALUE!</v>
      </c>
      <c r="K63" s="635" t="e">
        <f t="shared" ca="1" si="4"/>
        <v>#VALUE!</v>
      </c>
      <c r="L63" s="635"/>
    </row>
    <row r="64" spans="1:12">
      <c r="B64" s="634" t="e">
        <f t="shared" ref="B64:G64" ca="1" si="5">SUM(B62-B63)</f>
        <v>#REF!</v>
      </c>
      <c r="C64" s="634" t="e">
        <f t="shared" ca="1" si="5"/>
        <v>#REF!</v>
      </c>
      <c r="D64" s="634" t="e">
        <f t="shared" ca="1" si="5"/>
        <v>#REF!</v>
      </c>
      <c r="E64" s="634" t="e">
        <f t="shared" ca="1" si="5"/>
        <v>#REF!</v>
      </c>
      <c r="F64" s="634" t="e">
        <f t="shared" ca="1" si="5"/>
        <v>#REF!</v>
      </c>
      <c r="G64" s="634" t="e">
        <f t="shared" ca="1" si="5"/>
        <v>#REF!</v>
      </c>
      <c r="H64" s="634" t="e">
        <f ca="1">SUM(H62-H63)</f>
        <v>#REF!</v>
      </c>
      <c r="I64" s="634" t="e">
        <f ca="1">SUM(I62-I63)</f>
        <v>#REF!</v>
      </c>
      <c r="J64" s="634" t="e">
        <f ca="1">SUM(J62-J63)</f>
        <v>#REF!</v>
      </c>
      <c r="K64" s="634" t="e">
        <f ca="1">SUM(K62-K63)</f>
        <v>#REF!</v>
      </c>
      <c r="L64" s="634"/>
    </row>
    <row r="65" spans="1:14">
      <c r="B65" s="600"/>
    </row>
    <row r="67" spans="1:14" s="511" customFormat="1" ht="29.25" customHeight="1">
      <c r="A67" s="512" t="s">
        <v>1202</v>
      </c>
      <c r="B67" s="512"/>
    </row>
    <row r="68" spans="1:14">
      <c r="G68" s="142"/>
    </row>
    <row r="69" spans="1:14">
      <c r="G69" s="142"/>
    </row>
    <row r="70" spans="1:14">
      <c r="A70" s="619" t="s">
        <v>1203</v>
      </c>
      <c r="B70" s="1079" t="s">
        <v>1627</v>
      </c>
      <c r="C70" s="619" t="s">
        <v>1205</v>
      </c>
      <c r="D70" s="619" t="s">
        <v>1206</v>
      </c>
      <c r="E70" s="619" t="s">
        <v>1207</v>
      </c>
      <c r="F70" s="1044"/>
      <c r="G70" s="1048"/>
      <c r="H70" s="37"/>
      <c r="J70" s="37"/>
      <c r="K70" s="37"/>
      <c r="L70" s="37"/>
      <c r="M70" s="37"/>
      <c r="N70" s="37"/>
    </row>
    <row r="71" spans="1:14">
      <c r="A71" s="1325">
        <v>0</v>
      </c>
      <c r="B71" s="610" t="e">
        <f ca="1">$B$64</f>
        <v>#REF!</v>
      </c>
      <c r="C71" s="1045" t="e">
        <f ca="1">$B$64</f>
        <v>#REF!</v>
      </c>
      <c r="D71" s="614" t="e">
        <f ca="1">$B$64</f>
        <v>#REF!</v>
      </c>
      <c r="E71" s="39"/>
      <c r="I71" s="600"/>
      <c r="K71" s="644"/>
    </row>
    <row r="72" spans="1:14">
      <c r="A72" s="1325">
        <v>1</v>
      </c>
      <c r="B72" s="610" t="e">
        <f ca="1">C64</f>
        <v>#REF!</v>
      </c>
      <c r="C72" s="618" t="e">
        <f ca="1">-PV(Economics_Parameters!$C$23,A72,,B72)</f>
        <v>#REF!</v>
      </c>
      <c r="D72" s="614" t="e">
        <f ca="1">D71+C72</f>
        <v>#REF!</v>
      </c>
      <c r="E72" s="39" t="e">
        <f ca="1">IF(D72&lt;0,"N/A",ABS(D71/C72))</f>
        <v>#REF!</v>
      </c>
      <c r="G72" s="1048"/>
      <c r="I72" s="600"/>
      <c r="K72" s="644"/>
      <c r="L72" s="645"/>
      <c r="M72" s="645"/>
    </row>
    <row r="73" spans="1:14">
      <c r="A73" s="1325">
        <v>2</v>
      </c>
      <c r="B73" s="610" t="e">
        <f ca="1">D64</f>
        <v>#REF!</v>
      </c>
      <c r="C73" s="618" t="e">
        <f ca="1">-PV(Economics_Parameters!$C$23,A73,,B73)</f>
        <v>#REF!</v>
      </c>
      <c r="D73" s="614" t="e">
        <f t="shared" ref="D73:D80" ca="1" si="6">D72+C73</f>
        <v>#REF!</v>
      </c>
      <c r="E73" s="39" t="e">
        <f t="shared" ref="E73:E80" ca="1" si="7">IF(D73&lt;0,"N/A",ABS(D72/C73))</f>
        <v>#REF!</v>
      </c>
      <c r="G73" s="1048"/>
      <c r="I73" s="600"/>
      <c r="K73" s="644"/>
      <c r="L73" s="645"/>
      <c r="M73" s="645"/>
    </row>
    <row r="74" spans="1:14">
      <c r="A74" s="1325">
        <v>3</v>
      </c>
      <c r="B74" s="610" t="e">
        <f ca="1">E64</f>
        <v>#REF!</v>
      </c>
      <c r="C74" s="618" t="e">
        <f ca="1">-PV(Economics_Parameters!$C$23,A74,,B74)</f>
        <v>#REF!</v>
      </c>
      <c r="D74" s="614" t="e">
        <f t="shared" ca="1" si="6"/>
        <v>#REF!</v>
      </c>
      <c r="E74" s="39" t="e">
        <f t="shared" ca="1" si="7"/>
        <v>#REF!</v>
      </c>
      <c r="G74" s="1048"/>
      <c r="K74" s="644"/>
      <c r="L74" s="645"/>
      <c r="M74" s="645"/>
    </row>
    <row r="75" spans="1:14">
      <c r="A75" s="1325">
        <v>4</v>
      </c>
      <c r="B75" s="610" t="e">
        <f ca="1">F64</f>
        <v>#REF!</v>
      </c>
      <c r="C75" s="618" t="e">
        <f ca="1">-PV(Economics_Parameters!$C$23,A75,,B75)</f>
        <v>#REF!</v>
      </c>
      <c r="D75" s="614" t="e">
        <f t="shared" ca="1" si="6"/>
        <v>#REF!</v>
      </c>
      <c r="E75" s="39" t="e">
        <f t="shared" ca="1" si="7"/>
        <v>#REF!</v>
      </c>
      <c r="G75" s="1048"/>
      <c r="K75" s="644"/>
      <c r="L75" s="645"/>
      <c r="M75" s="645"/>
    </row>
    <row r="76" spans="1:14">
      <c r="A76" s="1325">
        <v>5</v>
      </c>
      <c r="B76" s="610" t="e">
        <f ca="1">G64</f>
        <v>#REF!</v>
      </c>
      <c r="C76" s="618" t="e">
        <f ca="1">-PV(Economics_Parameters!$C$23,A76,,B76)</f>
        <v>#REF!</v>
      </c>
      <c r="D76" s="614" t="e">
        <f t="shared" ca="1" si="6"/>
        <v>#REF!</v>
      </c>
      <c r="E76" s="39" t="e">
        <f t="shared" ca="1" si="7"/>
        <v>#REF!</v>
      </c>
      <c r="G76" s="1048"/>
      <c r="K76" s="644"/>
      <c r="L76" s="645"/>
      <c r="M76" s="645"/>
    </row>
    <row r="77" spans="1:14">
      <c r="A77" s="1325">
        <v>6</v>
      </c>
      <c r="B77" s="610" t="e">
        <f ca="1">H64</f>
        <v>#REF!</v>
      </c>
      <c r="C77" s="618" t="e">
        <f ca="1">-PV(Economics_Parameters!$C$23,A77,,B77)</f>
        <v>#REF!</v>
      </c>
      <c r="D77" s="614" t="e">
        <f t="shared" ca="1" si="6"/>
        <v>#REF!</v>
      </c>
      <c r="E77" s="39" t="e">
        <f t="shared" ca="1" si="7"/>
        <v>#REF!</v>
      </c>
      <c r="G77" s="1048"/>
      <c r="K77" s="644"/>
      <c r="L77" s="645"/>
      <c r="M77" s="645"/>
    </row>
    <row r="78" spans="1:14">
      <c r="A78" s="1325">
        <v>7</v>
      </c>
      <c r="B78" s="610" t="e">
        <f ca="1">I64</f>
        <v>#REF!</v>
      </c>
      <c r="C78" s="618" t="e">
        <f ca="1">-PV(Economics_Parameters!$C$23,A78,,B78)</f>
        <v>#REF!</v>
      </c>
      <c r="D78" s="614" t="e">
        <f t="shared" ca="1" si="6"/>
        <v>#REF!</v>
      </c>
      <c r="E78" s="39" t="e">
        <f t="shared" ca="1" si="7"/>
        <v>#REF!</v>
      </c>
      <c r="G78" s="1048"/>
      <c r="K78" s="644"/>
      <c r="L78" s="645"/>
      <c r="M78" s="645"/>
    </row>
    <row r="79" spans="1:14">
      <c r="A79" s="1325">
        <v>8</v>
      </c>
      <c r="B79" s="610" t="e">
        <f ca="1">J64</f>
        <v>#REF!</v>
      </c>
      <c r="C79" s="618" t="e">
        <f ca="1">-PV(Economics_Parameters!$C$23,A79,,B79)</f>
        <v>#REF!</v>
      </c>
      <c r="D79" s="614" t="e">
        <f t="shared" ca="1" si="6"/>
        <v>#REF!</v>
      </c>
      <c r="E79" s="39" t="e">
        <f t="shared" ca="1" si="7"/>
        <v>#REF!</v>
      </c>
      <c r="G79" s="1048"/>
      <c r="K79" s="644"/>
      <c r="L79" s="645"/>
      <c r="M79" s="645"/>
    </row>
    <row r="80" spans="1:14">
      <c r="A80" s="1325">
        <v>9</v>
      </c>
      <c r="B80" s="610" t="e">
        <f ca="1">K64</f>
        <v>#REF!</v>
      </c>
      <c r="C80" s="618" t="e">
        <f ca="1">-PV(Economics_Parameters!$C$23,A80,,B80)</f>
        <v>#REF!</v>
      </c>
      <c r="D80" s="614" t="e">
        <f t="shared" ca="1" si="6"/>
        <v>#REF!</v>
      </c>
      <c r="E80" s="39" t="e">
        <f t="shared" ca="1" si="7"/>
        <v>#REF!</v>
      </c>
      <c r="G80" s="1048"/>
      <c r="K80" s="644"/>
      <c r="L80" s="645"/>
      <c r="M80" s="645"/>
    </row>
    <row r="81" spans="1:13">
      <c r="B81" s="610"/>
      <c r="C81" s="618"/>
      <c r="D81" s="614"/>
      <c r="E81" s="39"/>
      <c r="G81" s="142"/>
      <c r="K81" s="644"/>
      <c r="L81" s="645"/>
      <c r="M81" s="645"/>
    </row>
    <row r="82" spans="1:13">
      <c r="B82" s="610"/>
      <c r="C82" s="618"/>
      <c r="D82" s="614"/>
      <c r="E82" s="39"/>
      <c r="G82" s="142"/>
      <c r="K82" s="644"/>
      <c r="L82" s="645"/>
      <c r="M82" s="645"/>
    </row>
    <row r="83" spans="1:13" ht="16.5" thickBot="1">
      <c r="G83" s="142"/>
    </row>
    <row r="84" spans="1:13" ht="16.5" thickBot="1">
      <c r="A84" s="619" t="s">
        <v>1208</v>
      </c>
      <c r="B84" s="619">
        <f ca="1">COUNTIF($D$72:$D$80,"&lt;0")</f>
        <v>0</v>
      </c>
      <c r="C84" s="1049" t="e">
        <f ca="1">INDEX(E72:E80,COUNTIF(D72:D80,"&lt;0")+1)</f>
        <v>#REF!</v>
      </c>
      <c r="D84" s="1050" t="e">
        <f ca="1">B84+C84</f>
        <v>#REF!</v>
      </c>
      <c r="G84" s="142"/>
      <c r="J84" s="37"/>
      <c r="K84" s="646"/>
      <c r="L84" s="600"/>
    </row>
    <row r="85" spans="1:13">
      <c r="G85" s="142"/>
    </row>
    <row r="86" spans="1:13">
      <c r="A86" s="627" t="s">
        <v>1218</v>
      </c>
      <c r="B86" s="628" t="e">
        <f ca="1">SUM(C71:C80)</f>
        <v>#REF!</v>
      </c>
      <c r="C86" s="645"/>
      <c r="G86" s="142"/>
      <c r="J86" s="37"/>
      <c r="K86" s="589"/>
    </row>
    <row r="87" spans="1:13">
      <c r="G87" s="142"/>
    </row>
    <row r="88" spans="1:13">
      <c r="A88" s="619" t="s">
        <v>1255</v>
      </c>
      <c r="B88" s="669"/>
      <c r="C88" s="614"/>
      <c r="G88" s="142"/>
    </row>
    <row r="89" spans="1:13">
      <c r="A89" s="1325" t="s">
        <v>1223</v>
      </c>
      <c r="B89" s="629" t="e">
        <f ca="1">(B62-B63)/B63</f>
        <v>#REF!</v>
      </c>
      <c r="G89" s="142"/>
    </row>
    <row r="90" spans="1:13">
      <c r="A90" s="1325" t="s">
        <v>1268</v>
      </c>
      <c r="B90" s="629" t="e">
        <f ca="1">(C62-C63)/C63</f>
        <v>#REF!</v>
      </c>
      <c r="G90" s="142"/>
    </row>
    <row r="91" spans="1:13">
      <c r="A91" s="1325" t="s">
        <v>1225</v>
      </c>
      <c r="B91" s="629" t="e">
        <f ca="1">(D62-D63)/D63</f>
        <v>#REF!</v>
      </c>
      <c r="G91" s="142"/>
    </row>
    <row r="92" spans="1:13">
      <c r="A92" s="1325" t="s">
        <v>1226</v>
      </c>
      <c r="B92" s="629" t="e">
        <f ca="1">(E$62-E$63)/(E$63)</f>
        <v>#REF!</v>
      </c>
      <c r="G92" s="142"/>
    </row>
    <row r="93" spans="1:13">
      <c r="A93" s="1325" t="s">
        <v>1227</v>
      </c>
      <c r="B93" s="629" t="e">
        <f ca="1">(F$62-F$63)/(F$63)</f>
        <v>#REF!</v>
      </c>
    </row>
    <row r="94" spans="1:13">
      <c r="A94" s="1325" t="s">
        <v>1250</v>
      </c>
      <c r="B94" s="629" t="e">
        <f ca="1">(G$62-G$63)/(G$63)</f>
        <v>#REF!</v>
      </c>
    </row>
    <row r="95" spans="1:13">
      <c r="A95" s="1325" t="s">
        <v>1251</v>
      </c>
      <c r="B95" s="629" t="e">
        <f ca="1">(H$62-H$63)/(H$63)</f>
        <v>#REF!</v>
      </c>
    </row>
    <row r="96" spans="1:13">
      <c r="A96" s="1325" t="s">
        <v>1252</v>
      </c>
      <c r="B96" s="629" t="e">
        <f ca="1">(I$62-I$63)/(I$63)</f>
        <v>#REF!</v>
      </c>
    </row>
    <row r="97" spans="1:2">
      <c r="A97" s="1325" t="s">
        <v>1253</v>
      </c>
      <c r="B97" s="629" t="e">
        <f ca="1">(J$62-J$63)/(J$63)</f>
        <v>#REF!</v>
      </c>
    </row>
    <row r="98" spans="1:2">
      <c r="A98" s="1325" t="s">
        <v>1254</v>
      </c>
      <c r="B98" s="629" t="e">
        <f ca="1">(K$62-K$63)/(K$63)</f>
        <v>#REF!</v>
      </c>
    </row>
  </sheetData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B050"/>
  </sheetPr>
  <dimension ref="A1:BZ17"/>
  <sheetViews>
    <sheetView tabSelected="1" topLeftCell="A6" zoomScale="80" zoomScaleNormal="80" workbookViewId="0">
      <selection activeCell="I19" sqref="I19"/>
    </sheetView>
  </sheetViews>
  <sheetFormatPr defaultColWidth="8.875" defaultRowHeight="15.75"/>
  <cols>
    <col min="1" max="1" width="17.375" style="1325" customWidth="1"/>
    <col min="2" max="2" width="14.125" style="1325" bestFit="1" customWidth="1"/>
    <col min="3" max="13" width="8.875" style="1325"/>
    <col min="14" max="14" width="10.5" style="1325" customWidth="1"/>
    <col min="15" max="15" width="12.625" style="1325" customWidth="1"/>
    <col min="16" max="18" width="8.875" style="1325"/>
    <col min="19" max="19" width="11.125" style="1325" bestFit="1" customWidth="1"/>
    <col min="20" max="21" width="11" style="1325" customWidth="1"/>
    <col min="22" max="23" width="8.875" style="1325"/>
    <col min="24" max="24" width="10.375" style="1325" bestFit="1" customWidth="1"/>
    <col min="25" max="33" width="8.875" style="1325"/>
    <col min="34" max="34" width="5" style="142" bestFit="1" customWidth="1"/>
    <col min="35" max="35" width="8.875" style="1325"/>
    <col min="36" max="36" width="0" style="1325" hidden="1" customWidth="1"/>
    <col min="37" max="37" width="8.875" style="1325"/>
    <col min="38" max="38" width="0" style="1325" hidden="1" customWidth="1"/>
    <col min="39" max="39" width="11.75" style="1325" customWidth="1"/>
    <col min="40" max="40" width="7.375" style="1325" customWidth="1"/>
    <col min="41" max="41" width="13.5" style="1325" bestFit="1" customWidth="1"/>
    <col min="42" max="42" width="12" style="1325" customWidth="1"/>
    <col min="43" max="43" width="0" style="1325" hidden="1" customWidth="1"/>
    <col min="44" max="44" width="3.375" style="142" customWidth="1"/>
    <col min="45" max="45" width="12" style="1325" customWidth="1"/>
    <col min="46" max="47" width="8.875" style="1325" customWidth="1"/>
    <col min="48" max="48" width="10" style="1325" customWidth="1"/>
    <col min="49" max="49" width="8.875" style="1325" customWidth="1"/>
    <col min="50" max="50" width="11.125" style="1325" customWidth="1"/>
    <col min="51" max="51" width="8.875" style="1325" customWidth="1"/>
    <col min="52" max="52" width="12.375" style="1325" customWidth="1"/>
    <col min="53" max="53" width="6" style="1325" customWidth="1"/>
    <col min="54" max="54" width="9.125" style="1325" customWidth="1"/>
    <col min="55" max="55" width="12.375" style="1325" customWidth="1"/>
    <col min="56" max="58" width="9.125" style="1325" customWidth="1"/>
    <col min="59" max="59" width="8.875" style="1325"/>
    <col min="60" max="60" width="8.875" style="1325" customWidth="1"/>
    <col min="61" max="61" width="8.875" style="1325"/>
    <col min="62" max="62" width="8.875" style="1325" customWidth="1"/>
    <col min="63" max="63" width="3.125" style="142" customWidth="1"/>
    <col min="64" max="64" width="12.375" style="1325" customWidth="1"/>
    <col min="65" max="65" width="12.25" style="1325" customWidth="1"/>
    <col min="66" max="66" width="17.125" style="1325" customWidth="1"/>
    <col min="67" max="67" width="10.75" style="1325" bestFit="1" customWidth="1"/>
    <col min="68" max="68" width="13.625" style="1325" customWidth="1"/>
    <col min="69" max="69" width="10.75" style="1325" bestFit="1" customWidth="1"/>
    <col min="70" max="70" width="14" style="1325" bestFit="1" customWidth="1"/>
    <col min="71" max="71" width="8.875" style="1325"/>
    <col min="72" max="72" width="12.5" style="1325" bestFit="1" customWidth="1"/>
    <col min="73" max="73" width="8.875" style="1325"/>
    <col min="74" max="74" width="9.625" style="1325" customWidth="1"/>
    <col min="75" max="75" width="10" style="1325" customWidth="1"/>
    <col min="76" max="76" width="9.5" style="1325" customWidth="1"/>
    <col min="77" max="77" width="8.875" style="1325"/>
    <col min="78" max="78" width="11.5" style="1325" customWidth="1"/>
    <col min="79" max="16384" width="8.875" style="1325"/>
  </cols>
  <sheetData>
    <row r="1" spans="1:78">
      <c r="AS1" s="1325" t="s">
        <v>44</v>
      </c>
    </row>
    <row r="2" spans="1:78">
      <c r="AP2" s="1325" t="s">
        <v>44</v>
      </c>
    </row>
    <row r="4" spans="1:78" s="181" customFormat="1" ht="15.75" customHeight="1">
      <c r="A4" s="180"/>
      <c r="C4" s="181">
        <v>365</v>
      </c>
      <c r="D4" s="181" t="s">
        <v>378</v>
      </c>
    </row>
    <row r="5" spans="1:78" s="183" customFormat="1" ht="15.75" customHeight="1" thickBot="1">
      <c r="A5" s="182"/>
      <c r="BP5" s="298"/>
      <c r="BQ5" s="298"/>
      <c r="BR5" s="298"/>
      <c r="BS5" s="298"/>
      <c r="BT5" s="298" t="s">
        <v>1130</v>
      </c>
    </row>
    <row r="6" spans="1:78" ht="96.75" customHeight="1" thickBot="1">
      <c r="A6" s="149" t="s">
        <v>788</v>
      </c>
      <c r="B6" s="103" t="s">
        <v>989</v>
      </c>
      <c r="D6" s="148" t="s">
        <v>636</v>
      </c>
      <c r="E6" s="143"/>
      <c r="F6" s="1597" t="s">
        <v>743</v>
      </c>
      <c r="G6" s="1598"/>
      <c r="H6" s="1598"/>
      <c r="I6" s="1598"/>
      <c r="J6" s="1598"/>
      <c r="K6" s="1598"/>
      <c r="L6" s="1599"/>
      <c r="N6" s="1600" t="s">
        <v>826</v>
      </c>
      <c r="O6" s="1606"/>
      <c r="P6" s="1606"/>
      <c r="Q6" s="1606"/>
      <c r="R6" s="1606"/>
      <c r="S6" s="1606"/>
      <c r="T6" s="1607"/>
      <c r="U6" s="1321"/>
      <c r="V6" s="1600" t="s">
        <v>744</v>
      </c>
      <c r="W6" s="1601"/>
      <c r="X6" s="1601"/>
      <c r="Y6" s="1601"/>
      <c r="Z6" s="1601"/>
      <c r="AA6" s="1602"/>
      <c r="AB6" s="143"/>
      <c r="AC6" s="1600" t="s">
        <v>745</v>
      </c>
      <c r="AD6" s="1602"/>
      <c r="AE6" s="1318"/>
      <c r="AF6" s="1603" t="s">
        <v>784</v>
      </c>
      <c r="AG6" s="1602"/>
      <c r="AI6" s="137" t="s">
        <v>746</v>
      </c>
      <c r="AJ6" s="137"/>
      <c r="AK6" s="137" t="s">
        <v>747</v>
      </c>
      <c r="AL6" s="137"/>
      <c r="AM6" s="137" t="s">
        <v>748</v>
      </c>
      <c r="AN6" s="137"/>
      <c r="AO6" s="137" t="s">
        <v>937</v>
      </c>
      <c r="AP6" s="137" t="s">
        <v>938</v>
      </c>
      <c r="AQ6" s="137"/>
      <c r="AR6" s="144"/>
      <c r="AS6" s="138" t="s">
        <v>749</v>
      </c>
      <c r="AT6" s="138"/>
      <c r="AU6" s="138"/>
      <c r="AV6" s="138" t="s">
        <v>750</v>
      </c>
      <c r="AW6" s="138"/>
      <c r="AX6" s="138" t="s">
        <v>978</v>
      </c>
      <c r="AY6" s="138"/>
      <c r="AZ6" s="138" t="s">
        <v>979</v>
      </c>
      <c r="BA6" s="220"/>
      <c r="BB6" s="220"/>
      <c r="BC6" s="138" t="s">
        <v>1324</v>
      </c>
      <c r="BD6" s="138"/>
      <c r="BE6" s="138" t="s">
        <v>919</v>
      </c>
      <c r="BF6" s="138" t="s">
        <v>920</v>
      </c>
      <c r="BG6" s="138" t="s">
        <v>751</v>
      </c>
      <c r="BH6" s="138"/>
      <c r="BI6" s="138" t="s">
        <v>752</v>
      </c>
      <c r="BJ6" s="220"/>
      <c r="BL6" s="762" t="s">
        <v>1352</v>
      </c>
      <c r="BM6" s="762" t="s">
        <v>1353</v>
      </c>
      <c r="BN6" s="761" t="s">
        <v>1351</v>
      </c>
      <c r="BO6" s="761" t="s">
        <v>1351</v>
      </c>
      <c r="BP6" s="761" t="s">
        <v>1170</v>
      </c>
      <c r="BQ6" s="761" t="s">
        <v>1170</v>
      </c>
      <c r="BR6" s="412" t="s">
        <v>252</v>
      </c>
      <c r="BS6" s="413" t="s">
        <v>1018</v>
      </c>
      <c r="BT6" s="414">
        <f>BN16</f>
        <v>-19.683273591760496</v>
      </c>
      <c r="BU6" s="414">
        <f>BP16</f>
        <v>-20.591895992203309</v>
      </c>
      <c r="BV6" s="139"/>
      <c r="BW6" s="139"/>
    </row>
    <row r="7" spans="1:78" s="140" customFormat="1" ht="87.75" customHeight="1">
      <c r="A7" s="30"/>
      <c r="B7" s="30"/>
      <c r="C7" s="30"/>
      <c r="D7" s="197" t="s">
        <v>753</v>
      </c>
      <c r="E7" s="197"/>
      <c r="F7" s="197" t="s">
        <v>982</v>
      </c>
      <c r="G7" s="197"/>
      <c r="H7" s="197" t="s">
        <v>1274</v>
      </c>
      <c r="I7" s="901" t="s">
        <v>1275</v>
      </c>
      <c r="J7" s="901" t="s">
        <v>1543</v>
      </c>
      <c r="K7" s="300" t="s">
        <v>1544</v>
      </c>
      <c r="L7" s="300" t="s">
        <v>1545</v>
      </c>
      <c r="M7" s="197"/>
      <c r="N7" s="198" t="s">
        <v>983</v>
      </c>
      <c r="O7" s="1604" t="s">
        <v>984</v>
      </c>
      <c r="P7" s="1604" t="s">
        <v>789</v>
      </c>
      <c r="Q7" s="1319" t="s">
        <v>1287</v>
      </c>
      <c r="R7" s="745" t="s">
        <v>1343</v>
      </c>
      <c r="S7" s="199" t="s">
        <v>1332</v>
      </c>
      <c r="T7" s="198" t="s">
        <v>985</v>
      </c>
      <c r="U7" s="199" t="s">
        <v>1288</v>
      </c>
      <c r="V7" s="197" t="s">
        <v>754</v>
      </c>
      <c r="W7" s="572" t="s">
        <v>755</v>
      </c>
      <c r="X7" s="573" t="s">
        <v>976</v>
      </c>
      <c r="Y7" s="573" t="s">
        <v>977</v>
      </c>
      <c r="Z7" s="199" t="s">
        <v>756</v>
      </c>
      <c r="AA7" s="197" t="s">
        <v>757</v>
      </c>
      <c r="AB7" s="199"/>
      <c r="AC7" s="199"/>
      <c r="AD7" s="199" t="s">
        <v>988</v>
      </c>
      <c r="AE7" s="199"/>
      <c r="AF7" s="199" t="s">
        <v>986</v>
      </c>
      <c r="AG7" s="199" t="s">
        <v>987</v>
      </c>
      <c r="AH7" s="200"/>
      <c r="AI7" s="199" t="s">
        <v>925</v>
      </c>
      <c r="AJ7" s="30" t="s">
        <v>758</v>
      </c>
      <c r="AK7" s="199" t="s">
        <v>926</v>
      </c>
      <c r="AL7" s="30" t="s">
        <v>758</v>
      </c>
      <c r="AM7" s="199" t="s">
        <v>927</v>
      </c>
      <c r="AN7" s="30" t="s">
        <v>758</v>
      </c>
      <c r="AO7" s="199" t="s">
        <v>939</v>
      </c>
      <c r="AP7" s="199" t="s">
        <v>940</v>
      </c>
      <c r="AQ7" s="30" t="s">
        <v>758</v>
      </c>
      <c r="AR7" s="201"/>
      <c r="AS7" s="30" t="s">
        <v>928</v>
      </c>
      <c r="AT7" s="199" t="s">
        <v>758</v>
      </c>
      <c r="AU7" s="199" t="s">
        <v>758</v>
      </c>
      <c r="AV7" s="30" t="s">
        <v>929</v>
      </c>
      <c r="AW7" s="199" t="s">
        <v>758</v>
      </c>
      <c r="AX7" s="301" t="s">
        <v>930</v>
      </c>
      <c r="AY7" s="302" t="s">
        <v>758</v>
      </c>
      <c r="AZ7" s="302" t="s">
        <v>931</v>
      </c>
      <c r="BA7" s="302" t="s">
        <v>758</v>
      </c>
      <c r="BB7" s="302" t="s">
        <v>758</v>
      </c>
      <c r="BC7" s="302" t="s">
        <v>932</v>
      </c>
      <c r="BD7" s="199" t="s">
        <v>758</v>
      </c>
      <c r="BE7" s="199" t="s">
        <v>83</v>
      </c>
      <c r="BF7" s="30" t="s">
        <v>933</v>
      </c>
      <c r="BG7" s="199" t="s">
        <v>934</v>
      </c>
      <c r="BH7" s="199" t="s">
        <v>758</v>
      </c>
      <c r="BI7" s="199" t="s">
        <v>935</v>
      </c>
      <c r="BJ7" s="418" t="s">
        <v>758</v>
      </c>
      <c r="BK7" s="203"/>
      <c r="BL7" s="51" t="s">
        <v>1327</v>
      </c>
      <c r="BM7" s="51" t="s">
        <v>1327</v>
      </c>
      <c r="BN7" s="204" t="s">
        <v>118</v>
      </c>
      <c r="BO7" s="204" t="s">
        <v>1017</v>
      </c>
      <c r="BP7" s="204" t="s">
        <v>118</v>
      </c>
      <c r="BQ7" s="204" t="s">
        <v>1017</v>
      </c>
      <c r="BR7" s="204" t="s">
        <v>810</v>
      </c>
      <c r="BS7" s="2" t="s">
        <v>1166</v>
      </c>
      <c r="BT7" s="739">
        <f>BO16</f>
        <v>-9.3682769427908834</v>
      </c>
      <c r="BU7" s="739">
        <f>BQ16</f>
        <v>-9.8007368303237659</v>
      </c>
    </row>
    <row r="8" spans="1:78" s="140" customFormat="1" ht="21.75" customHeight="1">
      <c r="A8" s="30"/>
      <c r="B8" s="30"/>
      <c r="C8" s="30"/>
      <c r="D8" s="205"/>
      <c r="E8" s="197"/>
      <c r="F8" s="205"/>
      <c r="G8" s="205"/>
      <c r="H8" s="205"/>
      <c r="I8" s="205"/>
      <c r="J8" s="205"/>
      <c r="K8" s="205"/>
      <c r="M8" s="206"/>
      <c r="N8" s="207"/>
      <c r="O8" s="1605"/>
      <c r="P8" s="1605"/>
      <c r="Q8" s="1320"/>
      <c r="R8" s="1320"/>
      <c r="S8" s="1320"/>
      <c r="T8" s="1320"/>
      <c r="U8" s="1320"/>
      <c r="V8" s="205"/>
      <c r="W8" s="207"/>
      <c r="X8" s="207"/>
      <c r="Y8" s="207"/>
      <c r="Z8" s="207"/>
      <c r="AA8" s="205"/>
      <c r="AB8" s="199"/>
      <c r="AC8" s="207"/>
      <c r="AD8" s="207"/>
      <c r="AE8" s="207"/>
      <c r="AF8" s="207"/>
      <c r="AG8" s="207"/>
      <c r="AH8" s="200"/>
      <c r="AI8" s="199"/>
      <c r="AJ8" s="30"/>
      <c r="AK8" s="199"/>
      <c r="AL8" s="30"/>
      <c r="AM8" s="199"/>
      <c r="AN8" s="30"/>
      <c r="AO8" s="30"/>
      <c r="AP8" s="199"/>
      <c r="AQ8" s="30"/>
      <c r="AR8" s="201"/>
      <c r="AS8" s="30"/>
      <c r="AT8" s="199"/>
      <c r="AU8" s="208" t="s">
        <v>765</v>
      </c>
      <c r="AV8" s="30"/>
      <c r="AW8" s="30"/>
      <c r="AX8" s="301"/>
      <c r="AY8" s="301"/>
      <c r="AZ8" s="301"/>
      <c r="BA8" s="301"/>
      <c r="BB8" s="301"/>
      <c r="BC8" s="301"/>
      <c r="BD8" s="30"/>
      <c r="BE8" s="30"/>
      <c r="BF8" s="30"/>
      <c r="BG8" s="30"/>
      <c r="BH8" s="199"/>
      <c r="BI8" s="199"/>
      <c r="BJ8" s="202"/>
      <c r="BK8" s="203"/>
      <c r="BN8" s="202"/>
      <c r="BO8" s="299"/>
      <c r="BP8" s="299"/>
      <c r="BQ8" s="299"/>
      <c r="BR8" s="141"/>
      <c r="BS8" s="738" t="s">
        <v>1328</v>
      </c>
      <c r="BU8" s="740" t="s">
        <v>1331</v>
      </c>
      <c r="BV8" s="740" t="s">
        <v>1333</v>
      </c>
      <c r="BW8" s="740" t="s">
        <v>1334</v>
      </c>
      <c r="BX8" s="1324" t="s">
        <v>1345</v>
      </c>
      <c r="BY8" s="1324" t="s">
        <v>1346</v>
      </c>
      <c r="BZ8" s="741" t="s">
        <v>1344</v>
      </c>
    </row>
    <row r="9" spans="1:78">
      <c r="A9" s="1325" t="str">
        <f>INPUTS!D91</f>
        <v>Purchased</v>
      </c>
      <c r="B9" s="39">
        <f>VLOOKUP(A9,'Crop parameters'!$A$2:$Z$43,13,FALSE)</f>
        <v>0</v>
      </c>
      <c r="C9" s="39"/>
      <c r="D9" s="39">
        <f>'Land requirements'!F4</f>
        <v>0</v>
      </c>
      <c r="E9" s="39"/>
      <c r="F9" s="39">
        <f>INPUTS!E115</f>
        <v>0</v>
      </c>
      <c r="G9" s="39"/>
      <c r="H9" s="39">
        <f>IFERROR(Feed!$P$175*(S9+U9)/($S$16+$U$16),0)</f>
        <v>0</v>
      </c>
      <c r="I9" s="39">
        <f>Feed!$R$175*INPUTS!F115</f>
        <v>0</v>
      </c>
      <c r="J9" s="39">
        <f>Feed!$T$175*INPUTS!F115</f>
        <v>0</v>
      </c>
      <c r="K9" s="39">
        <f>H9+I9+J9</f>
        <v>0</v>
      </c>
      <c r="L9" s="39">
        <f t="shared" ref="L9:L15" si="0">IF(ISERROR(K9/D9),0,(K9/D9))</f>
        <v>0</v>
      </c>
      <c r="M9" s="39"/>
      <c r="N9" s="39">
        <f>VLOOKUP(INPUTS!$D91,'Crop parameters'!$A$2:$Z$43,4, FALSE)*1000</f>
        <v>0</v>
      </c>
      <c r="O9" s="39">
        <f>VLOOKUP(INPUTS!$D91,'Crop parameters'!$A$2:$Z$43,8,FALSE)*1000</f>
        <v>0</v>
      </c>
      <c r="P9" s="39">
        <f>INPUTS!F106</f>
        <v>0</v>
      </c>
      <c r="Q9" s="39">
        <f>INPUTS!E106</f>
        <v>0</v>
      </c>
      <c r="R9" s="39">
        <f>N9*Q9</f>
        <v>0</v>
      </c>
      <c r="S9" s="39">
        <f>R9*D9</f>
        <v>0</v>
      </c>
      <c r="T9" s="39">
        <f>O9*P9</f>
        <v>0</v>
      </c>
      <c r="U9" s="39">
        <f>T9*D9</f>
        <v>0</v>
      </c>
      <c r="V9" s="39">
        <f>'Area Parameters'!D$2</f>
        <v>1400</v>
      </c>
      <c r="W9" s="39">
        <f>'Area Parameters'!D$5</f>
        <v>0.3</v>
      </c>
      <c r="X9" s="39">
        <f>W9*20*'Area Parameters'!D$8*10</f>
        <v>90</v>
      </c>
      <c r="Y9" s="39">
        <f>3%*X9</f>
        <v>2.6999999999999997</v>
      </c>
      <c r="Z9" s="39">
        <f>'Area Parameters'!D$6</f>
        <v>1.3</v>
      </c>
      <c r="AA9" s="39">
        <f>'Area Parameters'!D$7</f>
        <v>34</v>
      </c>
      <c r="AB9" s="39"/>
      <c r="AC9" s="39"/>
      <c r="AD9" s="39">
        <f>'GHG Parameters'!C$348</f>
        <v>0</v>
      </c>
      <c r="AE9" s="39"/>
      <c r="AF9" s="283">
        <f>VLOOKUP(A9,'Crop parameters'!$A$2:$Z$43,10, FALSE)</f>
        <v>0</v>
      </c>
      <c r="AG9" s="283">
        <f>VLOOKUP(A9,'Crop parameters'!$A$2:$Z$43,11, FALSE)</f>
        <v>0</v>
      </c>
      <c r="AH9" s="187"/>
      <c r="AI9" s="39">
        <f t="shared" ref="AI9:AI15" si="1">Fertilizer_N_applied(F9,D9)</f>
        <v>0</v>
      </c>
      <c r="AJ9" s="39" t="s">
        <v>760</v>
      </c>
      <c r="AK9" s="39">
        <f>K9</f>
        <v>0</v>
      </c>
      <c r="AL9" s="39" t="s">
        <v>761</v>
      </c>
      <c r="AM9" s="39">
        <f>Atm_Ndeposition(V9,D9)</f>
        <v>0</v>
      </c>
      <c r="AN9" s="39" t="s">
        <v>762</v>
      </c>
      <c r="AO9" s="595">
        <f>IF(D9&gt;0, Non_Symbiotic_Nfixation(V9,D9),0)</f>
        <v>0</v>
      </c>
      <c r="AP9" s="194">
        <f>Symbiotic_Nfixation(B9,D9)</f>
        <v>0</v>
      </c>
      <c r="AQ9" s="39" t="s">
        <v>763</v>
      </c>
      <c r="AR9" s="187"/>
      <c r="AS9" s="39">
        <f t="shared" ref="AS9:AS15" si="2">D9*R9*AF9</f>
        <v>0</v>
      </c>
      <c r="AT9" s="39" t="s">
        <v>764</v>
      </c>
      <c r="AU9" s="188" t="s">
        <v>765</v>
      </c>
      <c r="AV9" s="39">
        <f>IF(INPUTS!$E91="Main", 0, N_output_Residues(T9,AG9,D9))</f>
        <v>0</v>
      </c>
      <c r="AW9" s="39" t="s">
        <v>766</v>
      </c>
      <c r="AX9" s="303">
        <f t="shared" ref="AX9:AX15" si="3">N_leach_clay35OR_less(Y9,F9,AK9,V9)</f>
        <v>0.79158869999999992</v>
      </c>
      <c r="AY9" s="303" t="s">
        <v>768</v>
      </c>
      <c r="AZ9" s="304">
        <f t="shared" ref="AZ9:AZ15" si="4">N_leach_clay35to55(Y9,F9,AK9,V9)</f>
        <v>0.54836999999999991</v>
      </c>
      <c r="BA9" s="303"/>
      <c r="BB9" s="303" t="s">
        <v>767</v>
      </c>
      <c r="BC9" s="303">
        <f t="shared" ref="BC9:BC15" si="5">N_leach_clay55Or_more(Y9,F9,AK9,V9)</f>
        <v>0.41417999999999999</v>
      </c>
      <c r="BD9" s="39" t="s">
        <v>769</v>
      </c>
      <c r="BE9" s="39">
        <f>'Area Parameters'!D$7</f>
        <v>34</v>
      </c>
      <c r="BF9" s="287">
        <f t="shared" ref="BF9:BF15" si="6">IF(BE9&lt;=35,AX9,IF(BE9&gt;=55,BC9,AZ9))</f>
        <v>0.79158869999999992</v>
      </c>
      <c r="BG9" s="39">
        <f t="shared" ref="BG9:BG15" si="7">N_output_gas(Y9,F9,L9,AA9,V9,D9)</f>
        <v>0</v>
      </c>
      <c r="BH9" s="39" t="s">
        <v>770</v>
      </c>
      <c r="BI9" s="39">
        <f>('Soil erosion'!I4*W9*1.5)</f>
        <v>0</v>
      </c>
      <c r="BJ9" s="1325" t="s">
        <v>782</v>
      </c>
      <c r="BL9" s="39">
        <f>IF(D9&gt;0,SUM(AI9:AP9),0)</f>
        <v>0</v>
      </c>
      <c r="BM9" s="39">
        <f>IF(D9&gt;0,SUM(AS9,AV9,BF9,BG9,BI9),0)</f>
        <v>0</v>
      </c>
      <c r="BN9" s="39">
        <f>BL9-BM9</f>
        <v>0</v>
      </c>
      <c r="BO9" s="39" t="str">
        <f t="shared" ref="BO9:BO15" si="8">IFERROR(BN9/D9,"")</f>
        <v/>
      </c>
      <c r="BP9" s="39">
        <f>IF(BN9=0,0,IF(AV9=0,BN9,BN9*(AV9/(AV9+AS9))))</f>
        <v>0</v>
      </c>
      <c r="BQ9" s="39" t="str">
        <f t="shared" ref="BQ9:BQ16" si="9">IFERROR(BP9/D9,"")</f>
        <v/>
      </c>
      <c r="BS9" s="39">
        <f t="shared" ref="BS9:BS15" si="10">D9</f>
        <v>0</v>
      </c>
      <c r="BT9" s="39"/>
      <c r="BU9" s="39" t="str">
        <f>IFERROR(BM9/BL9,"")</f>
        <v/>
      </c>
      <c r="BV9" s="649">
        <f>SUMIF(BU9:BU15,"&gt;0.9",BS9:BS15)*100/BS16</f>
        <v>100</v>
      </c>
      <c r="BW9" s="649">
        <f>SUMIF(BU9:BU15,"&lt;0.5",BS9:BS15)*100/BS16</f>
        <v>0</v>
      </c>
      <c r="BX9" s="378">
        <f t="shared" ref="BX9:BX15" si="11">IF(O9*D9&gt;0,O9*D9,N9*D9)</f>
        <v>0</v>
      </c>
      <c r="BY9" s="378">
        <f t="shared" ref="BY9:BY15" si="12">IF(O9*D9&gt;0,N9*D9,0)</f>
        <v>0</v>
      </c>
      <c r="BZ9" s="758" t="str">
        <f>IFERROR(BY9/BX9,"")</f>
        <v/>
      </c>
    </row>
    <row r="10" spans="1:78">
      <c r="A10" s="1325" t="str">
        <f>INPUTS!D92</f>
        <v>Natural pasture</v>
      </c>
      <c r="B10" s="39">
        <f>VLOOKUP(A10,'Crop parameters'!$A$2:$Z$43,13,FALSE)</f>
        <v>0</v>
      </c>
      <c r="C10" s="39"/>
      <c r="D10" s="39">
        <f>'Land requirements'!F5</f>
        <v>0.1765944930348417</v>
      </c>
      <c r="E10" s="39"/>
      <c r="F10" s="39">
        <f>INPUTS!E116</f>
        <v>15</v>
      </c>
      <c r="G10" s="39"/>
      <c r="H10" s="39">
        <f>IFERROR(Feed!$P$175*(S10+U10)/($S$16+$U$16),0)</f>
        <v>0</v>
      </c>
      <c r="I10" s="39">
        <f>Feed!$R$175*INPUTS!F116</f>
        <v>0</v>
      </c>
      <c r="J10" s="39">
        <f>Feed!$T$175*INPUTS!F116</f>
        <v>0</v>
      </c>
      <c r="K10" s="39">
        <f t="shared" ref="K10:K15" si="13">H10+I10+J10</f>
        <v>0</v>
      </c>
      <c r="L10" s="39">
        <f t="shared" si="0"/>
        <v>0</v>
      </c>
      <c r="M10" s="39"/>
      <c r="N10" s="39">
        <f>VLOOKUP(INPUTS!$D92,'Crop parameters'!$A$2:$Z$43,4, FALSE)*1000</f>
        <v>13049.999999999998</v>
      </c>
      <c r="O10" s="39">
        <f>VLOOKUP(INPUTS!$D92,'Crop parameters'!$A$2:$Z$43,8,FALSE)*1000</f>
        <v>4999.9999999999982</v>
      </c>
      <c r="P10" s="39">
        <f>INPUTS!F107</f>
        <v>0</v>
      </c>
      <c r="Q10" s="39">
        <f>INPUTS!E107</f>
        <v>0.9</v>
      </c>
      <c r="R10" s="39">
        <f>N10*Q10</f>
        <v>11744.999999999998</v>
      </c>
      <c r="S10" s="39">
        <f>R10*D10</f>
        <v>2074.1023206942155</v>
      </c>
      <c r="T10" s="39">
        <f t="shared" ref="T10:T15" si="14">O10*P10</f>
        <v>0</v>
      </c>
      <c r="U10" s="39">
        <f t="shared" ref="U10:U15" si="15">T10*D10</f>
        <v>0</v>
      </c>
      <c r="V10" s="39">
        <f>'Area Parameters'!D$2</f>
        <v>1400</v>
      </c>
      <c r="W10" s="39">
        <f>'Area Parameters'!D$5</f>
        <v>0.3</v>
      </c>
      <c r="X10" s="39">
        <f>W10*20*'Area Parameters'!D$8*10</f>
        <v>90</v>
      </c>
      <c r="Y10" s="39">
        <f t="shared" ref="Y10:Y15" si="16">3%*X10</f>
        <v>2.6999999999999997</v>
      </c>
      <c r="Z10" s="39">
        <f>'Area Parameters'!D$6</f>
        <v>1.3</v>
      </c>
      <c r="AA10" s="39">
        <f>'Area Parameters'!D$7</f>
        <v>34</v>
      </c>
      <c r="AB10" s="39"/>
      <c r="AC10" s="39"/>
      <c r="AD10" s="39">
        <f>'GHG Parameters'!C$348</f>
        <v>0</v>
      </c>
      <c r="AE10" s="39"/>
      <c r="AF10" s="283">
        <f>VLOOKUP(A10,'Crop parameters'!$A$2:$Z$43,10, FALSE)</f>
        <v>0.01</v>
      </c>
      <c r="AG10" s="283">
        <f>VLOOKUP(A10,'Crop parameters'!$A$2:$Z$43,11, FALSE)</f>
        <v>0</v>
      </c>
      <c r="AH10" s="187"/>
      <c r="AI10" s="39">
        <f t="shared" si="1"/>
        <v>2.6489173955226257</v>
      </c>
      <c r="AJ10" s="39" t="s">
        <v>760</v>
      </c>
      <c r="AK10" s="39">
        <f t="shared" ref="AK10:AK15" si="17">K10</f>
        <v>0</v>
      </c>
      <c r="AL10" s="39" t="s">
        <v>761</v>
      </c>
      <c r="AM10" s="39">
        <f t="shared" ref="AM10:AM15" si="18">Atm_Ndeposition(V10,D10)*$C$4/365</f>
        <v>0.92505852505838082</v>
      </c>
      <c r="AN10" s="39" t="s">
        <v>762</v>
      </c>
      <c r="AO10" s="595">
        <f>IF(D10&gt;0, Non_Symbiotic_Nfixation(V10,D10),0)</f>
        <v>0.39733760932839385</v>
      </c>
      <c r="AP10" s="194">
        <f>Symbiotic_Nfixation(B10,D10)</f>
        <v>0</v>
      </c>
      <c r="AQ10" s="39" t="s">
        <v>763</v>
      </c>
      <c r="AR10" s="187"/>
      <c r="AS10" s="39">
        <f t="shared" si="2"/>
        <v>20.741023206942156</v>
      </c>
      <c r="AT10" s="39" t="s">
        <v>764</v>
      </c>
      <c r="AU10" s="188" t="s">
        <v>765</v>
      </c>
      <c r="AV10" s="39">
        <f>IF(INPUTS!$E92="Main", 0, N_output_Residues(T10,AG10,D10))</f>
        <v>0</v>
      </c>
      <c r="AW10" s="39" t="s">
        <v>766</v>
      </c>
      <c r="AX10" s="303">
        <f t="shared" si="3"/>
        <v>5.1893037</v>
      </c>
      <c r="AY10" s="303" t="s">
        <v>768</v>
      </c>
      <c r="AZ10" s="304">
        <f t="shared" si="4"/>
        <v>3.5948700000000002</v>
      </c>
      <c r="BA10" s="303"/>
      <c r="BB10" s="303" t="s">
        <v>767</v>
      </c>
      <c r="BC10" s="303">
        <f t="shared" si="5"/>
        <v>2.7151800000000001</v>
      </c>
      <c r="BD10" s="39" t="s">
        <v>769</v>
      </c>
      <c r="BE10" s="39">
        <f>'Area Parameters'!D$7</f>
        <v>34</v>
      </c>
      <c r="BF10" s="287">
        <f t="shared" si="6"/>
        <v>5.1893037</v>
      </c>
      <c r="BG10" s="39">
        <f t="shared" si="7"/>
        <v>0.28194017190984616</v>
      </c>
      <c r="BH10" s="39" t="s">
        <v>770</v>
      </c>
      <c r="BI10" s="39">
        <f>('Soil erosion'!I5*W10*1.5)</f>
        <v>8.9369492960229807E-2</v>
      </c>
      <c r="BJ10" s="1325" t="s">
        <v>782</v>
      </c>
      <c r="BL10" s="39">
        <f t="shared" ref="BL10:BL15" si="19">IF(D10&gt;0,SUM(AI10:AP10),0)</f>
        <v>3.9713135299094002</v>
      </c>
      <c r="BM10" s="39">
        <f t="shared" ref="BM10:BM15" si="20">IF(D10&gt;0,SUM(AS10,AV10,BF10,BG10,BI10),0)</f>
        <v>26.301636571812232</v>
      </c>
      <c r="BN10" s="39">
        <f t="shared" ref="BN10:BN15" si="21">BL10-BM10</f>
        <v>-22.33032304190283</v>
      </c>
      <c r="BO10" s="39">
        <f>IFERROR(BN10/D10,"")</f>
        <v>-126.44971345452491</v>
      </c>
      <c r="BP10" s="39">
        <f t="shared" ref="BP10:BP15" si="22">IF(BN10=0,0,IF(AV10=0,BN10,BN10*(AV10/(AV10+AS10))))</f>
        <v>-22.33032304190283</v>
      </c>
      <c r="BQ10" s="39">
        <f t="shared" si="9"/>
        <v>-126.44971345452491</v>
      </c>
      <c r="BS10" s="39">
        <f t="shared" si="10"/>
        <v>0.1765944930348417</v>
      </c>
      <c r="BT10" s="39"/>
      <c r="BU10" s="39">
        <f>IFERROR(BM10/BL10,"")</f>
        <v>6.6229060923357181</v>
      </c>
      <c r="BX10" s="378">
        <f t="shared" si="11"/>
        <v>882.9724651742082</v>
      </c>
      <c r="BY10" s="378">
        <f t="shared" si="12"/>
        <v>2304.5581341046841</v>
      </c>
      <c r="BZ10" s="758">
        <f t="shared" ref="BZ10:BZ16" si="23">IFERROR(BY10/BX10,"")</f>
        <v>2.6100000000000008</v>
      </c>
    </row>
    <row r="11" spans="1:78">
      <c r="A11" s="1325" t="str">
        <f>INPUTS!D93</f>
        <v>Maize</v>
      </c>
      <c r="B11" s="39">
        <f>VLOOKUP(A11,'Crop parameters'!$A$2:$Z$43,13,FALSE)</f>
        <v>0</v>
      </c>
      <c r="C11" s="39"/>
      <c r="D11" s="39">
        <f>'Land requirements'!F6</f>
        <v>1.9244614121182668</v>
      </c>
      <c r="E11" s="39"/>
      <c r="F11" s="39">
        <f>INPUTS!E117</f>
        <v>15</v>
      </c>
      <c r="G11" s="39"/>
      <c r="H11" s="39">
        <f>IFERROR(Feed!$P$175*(S11+U11)/($S$16+$U$16),0)</f>
        <v>0</v>
      </c>
      <c r="I11" s="39">
        <f>Feed!$R$175*INPUTS!F117</f>
        <v>22.373404233750612</v>
      </c>
      <c r="J11" s="39">
        <f>Feed!$T$175*INPUTS!F117</f>
        <v>1.3979999999999999</v>
      </c>
      <c r="K11" s="39">
        <f>H11+I11+J11</f>
        <v>23.771404233750612</v>
      </c>
      <c r="L11" s="39">
        <f>IF(ISERROR(K11/D11),0,(K11/D11))</f>
        <v>12.352237402144258</v>
      </c>
      <c r="M11" s="39"/>
      <c r="N11" s="39">
        <f>VLOOKUP(INPUTS!$D93,'Crop parameters'!$A$2:$Z$43,4, FALSE)*1000</f>
        <v>1299</v>
      </c>
      <c r="O11" s="39">
        <f>VLOOKUP(INPUTS!$D93,'Crop parameters'!$A$2:$Z$43,8,FALSE)*1000</f>
        <v>3582.4421538461534</v>
      </c>
      <c r="P11" s="39">
        <f>INPUTS!F108</f>
        <v>0.6</v>
      </c>
      <c r="Q11" s="39">
        <f>INPUTS!E108</f>
        <v>0.4</v>
      </c>
      <c r="R11" s="39">
        <f t="shared" ref="R11:R15" si="24">N11*Q11</f>
        <v>519.6</v>
      </c>
      <c r="S11" s="39">
        <f t="shared" ref="S11:S15" si="25">R11*D11</f>
        <v>999.9501497366515</v>
      </c>
      <c r="T11" s="39">
        <f t="shared" si="14"/>
        <v>2149.4652923076919</v>
      </c>
      <c r="U11" s="39">
        <f t="shared" si="15"/>
        <v>4136.5630117336641</v>
      </c>
      <c r="V11" s="39">
        <f>'Area Parameters'!D$2</f>
        <v>1400</v>
      </c>
      <c r="W11" s="39">
        <f>'Area Parameters'!D$5</f>
        <v>0.3</v>
      </c>
      <c r="X11" s="39">
        <f>W11*20*'Area Parameters'!D$8*10</f>
        <v>90</v>
      </c>
      <c r="Y11" s="39">
        <f t="shared" si="16"/>
        <v>2.6999999999999997</v>
      </c>
      <c r="Z11" s="39">
        <f>'Area Parameters'!D$6</f>
        <v>1.3</v>
      </c>
      <c r="AA11" s="39">
        <f>'Area Parameters'!D$7</f>
        <v>34</v>
      </c>
      <c r="AB11" s="39"/>
      <c r="AC11" s="39"/>
      <c r="AD11" s="39">
        <f>'GHG Parameters'!C$348</f>
        <v>0</v>
      </c>
      <c r="AE11" s="39"/>
      <c r="AF11" s="283">
        <f>VLOOKUP(A11,'Crop parameters'!$A$2:$Z$43,10, FALSE)</f>
        <v>1.2800000000000001E-2</v>
      </c>
      <c r="AG11" s="283">
        <f>VLOOKUP(A11,'Crop parameters'!$A$2:$Z$43,11, FALSE)</f>
        <v>5.9200000000000008E-3</v>
      </c>
      <c r="AH11" s="187"/>
      <c r="AI11" s="39">
        <f t="shared" si="1"/>
        <v>28.866921181774003</v>
      </c>
      <c r="AJ11" s="39" t="s">
        <v>760</v>
      </c>
      <c r="AK11" s="39">
        <f t="shared" si="17"/>
        <v>23.771404233750612</v>
      </c>
      <c r="AL11" s="39" t="s">
        <v>761</v>
      </c>
      <c r="AM11" s="39">
        <f t="shared" si="18"/>
        <v>10.080945361499214</v>
      </c>
      <c r="AN11" s="39" t="s">
        <v>762</v>
      </c>
      <c r="AO11" s="595">
        <f>IF(D11&gt;0, Non_Symbiotic_Nfixation(V11,D11),0)</f>
        <v>4.3300381772661005</v>
      </c>
      <c r="AP11" s="194">
        <f>Symbiotic_Nfixation(B11,D11)</f>
        <v>0</v>
      </c>
      <c r="AQ11" s="39" t="s">
        <v>763</v>
      </c>
      <c r="AR11" s="187"/>
      <c r="AS11" s="39">
        <f t="shared" si="2"/>
        <v>12.79936191662914</v>
      </c>
      <c r="AT11" s="39" t="s">
        <v>764</v>
      </c>
      <c r="AU11" s="188" t="s">
        <v>765</v>
      </c>
      <c r="AV11" s="39">
        <f>IF(INPUTS!$E93="Main", 0, N_output_Residues(T11,AG11,D11))</f>
        <v>24.488453029463294</v>
      </c>
      <c r="AW11" s="39" t="s">
        <v>766</v>
      </c>
      <c r="AX11" s="303">
        <f t="shared" si="3"/>
        <v>12.15862776465524</v>
      </c>
      <c r="AY11" s="303" t="s">
        <v>768</v>
      </c>
      <c r="AZ11" s="304">
        <f t="shared" si="4"/>
        <v>8.4228421998747489</v>
      </c>
      <c r="BA11" s="303"/>
      <c r="BB11" s="303" t="s">
        <v>767</v>
      </c>
      <c r="BC11" s="303">
        <f t="shared" si="5"/>
        <v>6.3617134094573444</v>
      </c>
      <c r="BD11" s="39" t="s">
        <v>769</v>
      </c>
      <c r="BE11" s="39">
        <f>'Area Parameters'!D$7</f>
        <v>34</v>
      </c>
      <c r="BF11" s="287">
        <f t="shared" si="6"/>
        <v>12.15862776465524</v>
      </c>
      <c r="BG11" s="39">
        <f t="shared" si="7"/>
        <v>5.2166602847876025</v>
      </c>
      <c r="BH11" s="39" t="s">
        <v>770</v>
      </c>
      <c r="BI11" s="39">
        <f>('Soil erosion'!I6*W11*1.5)</f>
        <v>9.7391565086123322</v>
      </c>
      <c r="BJ11" s="1325" t="s">
        <v>782</v>
      </c>
      <c r="BL11" s="39">
        <f t="shared" si="19"/>
        <v>67.049308954289941</v>
      </c>
      <c r="BM11" s="39">
        <f t="shared" si="20"/>
        <v>64.402259504147608</v>
      </c>
      <c r="BN11" s="39">
        <f t="shared" si="21"/>
        <v>2.6470494501423332</v>
      </c>
      <c r="BO11" s="39">
        <f t="shared" si="8"/>
        <v>1.3754754621079719</v>
      </c>
      <c r="BP11" s="39">
        <f t="shared" si="22"/>
        <v>1.7384270496995209</v>
      </c>
      <c r="BQ11" s="39">
        <f t="shared" si="9"/>
        <v>0.9033317263483206</v>
      </c>
      <c r="BS11" s="39">
        <f t="shared" si="10"/>
        <v>1.9244614121182668</v>
      </c>
      <c r="BT11" s="39"/>
      <c r="BU11" s="39">
        <f>IFERROR(BM11/BL11,"")</f>
        <v>0.96052085410832599</v>
      </c>
      <c r="BX11" s="378">
        <f t="shared" si="11"/>
        <v>6894.2716862227735</v>
      </c>
      <c r="BY11" s="378">
        <f t="shared" si="12"/>
        <v>2499.8753743416287</v>
      </c>
      <c r="BZ11" s="758">
        <f t="shared" si="23"/>
        <v>0.36260180743054787</v>
      </c>
    </row>
    <row r="12" spans="1:78">
      <c r="A12" s="1325" t="str">
        <f>INPUTS!D94</f>
        <v>N/A</v>
      </c>
      <c r="B12" s="39">
        <f>VLOOKUP(A12,'Crop parameters'!$A$2:$Z$43,13,FALSE)</f>
        <v>0</v>
      </c>
      <c r="C12" s="39"/>
      <c r="D12" s="39">
        <f>'Land requirements'!F7</f>
        <v>0</v>
      </c>
      <c r="E12" s="39"/>
      <c r="F12" s="39">
        <f>INPUTS!E118</f>
        <v>15</v>
      </c>
      <c r="G12" s="39"/>
      <c r="H12" s="39">
        <f>IFERROR(Feed!$P$175*(S12+U12)/($S$16+$U$16),0)</f>
        <v>0</v>
      </c>
      <c r="I12" s="39">
        <f>Feed!$R$175*INPUTS!F118</f>
        <v>14.915602822500411</v>
      </c>
      <c r="J12" s="39">
        <f>Feed!$T$175*INPUTS!F118</f>
        <v>0.93200000000000005</v>
      </c>
      <c r="K12" s="39">
        <f t="shared" si="13"/>
        <v>15.847602822500411</v>
      </c>
      <c r="L12" s="39">
        <f t="shared" si="0"/>
        <v>0</v>
      </c>
      <c r="M12" s="39"/>
      <c r="N12" s="39">
        <f>VLOOKUP(INPUTS!$D94,'Crop parameters'!$A$2:$Z$43,4, FALSE)*1000</f>
        <v>0</v>
      </c>
      <c r="O12" s="39">
        <f>VLOOKUP(INPUTS!$D94,'Crop parameters'!$A$2:$Z$43,8,FALSE)*1000</f>
        <v>0</v>
      </c>
      <c r="P12" s="39">
        <f>INPUTS!F109</f>
        <v>0</v>
      </c>
      <c r="Q12" s="39">
        <f>INPUTS!E109</f>
        <v>0.9</v>
      </c>
      <c r="R12" s="39">
        <f t="shared" si="24"/>
        <v>0</v>
      </c>
      <c r="S12" s="39">
        <f t="shared" si="25"/>
        <v>0</v>
      </c>
      <c r="T12" s="39">
        <f t="shared" si="14"/>
        <v>0</v>
      </c>
      <c r="U12" s="39">
        <f t="shared" si="15"/>
        <v>0</v>
      </c>
      <c r="V12" s="39">
        <f>'Area Parameters'!D$2</f>
        <v>1400</v>
      </c>
      <c r="W12" s="39">
        <f>'Area Parameters'!D$5</f>
        <v>0.3</v>
      </c>
      <c r="X12" s="39">
        <f>W12*20*'Area Parameters'!D$8*10</f>
        <v>90</v>
      </c>
      <c r="Y12" s="39">
        <f t="shared" si="16"/>
        <v>2.6999999999999997</v>
      </c>
      <c r="Z12" s="39">
        <f>'Area Parameters'!D$6</f>
        <v>1.3</v>
      </c>
      <c r="AA12" s="39">
        <f>'Area Parameters'!D$7</f>
        <v>34</v>
      </c>
      <c r="AB12" s="39"/>
      <c r="AC12" s="39"/>
      <c r="AD12" s="39">
        <f>'GHG Parameters'!C$348</f>
        <v>0</v>
      </c>
      <c r="AE12" s="39"/>
      <c r="AF12" s="283">
        <f>VLOOKUP(A12,'Crop parameters'!$A$2:$Z$43,10, FALSE)</f>
        <v>0</v>
      </c>
      <c r="AG12" s="283">
        <f>VLOOKUP(A12,'Crop parameters'!$A$2:$Z$43,11, FALSE)</f>
        <v>0</v>
      </c>
      <c r="AH12" s="187"/>
      <c r="AI12" s="39">
        <f t="shared" si="1"/>
        <v>0</v>
      </c>
      <c r="AJ12" s="39" t="s">
        <v>760</v>
      </c>
      <c r="AK12" s="39">
        <f t="shared" si="17"/>
        <v>15.847602822500411</v>
      </c>
      <c r="AL12" s="39" t="s">
        <v>761</v>
      </c>
      <c r="AM12" s="39">
        <f t="shared" si="18"/>
        <v>0</v>
      </c>
      <c r="AN12" s="39" t="s">
        <v>762</v>
      </c>
      <c r="AO12" s="595">
        <f>IF(D12&gt;0, Non_Symbiotic_Nfixation(V12,D12),0)</f>
        <v>0</v>
      </c>
      <c r="AP12" s="194">
        <f>IFERROR(Symbiotic_Nfixation(B12,D12),0)</f>
        <v>0</v>
      </c>
      <c r="AQ12" s="39" t="s">
        <v>763</v>
      </c>
      <c r="AR12" s="187"/>
      <c r="AS12" s="39">
        <f t="shared" si="2"/>
        <v>0</v>
      </c>
      <c r="AT12" s="39" t="s">
        <v>764</v>
      </c>
      <c r="AU12" s="188" t="s">
        <v>765</v>
      </c>
      <c r="AV12" s="39">
        <f>IF(INPUTS!$E94="Main", 0, N_output_Residues(T12,AG12,D12))</f>
        <v>0</v>
      </c>
      <c r="AW12" s="39" t="s">
        <v>766</v>
      </c>
      <c r="AX12" s="303">
        <f t="shared" si="3"/>
        <v>9.8355197431034931</v>
      </c>
      <c r="AY12" s="303" t="s">
        <v>768</v>
      </c>
      <c r="AZ12" s="304">
        <f t="shared" si="4"/>
        <v>6.8135181332498336</v>
      </c>
      <c r="BA12" s="303"/>
      <c r="BB12" s="303" t="s">
        <v>767</v>
      </c>
      <c r="BC12" s="303">
        <f t="shared" si="5"/>
        <v>5.1462022729715633</v>
      </c>
      <c r="BD12" s="39" t="s">
        <v>769</v>
      </c>
      <c r="BE12" s="39">
        <f>'Area Parameters'!D$7</f>
        <v>34</v>
      </c>
      <c r="BF12" s="287">
        <f t="shared" si="6"/>
        <v>9.8355197431034931</v>
      </c>
      <c r="BG12" s="39">
        <f t="shared" si="7"/>
        <v>0</v>
      </c>
      <c r="BH12" s="39" t="s">
        <v>770</v>
      </c>
      <c r="BI12" s="39">
        <f>('Soil erosion'!I7*W12*1.5)</f>
        <v>0</v>
      </c>
      <c r="BJ12" s="1325" t="s">
        <v>782</v>
      </c>
      <c r="BL12" s="39">
        <f t="shared" si="19"/>
        <v>0</v>
      </c>
      <c r="BM12" s="39">
        <f t="shared" si="20"/>
        <v>0</v>
      </c>
      <c r="BN12" s="39">
        <f t="shared" si="21"/>
        <v>0</v>
      </c>
      <c r="BO12" s="39" t="str">
        <f t="shared" si="8"/>
        <v/>
      </c>
      <c r="BP12" s="39">
        <f t="shared" si="22"/>
        <v>0</v>
      </c>
      <c r="BQ12" s="39" t="str">
        <f t="shared" si="9"/>
        <v/>
      </c>
      <c r="BS12" s="39">
        <f t="shared" si="10"/>
        <v>0</v>
      </c>
      <c r="BT12" s="39"/>
      <c r="BU12" s="39" t="str">
        <f t="shared" ref="BU12:BU14" si="26">IFERROR(BM12/BL12,"")</f>
        <v/>
      </c>
      <c r="BX12" s="378">
        <f t="shared" si="11"/>
        <v>0</v>
      </c>
      <c r="BY12" s="378">
        <f t="shared" si="12"/>
        <v>0</v>
      </c>
      <c r="BZ12" s="758" t="str">
        <f t="shared" si="23"/>
        <v/>
      </c>
    </row>
    <row r="13" spans="1:78">
      <c r="A13" s="1325" t="str">
        <f>INPUTS!D95</f>
        <v>N/A</v>
      </c>
      <c r="B13" s="39">
        <f>VLOOKUP(A13,'Crop parameters'!$A$2:$Z$43,13,FALSE)</f>
        <v>0</v>
      </c>
      <c r="C13" s="39"/>
      <c r="D13" s="39">
        <f>'Land requirements'!F8</f>
        <v>0</v>
      </c>
      <c r="E13" s="39"/>
      <c r="F13" s="39">
        <f>INPUTS!E119</f>
        <v>15</v>
      </c>
      <c r="G13" s="39"/>
      <c r="H13" s="39">
        <f>IFERROR(Feed!$P$175*(S13+U13)/($S$16+$U$16),0)</f>
        <v>0</v>
      </c>
      <c r="I13" s="39">
        <f>Feed!$R$175*INPUTS!F119</f>
        <v>14.915602822500411</v>
      </c>
      <c r="J13" s="39">
        <f>Feed!$T$175*INPUTS!F119</f>
        <v>0.93200000000000005</v>
      </c>
      <c r="K13" s="39">
        <f t="shared" si="13"/>
        <v>15.847602822500411</v>
      </c>
      <c r="L13" s="39">
        <f t="shared" si="0"/>
        <v>0</v>
      </c>
      <c r="M13" s="39"/>
      <c r="N13" s="39">
        <f>VLOOKUP(INPUTS!$D95,'Crop parameters'!$A$2:$Z$43,4, FALSE)*1000</f>
        <v>0</v>
      </c>
      <c r="O13" s="39">
        <f>VLOOKUP(INPUTS!$D95,'Crop parameters'!$A$2:$Z$43,8,FALSE)*1000</f>
        <v>0</v>
      </c>
      <c r="P13" s="39">
        <f>INPUTS!F110</f>
        <v>0</v>
      </c>
      <c r="Q13" s="39">
        <f>INPUTS!E110</f>
        <v>0.9</v>
      </c>
      <c r="R13" s="39">
        <f t="shared" si="24"/>
        <v>0</v>
      </c>
      <c r="S13" s="39">
        <f t="shared" si="25"/>
        <v>0</v>
      </c>
      <c r="T13" s="39">
        <f t="shared" si="14"/>
        <v>0</v>
      </c>
      <c r="U13" s="39">
        <f t="shared" si="15"/>
        <v>0</v>
      </c>
      <c r="V13" s="39">
        <f>'Area Parameters'!D$2</f>
        <v>1400</v>
      </c>
      <c r="W13" s="39">
        <f>'Area Parameters'!D$5</f>
        <v>0.3</v>
      </c>
      <c r="X13" s="39">
        <f>W13*20*'Area Parameters'!D$8*10</f>
        <v>90</v>
      </c>
      <c r="Y13" s="39">
        <f t="shared" si="16"/>
        <v>2.6999999999999997</v>
      </c>
      <c r="Z13" s="39">
        <f>'Area Parameters'!D$6</f>
        <v>1.3</v>
      </c>
      <c r="AA13" s="39">
        <f>'Area Parameters'!D$7</f>
        <v>34</v>
      </c>
      <c r="AB13" s="39"/>
      <c r="AC13" s="39"/>
      <c r="AD13" s="39">
        <f>'GHG Parameters'!C$348</f>
        <v>0</v>
      </c>
      <c r="AE13" s="39"/>
      <c r="AF13" s="283">
        <f>VLOOKUP(A13,'Crop parameters'!$A$2:$Z$43,10, FALSE)</f>
        <v>0</v>
      </c>
      <c r="AG13" s="283">
        <f>VLOOKUP(A13,'Crop parameters'!$A$2:$Z$43,11, FALSE)</f>
        <v>0</v>
      </c>
      <c r="AH13" s="187"/>
      <c r="AI13" s="39">
        <f t="shared" si="1"/>
        <v>0</v>
      </c>
      <c r="AJ13" s="39" t="s">
        <v>760</v>
      </c>
      <c r="AK13" s="39">
        <f t="shared" si="17"/>
        <v>15.847602822500411</v>
      </c>
      <c r="AL13" s="39" t="s">
        <v>761</v>
      </c>
      <c r="AM13" s="39">
        <f t="shared" si="18"/>
        <v>0</v>
      </c>
      <c r="AN13" s="39" t="s">
        <v>762</v>
      </c>
      <c r="AO13" s="595">
        <f>IF(D13&gt;0, Non_Symbiotic_Nfixation(V13,D13),0)</f>
        <v>0</v>
      </c>
      <c r="AP13" s="194">
        <f>IFERROR(Symbiotic_Nfixation(B13,D13),0)</f>
        <v>0</v>
      </c>
      <c r="AQ13" s="39" t="s">
        <v>763</v>
      </c>
      <c r="AR13" s="187"/>
      <c r="AS13" s="39">
        <f t="shared" si="2"/>
        <v>0</v>
      </c>
      <c r="AT13" s="39" t="s">
        <v>764</v>
      </c>
      <c r="AU13" s="188" t="s">
        <v>765</v>
      </c>
      <c r="AV13" s="39">
        <f>IF(INPUTS!$E95="Main", 0, N_output_Residues(T13,AG13,D13))</f>
        <v>0</v>
      </c>
      <c r="AW13" s="39" t="s">
        <v>766</v>
      </c>
      <c r="AX13" s="303">
        <f t="shared" si="3"/>
        <v>9.8355197431034931</v>
      </c>
      <c r="AY13" s="303" t="s">
        <v>768</v>
      </c>
      <c r="AZ13" s="304">
        <f t="shared" si="4"/>
        <v>6.8135181332498336</v>
      </c>
      <c r="BA13" s="303"/>
      <c r="BB13" s="303" t="s">
        <v>767</v>
      </c>
      <c r="BC13" s="303">
        <f t="shared" si="5"/>
        <v>5.1462022729715633</v>
      </c>
      <c r="BD13" s="39" t="s">
        <v>769</v>
      </c>
      <c r="BE13" s="39">
        <f>'Area Parameters'!D$7</f>
        <v>34</v>
      </c>
      <c r="BF13" s="287">
        <f t="shared" si="6"/>
        <v>9.8355197431034931</v>
      </c>
      <c r="BG13" s="39">
        <f t="shared" si="7"/>
        <v>0</v>
      </c>
      <c r="BH13" s="39" t="s">
        <v>770</v>
      </c>
      <c r="BI13" s="39">
        <f>('Soil erosion'!I8*W13*1.5)</f>
        <v>0</v>
      </c>
      <c r="BJ13" s="1325" t="s">
        <v>782</v>
      </c>
      <c r="BL13" s="39">
        <f t="shared" si="19"/>
        <v>0</v>
      </c>
      <c r="BM13" s="39">
        <f t="shared" si="20"/>
        <v>0</v>
      </c>
      <c r="BN13" s="39">
        <f t="shared" si="21"/>
        <v>0</v>
      </c>
      <c r="BO13" s="39" t="str">
        <f t="shared" si="8"/>
        <v/>
      </c>
      <c r="BP13" s="39">
        <f t="shared" si="22"/>
        <v>0</v>
      </c>
      <c r="BQ13" s="39" t="str">
        <f t="shared" si="9"/>
        <v/>
      </c>
      <c r="BS13" s="39">
        <f t="shared" si="10"/>
        <v>0</v>
      </c>
      <c r="BT13" s="39"/>
      <c r="BU13" s="39" t="str">
        <f>IFERROR(BM13/BL13,"")</f>
        <v/>
      </c>
      <c r="BX13" s="378">
        <f t="shared" si="11"/>
        <v>0</v>
      </c>
      <c r="BY13" s="378">
        <f t="shared" si="12"/>
        <v>0</v>
      </c>
      <c r="BZ13" s="758" t="str">
        <f t="shared" si="23"/>
        <v/>
      </c>
    </row>
    <row r="14" spans="1:78">
      <c r="A14" s="1325" t="str">
        <f>INPUTS!D96</f>
        <v>N/A</v>
      </c>
      <c r="B14" s="39">
        <f>VLOOKUP(A14,'Crop parameters'!$A$2:$Z$43,13,FALSE)</f>
        <v>0</v>
      </c>
      <c r="C14" s="39"/>
      <c r="D14" s="39">
        <f>'Land requirements'!F9</f>
        <v>0</v>
      </c>
      <c r="E14" s="39"/>
      <c r="F14" s="39">
        <f>INPUTS!E120</f>
        <v>15</v>
      </c>
      <c r="G14" s="39"/>
      <c r="H14" s="39">
        <f>IFERROR(Feed!$P$175*(S14+U14)/($S$16+$U$16),0)</f>
        <v>0</v>
      </c>
      <c r="I14" s="39">
        <f>Feed!$R$175*INPUTS!F120</f>
        <v>14.915602822500411</v>
      </c>
      <c r="J14" s="39">
        <f>Feed!$T$175*INPUTS!F120</f>
        <v>0.93200000000000005</v>
      </c>
      <c r="K14" s="39">
        <f t="shared" si="13"/>
        <v>15.847602822500411</v>
      </c>
      <c r="L14" s="39">
        <f t="shared" si="0"/>
        <v>0</v>
      </c>
      <c r="M14" s="39"/>
      <c r="N14" s="39">
        <f>VLOOKUP(INPUTS!$D96,'Crop parameters'!$A$2:$Z$43,4, FALSE)*1000</f>
        <v>0</v>
      </c>
      <c r="O14" s="39">
        <f>VLOOKUP(INPUTS!$D96,'Crop parameters'!$A$2:$Z$43,8,FALSE)*1000</f>
        <v>0</v>
      </c>
      <c r="P14" s="39">
        <f>INPUTS!F111</f>
        <v>0</v>
      </c>
      <c r="Q14" s="39">
        <f>INPUTS!E111</f>
        <v>0.9</v>
      </c>
      <c r="R14" s="39">
        <f t="shared" si="24"/>
        <v>0</v>
      </c>
      <c r="S14" s="39">
        <f t="shared" si="25"/>
        <v>0</v>
      </c>
      <c r="T14" s="39">
        <f t="shared" si="14"/>
        <v>0</v>
      </c>
      <c r="U14" s="39">
        <f t="shared" si="15"/>
        <v>0</v>
      </c>
      <c r="V14" s="39">
        <f>'Area Parameters'!D$2</f>
        <v>1400</v>
      </c>
      <c r="W14" s="39">
        <f>'Area Parameters'!D$5</f>
        <v>0.3</v>
      </c>
      <c r="X14" s="39">
        <f>W14*20*'Area Parameters'!D$8*10</f>
        <v>90</v>
      </c>
      <c r="Y14" s="39">
        <f t="shared" si="16"/>
        <v>2.6999999999999997</v>
      </c>
      <c r="Z14" s="39">
        <f>'Area Parameters'!D$6</f>
        <v>1.3</v>
      </c>
      <c r="AA14" s="39">
        <f>'Area Parameters'!D$7</f>
        <v>34</v>
      </c>
      <c r="AB14" s="39"/>
      <c r="AC14" s="39"/>
      <c r="AD14" s="39">
        <f>'GHG Parameters'!C$348</f>
        <v>0</v>
      </c>
      <c r="AE14" s="39"/>
      <c r="AF14" s="283">
        <f>VLOOKUP(A14,'Crop parameters'!$A$2:$Z$43,10, FALSE)</f>
        <v>0</v>
      </c>
      <c r="AG14" s="283">
        <f>VLOOKUP(A14,'Crop parameters'!$A$2:$Z$43,11, FALSE)</f>
        <v>0</v>
      </c>
      <c r="AH14" s="187"/>
      <c r="AI14" s="39">
        <f t="shared" si="1"/>
        <v>0</v>
      </c>
      <c r="AJ14" s="39" t="s">
        <v>760</v>
      </c>
      <c r="AK14" s="39">
        <f t="shared" si="17"/>
        <v>15.847602822500411</v>
      </c>
      <c r="AL14" s="39" t="s">
        <v>761</v>
      </c>
      <c r="AM14" s="39">
        <f t="shared" si="18"/>
        <v>0</v>
      </c>
      <c r="AN14" s="39" t="s">
        <v>762</v>
      </c>
      <c r="AO14" s="595">
        <f>IF(D14&gt;0, Non_Symbiotic_Nfixation(V14,D14),0)</f>
        <v>0</v>
      </c>
      <c r="AP14" s="194">
        <f>IFERROR(Symbiotic_Nfixation(B14,D14),0)</f>
        <v>0</v>
      </c>
      <c r="AQ14" s="39" t="s">
        <v>763</v>
      </c>
      <c r="AR14" s="187"/>
      <c r="AS14" s="39">
        <f t="shared" si="2"/>
        <v>0</v>
      </c>
      <c r="AT14" s="39" t="s">
        <v>764</v>
      </c>
      <c r="AU14" s="188" t="s">
        <v>765</v>
      </c>
      <c r="AV14" s="39">
        <f>IF(INPUTS!$E96="Main", 0, N_output_Residues(T14,AG14,D14))</f>
        <v>0</v>
      </c>
      <c r="AW14" s="39" t="s">
        <v>766</v>
      </c>
      <c r="AX14" s="303">
        <f t="shared" si="3"/>
        <v>9.8355197431034931</v>
      </c>
      <c r="AY14" s="303" t="s">
        <v>768</v>
      </c>
      <c r="AZ14" s="304">
        <f t="shared" si="4"/>
        <v>6.8135181332498336</v>
      </c>
      <c r="BA14" s="303"/>
      <c r="BB14" s="303" t="s">
        <v>767</v>
      </c>
      <c r="BC14" s="303">
        <f t="shared" si="5"/>
        <v>5.1462022729715633</v>
      </c>
      <c r="BD14" s="39" t="s">
        <v>769</v>
      </c>
      <c r="BE14" s="39">
        <f>'Area Parameters'!D$7</f>
        <v>34</v>
      </c>
      <c r="BF14" s="287">
        <f t="shared" si="6"/>
        <v>9.8355197431034931</v>
      </c>
      <c r="BG14" s="39">
        <f t="shared" si="7"/>
        <v>0</v>
      </c>
      <c r="BH14" s="39" t="s">
        <v>770</v>
      </c>
      <c r="BI14" s="39">
        <f>('Soil erosion'!I9*W14*1.5)</f>
        <v>0</v>
      </c>
      <c r="BJ14" s="1325" t="s">
        <v>782</v>
      </c>
      <c r="BL14" s="39">
        <f t="shared" si="19"/>
        <v>0</v>
      </c>
      <c r="BM14" s="39">
        <f t="shared" si="20"/>
        <v>0</v>
      </c>
      <c r="BN14" s="39">
        <f t="shared" si="21"/>
        <v>0</v>
      </c>
      <c r="BO14" s="39" t="str">
        <f t="shared" si="8"/>
        <v/>
      </c>
      <c r="BP14" s="39">
        <f t="shared" si="22"/>
        <v>0</v>
      </c>
      <c r="BQ14" s="39" t="str">
        <f t="shared" si="9"/>
        <v/>
      </c>
      <c r="BS14" s="39">
        <f t="shared" si="10"/>
        <v>0</v>
      </c>
      <c r="BT14" s="39"/>
      <c r="BU14" s="39" t="str">
        <f t="shared" si="26"/>
        <v/>
      </c>
      <c r="BX14" s="378">
        <f t="shared" si="11"/>
        <v>0</v>
      </c>
      <c r="BY14" s="378">
        <f t="shared" si="12"/>
        <v>0</v>
      </c>
      <c r="BZ14" s="758" t="str">
        <f t="shared" si="23"/>
        <v/>
      </c>
    </row>
    <row r="15" spans="1:78">
      <c r="A15" s="1325" t="str">
        <f>INPUTS!D97</f>
        <v>N/A</v>
      </c>
      <c r="B15" s="39">
        <f>VLOOKUP(A15,'Crop parameters'!$A$2:$Z$43,13,FALSE)</f>
        <v>0</v>
      </c>
      <c r="C15" s="39"/>
      <c r="D15" s="39">
        <f>'Land requirements'!F10</f>
        <v>0</v>
      </c>
      <c r="E15" s="39"/>
      <c r="F15" s="39">
        <f>INPUTS!E121</f>
        <v>0</v>
      </c>
      <c r="G15" s="39"/>
      <c r="H15" s="39">
        <f>IFERROR(Feed!$P$175*(S15+U15)/($S$16+$U$16),0)</f>
        <v>0</v>
      </c>
      <c r="I15" s="39">
        <f>Feed!$R$175*INPUTS!F121</f>
        <v>0</v>
      </c>
      <c r="J15" s="39">
        <f>Feed!$T$175*INPUTS!F121</f>
        <v>0</v>
      </c>
      <c r="K15" s="39">
        <f t="shared" si="13"/>
        <v>0</v>
      </c>
      <c r="L15" s="39">
        <f t="shared" si="0"/>
        <v>0</v>
      </c>
      <c r="M15" s="39"/>
      <c r="N15" s="39">
        <f>VLOOKUP(INPUTS!$D97,'Crop parameters'!$A$2:$Z$43,4, FALSE)*1000</f>
        <v>0</v>
      </c>
      <c r="O15" s="39">
        <f>VLOOKUP(INPUTS!$D97,'Crop parameters'!$A$2:$Z$43,8,FALSE)*1000</f>
        <v>0</v>
      </c>
      <c r="P15" s="39">
        <f>INPUTS!F112</f>
        <v>0</v>
      </c>
      <c r="Q15" s="39">
        <f>INPUTS!E112</f>
        <v>0</v>
      </c>
      <c r="R15" s="39">
        <f t="shared" si="24"/>
        <v>0</v>
      </c>
      <c r="S15" s="39">
        <f t="shared" si="25"/>
        <v>0</v>
      </c>
      <c r="T15" s="39">
        <f t="shared" si="14"/>
        <v>0</v>
      </c>
      <c r="U15" s="39">
        <f t="shared" si="15"/>
        <v>0</v>
      </c>
      <c r="V15" s="39">
        <f>'Area Parameters'!D$2</f>
        <v>1400</v>
      </c>
      <c r="W15" s="39">
        <f>'Area Parameters'!D$5</f>
        <v>0.3</v>
      </c>
      <c r="X15" s="39">
        <f>W15*20*'Area Parameters'!D$8*10</f>
        <v>90</v>
      </c>
      <c r="Y15" s="39">
        <f t="shared" si="16"/>
        <v>2.6999999999999997</v>
      </c>
      <c r="Z15" s="39">
        <f>'Area Parameters'!D$6</f>
        <v>1.3</v>
      </c>
      <c r="AA15" s="39">
        <f>'Area Parameters'!D$7</f>
        <v>34</v>
      </c>
      <c r="AB15" s="39"/>
      <c r="AC15" s="39"/>
      <c r="AD15" s="39">
        <f>'GHG Parameters'!C$348</f>
        <v>0</v>
      </c>
      <c r="AE15" s="39"/>
      <c r="AF15" s="283">
        <f>VLOOKUP(A15,'Crop parameters'!$A$2:$Z$43,10, FALSE)</f>
        <v>0</v>
      </c>
      <c r="AG15" s="283">
        <f>VLOOKUP(A15,'Crop parameters'!$A$2:$Z$43,11, FALSE)</f>
        <v>0</v>
      </c>
      <c r="AH15" s="187"/>
      <c r="AI15" s="39">
        <f t="shared" si="1"/>
        <v>0</v>
      </c>
      <c r="AJ15" s="39" t="s">
        <v>760</v>
      </c>
      <c r="AK15" s="39">
        <f t="shared" si="17"/>
        <v>0</v>
      </c>
      <c r="AL15" s="39" t="s">
        <v>761</v>
      </c>
      <c r="AM15" s="39">
        <f t="shared" si="18"/>
        <v>0</v>
      </c>
      <c r="AN15" s="39" t="s">
        <v>762</v>
      </c>
      <c r="AO15" s="595">
        <f>IF(D15&gt;0, Non_Symbiotic_Nfixation(V15,D15),0)</f>
        <v>0</v>
      </c>
      <c r="AP15" s="194">
        <f>IFERROR(Symbiotic_Nfixation(B15,D15),0)</f>
        <v>0</v>
      </c>
      <c r="AQ15" s="39" t="s">
        <v>763</v>
      </c>
      <c r="AR15" s="187"/>
      <c r="AS15" s="39">
        <f t="shared" si="2"/>
        <v>0</v>
      </c>
      <c r="AT15" s="39" t="s">
        <v>764</v>
      </c>
      <c r="AU15" s="188" t="s">
        <v>765</v>
      </c>
      <c r="AV15" s="39">
        <f>IF(INPUTS!$E97="Main", 0, N_output_Residues(T15,AG15,D15))</f>
        <v>0</v>
      </c>
      <c r="AW15" s="39" t="s">
        <v>766</v>
      </c>
      <c r="AX15" s="303">
        <f t="shared" si="3"/>
        <v>0.79158869999999992</v>
      </c>
      <c r="AY15" s="303" t="s">
        <v>768</v>
      </c>
      <c r="AZ15" s="304">
        <f t="shared" si="4"/>
        <v>0.54836999999999991</v>
      </c>
      <c r="BA15" s="303"/>
      <c r="BB15" s="303" t="s">
        <v>767</v>
      </c>
      <c r="BC15" s="303">
        <f t="shared" si="5"/>
        <v>0.41417999999999999</v>
      </c>
      <c r="BD15" s="39" t="s">
        <v>769</v>
      </c>
      <c r="BE15" s="39">
        <f>'Area Parameters'!D$7</f>
        <v>34</v>
      </c>
      <c r="BF15" s="287">
        <f t="shared" si="6"/>
        <v>0.79158869999999992</v>
      </c>
      <c r="BG15" s="39">
        <f t="shared" si="7"/>
        <v>0</v>
      </c>
      <c r="BH15" s="39" t="s">
        <v>770</v>
      </c>
      <c r="BI15" s="39">
        <f>('Soil erosion'!I10*W15*1.5)</f>
        <v>0</v>
      </c>
      <c r="BJ15" s="1325" t="s">
        <v>782</v>
      </c>
      <c r="BL15" s="39">
        <f t="shared" si="19"/>
        <v>0</v>
      </c>
      <c r="BM15" s="39">
        <f t="shared" si="20"/>
        <v>0</v>
      </c>
      <c r="BN15" s="39">
        <f t="shared" si="21"/>
        <v>0</v>
      </c>
      <c r="BO15" s="39" t="str">
        <f t="shared" si="8"/>
        <v/>
      </c>
      <c r="BP15" s="39">
        <f t="shared" si="22"/>
        <v>0</v>
      </c>
      <c r="BQ15" s="39" t="str">
        <f t="shared" si="9"/>
        <v/>
      </c>
      <c r="BS15" s="39">
        <f t="shared" si="10"/>
        <v>0</v>
      </c>
      <c r="BT15" s="39"/>
      <c r="BU15" s="39"/>
      <c r="BX15" s="378">
        <f t="shared" si="11"/>
        <v>0</v>
      </c>
      <c r="BY15" s="378">
        <f t="shared" si="12"/>
        <v>0</v>
      </c>
      <c r="BZ15" s="758" t="str">
        <f t="shared" si="23"/>
        <v/>
      </c>
    </row>
    <row r="16" spans="1:78" ht="16.5" thickBot="1">
      <c r="A16" s="189"/>
      <c r="B16" s="190"/>
      <c r="C16" s="190"/>
      <c r="D16" s="190">
        <f>SUM(D9:D15)</f>
        <v>2.1010559051531086</v>
      </c>
      <c r="E16" s="190"/>
      <c r="F16" s="190"/>
      <c r="G16" s="190"/>
      <c r="H16" s="190">
        <f>SUM(H9:H15)</f>
        <v>0</v>
      </c>
      <c r="I16" s="190">
        <f>SUM(I9:I15)</f>
        <v>67.120212701251845</v>
      </c>
      <c r="J16" s="190">
        <f>SUM(J9:J15)</f>
        <v>4.194</v>
      </c>
      <c r="K16" s="190">
        <f t="shared" ref="K16:L16" si="27">SUM(K9:K15)</f>
        <v>71.314212701251847</v>
      </c>
      <c r="L16" s="190">
        <f t="shared" si="27"/>
        <v>12.352237402144258</v>
      </c>
      <c r="M16" s="190"/>
      <c r="N16" s="190"/>
      <c r="O16" s="190"/>
      <c r="P16" s="190"/>
      <c r="Q16" s="190"/>
      <c r="R16" s="190"/>
      <c r="S16" s="190">
        <f>SUM(S9:S15)</f>
        <v>3074.0524704308668</v>
      </c>
      <c r="T16" s="190"/>
      <c r="U16" s="190">
        <f>SUM(U9:U15)</f>
        <v>4136.5630117336641</v>
      </c>
      <c r="V16" s="190"/>
      <c r="W16" s="190"/>
      <c r="X16" s="190"/>
      <c r="Y16" s="190"/>
      <c r="Z16" s="190"/>
      <c r="AA16" s="190"/>
      <c r="AB16" s="190"/>
      <c r="AC16" s="190"/>
      <c r="AD16" s="190"/>
      <c r="AE16" s="190"/>
      <c r="AF16" s="190"/>
      <c r="AG16" s="190"/>
      <c r="AH16" s="191" t="s">
        <v>131</v>
      </c>
      <c r="AI16" s="191">
        <f>SUM(AI9:AI15)</f>
        <v>31.515838577296631</v>
      </c>
      <c r="AJ16" s="190"/>
      <c r="AK16" s="193">
        <f>SUM(AK9:AK15)</f>
        <v>71.314212701251847</v>
      </c>
      <c r="AL16" s="190"/>
      <c r="AM16" s="191">
        <f>SUM(AM9:AM15)</f>
        <v>11.006003886557595</v>
      </c>
      <c r="AN16" s="191"/>
      <c r="AO16" s="191">
        <f>SUM(AO9:AO15)</f>
        <v>4.7273757865944948</v>
      </c>
      <c r="AP16" s="191">
        <f>SUM(AP9:AP15)</f>
        <v>0</v>
      </c>
      <c r="AQ16" s="190"/>
      <c r="AR16" s="190"/>
      <c r="AS16" s="191">
        <f>SUM(AS9:AS15)</f>
        <v>33.540385123571298</v>
      </c>
      <c r="AT16" s="190"/>
      <c r="AU16" s="190"/>
      <c r="AV16" s="191">
        <f>SUM(AV9:AV15)</f>
        <v>24.488453029463294</v>
      </c>
      <c r="AW16" s="190"/>
      <c r="AX16" s="195" t="s">
        <v>635</v>
      </c>
      <c r="AY16" s="195" t="s">
        <v>635</v>
      </c>
      <c r="AZ16" s="195" t="s">
        <v>635</v>
      </c>
      <c r="BA16" s="195" t="s">
        <v>635</v>
      </c>
      <c r="BB16" s="195" t="s">
        <v>635</v>
      </c>
      <c r="BC16" s="195" t="s">
        <v>635</v>
      </c>
      <c r="BD16" s="195" t="s">
        <v>635</v>
      </c>
      <c r="BE16" s="195" t="s">
        <v>635</v>
      </c>
      <c r="BF16" s="191">
        <f>SUM(BF9:BF15)</f>
        <v>48.437668093965719</v>
      </c>
      <c r="BG16" s="191">
        <f>SUM(BG9:BG15)</f>
        <v>5.4986004566974485</v>
      </c>
      <c r="BH16" s="190"/>
      <c r="BI16" s="191">
        <f>SUM(BI9:BI15)</f>
        <v>9.8285260015725626</v>
      </c>
      <c r="BJ16" s="189"/>
      <c r="BK16" s="189"/>
      <c r="BL16" s="191">
        <f t="shared" ref="BL16:BM16" si="28">SUM(BL9:BL15)</f>
        <v>71.020622484199336</v>
      </c>
      <c r="BM16" s="191">
        <f t="shared" si="28"/>
        <v>90.703896075959847</v>
      </c>
      <c r="BN16" s="191">
        <f>SUM(BN9:BN15)</f>
        <v>-19.683273591760496</v>
      </c>
      <c r="BO16" s="190">
        <f>IFERROR(BN16/D16,"")</f>
        <v>-9.3682769427908834</v>
      </c>
      <c r="BP16" s="191">
        <f>SUM(BP9:BP15)</f>
        <v>-20.591895992203309</v>
      </c>
      <c r="BQ16" s="190">
        <f t="shared" si="9"/>
        <v>-9.8007368303237659</v>
      </c>
      <c r="BR16" s="189"/>
      <c r="BS16" s="190">
        <f>SUM(BS9:BS15)</f>
        <v>2.1010559051531086</v>
      </c>
      <c r="BU16" s="39"/>
      <c r="BX16" s="763">
        <f>SUM(BX9:BX15)</f>
        <v>7777.2441513969816</v>
      </c>
      <c r="BY16" s="763">
        <f>SUM(BY9:BY15)</f>
        <v>4804.4335084463128</v>
      </c>
      <c r="BZ16" s="764">
        <f t="shared" si="23"/>
        <v>0.61775526329378772</v>
      </c>
    </row>
    <row r="17" spans="37:46">
      <c r="AK17" s="42" t="s">
        <v>1290</v>
      </c>
      <c r="AL17" s="42"/>
      <c r="AM17" s="42"/>
      <c r="AS17" s="42" t="s">
        <v>1289</v>
      </c>
      <c r="AT17" s="42"/>
    </row>
  </sheetData>
  <sheetProtection formatCells="0" formatColumns="0" formatRows="0" insertColumns="0" insertRows="0" insertHyperlinks="0" deleteColumns="0" deleteRows="0" sort="0" autoFilter="0" pivotTables="0"/>
  <mergeCells count="7">
    <mergeCell ref="F6:L6"/>
    <mergeCell ref="V6:AA6"/>
    <mergeCell ref="AC6:AD6"/>
    <mergeCell ref="AF6:AG6"/>
    <mergeCell ref="P7:P8"/>
    <mergeCell ref="O7:O8"/>
    <mergeCell ref="N6:T6"/>
  </mergeCells>
  <pageMargins left="0.7" right="0.7" top="0.75" bottom="0.75" header="0.3" footer="0.3"/>
  <pageSetup paperSize="9" orientation="portrait" horizontalDpi="4294967292" verticalDpi="4294967292" r:id="rId1"/>
  <ignoredErrors>
    <ignoredError sqref="BO16" formula="1"/>
  </ignoredErrors>
  <drawing r:id="rId2"/>
  <legacy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rgb="FF00B050"/>
  </sheetPr>
  <dimension ref="A2:AB18"/>
  <sheetViews>
    <sheetView topLeftCell="A10" workbookViewId="0">
      <selection activeCell="B10" sqref="B10"/>
    </sheetView>
  </sheetViews>
  <sheetFormatPr defaultColWidth="8.625" defaultRowHeight="15.75"/>
  <cols>
    <col min="1" max="1" width="36.25" style="1325" bestFit="1" customWidth="1"/>
    <col min="2" max="2" width="18.5" style="1325" customWidth="1"/>
    <col min="3" max="3" width="15.5" style="1325" customWidth="1"/>
    <col min="4" max="4" width="14.625" style="1325" customWidth="1"/>
    <col min="5" max="5" width="14" style="1325" customWidth="1"/>
    <col min="6" max="6" width="16.125" style="1325" customWidth="1"/>
    <col min="7" max="7" width="18.375" style="1325" customWidth="1"/>
    <col min="8" max="8" width="12.875" style="1325" customWidth="1"/>
    <col min="9" max="16384" width="8.625" style="1325"/>
  </cols>
  <sheetData>
    <row r="2" spans="1:28" s="1608" customFormat="1">
      <c r="A2" s="1608" t="s">
        <v>1259</v>
      </c>
    </row>
    <row r="3" spans="1:28" s="145" customFormat="1">
      <c r="B3" s="244"/>
      <c r="C3" s="244"/>
      <c r="D3" s="244"/>
      <c r="E3" s="244"/>
      <c r="F3" s="244"/>
      <c r="G3" s="244"/>
      <c r="H3" s="244"/>
      <c r="O3" s="227"/>
      <c r="S3" s="228"/>
      <c r="V3" s="558"/>
      <c r="AB3" s="226"/>
    </row>
    <row r="4" spans="1:28" s="145" customFormat="1" ht="62.1" customHeight="1">
      <c r="B4" s="662" t="str">
        <f>CONCATENATE("Feed Item 1 - ", INPUTS!B56)</f>
        <v>Feed Item 1 - Concentrate (commercial)</v>
      </c>
      <c r="C4" s="662" t="str">
        <f>CONCATENATE("Feed Item 2 - ", INPUTS!B57)</f>
        <v xml:space="preserve">Feed Item 2 - Naturally occuring pasture - green fodder </v>
      </c>
      <c r="D4" s="662" t="str">
        <f>CONCATENATE("Feed Item 3 - ", INPUTS!B58)</f>
        <v>Feed Item 3 - Maize (Zea mays) - stover</v>
      </c>
      <c r="E4" s="662" t="str">
        <f>CONCATENATE("Feed Item 4 - ", INPUTS!B59)</f>
        <v>Feed Item 4 - N/A</v>
      </c>
      <c r="F4" s="662" t="str">
        <f>CONCATENATE("Feed Item 5 - ", INPUTS!B60)</f>
        <v>Feed Item 5 - N/A</v>
      </c>
      <c r="G4" s="662" t="str">
        <f>CONCATENATE("Feed Item 6 - ", INPUTS!B61)</f>
        <v>Feed Item 6 - N/A</v>
      </c>
      <c r="H4" s="662" t="str">
        <f>CONCATENATE("Feed Item 7 - ", INPUTS!B62)</f>
        <v>Feed Item 7 - N/A</v>
      </c>
      <c r="I4" s="221"/>
      <c r="J4" s="663" t="s">
        <v>1260</v>
      </c>
      <c r="O4" s="227"/>
      <c r="S4" s="228"/>
      <c r="V4" s="558"/>
      <c r="AB4" s="226"/>
    </row>
    <row r="5" spans="1:28" s="145" customFormat="1">
      <c r="A5" s="145" t="s">
        <v>1261</v>
      </c>
      <c r="B5" s="724">
        <f>'Land requirements'!F4/'Land requirements'!$F$11</f>
        <v>0</v>
      </c>
      <c r="C5" s="724">
        <f>'Land requirements'!F5/'Land requirements'!$F$11</f>
        <v>8.4050354206054723E-2</v>
      </c>
      <c r="D5" s="724">
        <f>'Land requirements'!F6/'Land requirements'!$F$11</f>
        <v>0.91594964579394522</v>
      </c>
      <c r="E5" s="724">
        <f>'Land requirements'!F7/'Land requirements'!$F$11</f>
        <v>0</v>
      </c>
      <c r="F5" s="724">
        <f>'Land requirements'!F8/'Land requirements'!$F$11</f>
        <v>0</v>
      </c>
      <c r="G5" s="724">
        <f>'Land requirements'!F9/'Land requirements'!$F$11</f>
        <v>0</v>
      </c>
      <c r="H5" s="724">
        <f>'Land requirements'!F10/'Land requirements'!$F$11</f>
        <v>0</v>
      </c>
      <c r="J5" s="664"/>
      <c r="O5" s="227"/>
      <c r="S5" s="228"/>
      <c r="V5" s="558"/>
      <c r="AB5" s="226"/>
    </row>
    <row r="6" spans="1:28" s="145" customFormat="1">
      <c r="A6" s="145" t="s">
        <v>1262</v>
      </c>
      <c r="B6" s="724">
        <f>VLOOKUP(INPUTS!D91,  'Crop parameters'!$A$2:$Z$43, 21, FALSE)</f>
        <v>0</v>
      </c>
      <c r="C6" s="724">
        <f>VLOOKUP(INPUTS!D92, 'Crop parameters'!$A$2:$Z$43, 21, FALSE)</f>
        <v>0.6</v>
      </c>
      <c r="D6" s="724">
        <f>VLOOKUP(INPUTS!D93, 'Crop parameters'!$A$2:$Z$43, 21, FALSE)</f>
        <v>0.64999999999999991</v>
      </c>
      <c r="E6" s="724">
        <f>VLOOKUP(INPUTS!D94,  'Crop parameters'!$A$2:$Z$43, 21, FALSE)</f>
        <v>0</v>
      </c>
      <c r="F6" s="724">
        <f>VLOOKUP(INPUTS!D95,'Crop parameters'!$A$2:$Z$43, 21, FALSE)</f>
        <v>0</v>
      </c>
      <c r="G6" s="724">
        <f>VLOOKUP(INPUTS!D96,'Crop parameters'!$A$2:$Z$43, 21, FALSE)</f>
        <v>0</v>
      </c>
      <c r="H6" s="724">
        <f>VLOOKUP(INPUTS!D97,  'Crop parameters'!$A$2:$Z$43, 21, FALSE)</f>
        <v>0</v>
      </c>
      <c r="J6" s="664">
        <f>SUMPRODUCT(B5:H5,B6:H6)</f>
        <v>0.64579748228969724</v>
      </c>
      <c r="O6" s="227"/>
      <c r="S6" s="228"/>
      <c r="V6" s="558"/>
      <c r="AB6" s="226"/>
    </row>
    <row r="7" spans="1:28" s="145" customFormat="1">
      <c r="B7" s="724">
        <f>B5*B6</f>
        <v>0</v>
      </c>
      <c r="C7" s="724">
        <f t="shared" ref="C7:H7" si="0">C5*C6</f>
        <v>5.0430212523632834E-2</v>
      </c>
      <c r="D7" s="724">
        <f t="shared" si="0"/>
        <v>0.59536726976606436</v>
      </c>
      <c r="E7" s="724">
        <f t="shared" si="0"/>
        <v>0</v>
      </c>
      <c r="F7" s="724">
        <f t="shared" si="0"/>
        <v>0</v>
      </c>
      <c r="G7" s="724">
        <f t="shared" si="0"/>
        <v>0</v>
      </c>
      <c r="H7" s="724">
        <f t="shared" si="0"/>
        <v>0</v>
      </c>
      <c r="O7" s="227"/>
      <c r="S7" s="228"/>
      <c r="V7" s="558"/>
      <c r="AB7" s="226"/>
    </row>
    <row r="8" spans="1:28" s="145" customFormat="1">
      <c r="A8" s="145" t="s">
        <v>1264</v>
      </c>
      <c r="B8" s="755">
        <f>'Area Parameters'!$D$10*Water!B7</f>
        <v>0</v>
      </c>
      <c r="C8" s="755">
        <f>'Area Parameters'!$D$10*Water!C7</f>
        <v>73.628110284503933</v>
      </c>
      <c r="D8" s="755">
        <f>'Area Parameters'!$D$10*Water!D7</f>
        <v>869.23621385845399</v>
      </c>
      <c r="E8" s="755">
        <f>'Area Parameters'!$D$10*Water!E7</f>
        <v>0</v>
      </c>
      <c r="F8" s="755">
        <f>'Area Parameters'!$D$10*Water!F7</f>
        <v>0</v>
      </c>
      <c r="G8" s="755">
        <f>'Area Parameters'!$D$10*Water!G7</f>
        <v>0</v>
      </c>
      <c r="H8" s="755">
        <f>'Area Parameters'!$D$10*Water!H7</f>
        <v>0</v>
      </c>
      <c r="O8" s="227"/>
      <c r="S8" s="228"/>
      <c r="V8" s="558"/>
      <c r="AB8" s="226"/>
    </row>
    <row r="9" spans="1:28" s="145" customFormat="1">
      <c r="A9" s="145" t="s">
        <v>1340</v>
      </c>
      <c r="B9" s="757">
        <f>B8*'Land requirements'!$F$11</f>
        <v>0</v>
      </c>
      <c r="C9" s="757">
        <f>C8*'Land requirements'!$F$11</f>
        <v>154.69677589852131</v>
      </c>
      <c r="D9" s="757">
        <f>D8*'Land requirements'!$F$11</f>
        <v>1826.3138801002351</v>
      </c>
      <c r="E9" s="757">
        <f>E8*'Land requirements'!$F$11</f>
        <v>0</v>
      </c>
      <c r="F9" s="757">
        <f>F8*'Land requirements'!$F$11</f>
        <v>0</v>
      </c>
      <c r="G9" s="757">
        <f>G8*'Land requirements'!$F$11</f>
        <v>0</v>
      </c>
      <c r="H9" s="757">
        <f>H8*'Land requirements'!$F$11</f>
        <v>0</v>
      </c>
      <c r="O9" s="227"/>
      <c r="S9" s="228"/>
      <c r="V9" s="558"/>
      <c r="AB9" s="226"/>
    </row>
    <row r="10" spans="1:28" s="145" customFormat="1">
      <c r="A10" s="145" t="s">
        <v>1341</v>
      </c>
      <c r="B10" s="757">
        <f>IFERROR(B9*(1-('Land Requirement '!L21+'Land Requirement '!M21+'Land Requirement '!N21)/('Land Requirement '!I21+'Land Requirement '!J21+'Land Requirement '!K21)),0)</f>
        <v>0</v>
      </c>
      <c r="C10" s="757">
        <f>IFERROR(C9*(1-('Land Requirement '!AB21+'Land Requirement '!AC21+'Land Requirement '!AD21)/('Land Requirement '!Y21+'Land Requirement '!Z21+'Land Requirement '!AA21)),0)</f>
        <v>154.69677589852131</v>
      </c>
      <c r="D10" s="757">
        <f>IFERROR(D9*(1-('Land Requirement '!AR21+'Land Requirement '!AS21+'Land Requirement '!AT21)/('Land Requirement '!AO21+'Land Requirement '!AP21+'Land Requirement '!AQ21)),0)</f>
        <v>1470.7764210373243</v>
      </c>
      <c r="E10" s="757">
        <f>IFERROR(E9*(1-('Land Requirement '!BH21+'Land Requirement '!BI21+'Land Requirement '!BJ21)/('Land Requirement '!BE21+'Land Requirement '!BF21+'Land Requirement '!BJ21)),0)</f>
        <v>0</v>
      </c>
      <c r="F10" s="757">
        <f>IFERROR(F9*(1-('Land Requirement '!BX21+'Land Requirement '!BY21+'Land Requirement '!BZ21)/('Land Requirement '!BU21+'Land Requirement '!BV21+'Land Requirement '!BW21)),0)</f>
        <v>0</v>
      </c>
      <c r="G10" s="757">
        <f>IFERROR(G9*(1-('Land Requirement '!CN21+'Land Requirement '!CO21+'Land Requirement '!CP21)/('Land Requirement '!CK21+'Land Requirement '!CL21+'Land Requirement '!CM21)),0)</f>
        <v>0</v>
      </c>
      <c r="H10" s="757">
        <f>IFERROR(H9*(1-('Land Requirement '!DD21+'Land Requirement '!DE21+'Land Requirement '!DF21)/('Land Requirement '!DA21+'Land Requirement '!DB21+'Land Requirement '!DC21)),0)</f>
        <v>0</v>
      </c>
      <c r="O10" s="227"/>
      <c r="S10" s="228"/>
      <c r="V10" s="558"/>
      <c r="AB10" s="226"/>
    </row>
    <row r="11" spans="1:28" s="145" customFormat="1">
      <c r="A11" s="145" t="s">
        <v>1408</v>
      </c>
      <c r="B11" s="757">
        <f>B9-B10</f>
        <v>0</v>
      </c>
      <c r="C11" s="757">
        <f t="shared" ref="C11:H11" si="1">C9-C10</f>
        <v>0</v>
      </c>
      <c r="D11" s="757">
        <f t="shared" si="1"/>
        <v>355.53745906291078</v>
      </c>
      <c r="E11" s="757">
        <f t="shared" si="1"/>
        <v>0</v>
      </c>
      <c r="F11" s="757">
        <f t="shared" si="1"/>
        <v>0</v>
      </c>
      <c r="G11" s="757">
        <f t="shared" si="1"/>
        <v>0</v>
      </c>
      <c r="H11" s="757">
        <f t="shared" si="1"/>
        <v>0</v>
      </c>
      <c r="O11" s="227"/>
      <c r="S11" s="228"/>
      <c r="V11" s="558"/>
      <c r="AB11" s="226"/>
    </row>
    <row r="12" spans="1:28" s="1608" customFormat="1">
      <c r="A12" s="1608" t="s">
        <v>1263</v>
      </c>
    </row>
    <row r="13" spans="1:28" s="145" customFormat="1">
      <c r="A13" s="145" t="s">
        <v>1264</v>
      </c>
      <c r="B13" s="755">
        <f>'Area Parameters'!D10*Water!J6</f>
        <v>942.86432414295803</v>
      </c>
      <c r="C13" s="244"/>
      <c r="D13" s="244"/>
      <c r="E13" s="244"/>
      <c r="F13" s="244"/>
      <c r="G13" s="244"/>
      <c r="H13" s="244"/>
      <c r="O13" s="227"/>
      <c r="S13" s="228"/>
      <c r="V13" s="558"/>
      <c r="AB13" s="226"/>
    </row>
    <row r="14" spans="1:28" s="145" customFormat="1">
      <c r="A14" s="145" t="s">
        <v>1339</v>
      </c>
      <c r="B14" s="754">
        <f>B13/'Area Parameters'!D2</f>
        <v>0.67347451724496998</v>
      </c>
      <c r="C14" s="244"/>
      <c r="D14" s="244"/>
      <c r="E14" s="244"/>
      <c r="F14" s="244"/>
      <c r="G14" s="244"/>
      <c r="H14" s="244"/>
      <c r="O14" s="227"/>
      <c r="S14" s="228"/>
      <c r="V14" s="558"/>
      <c r="AB14" s="226"/>
    </row>
    <row r="15" spans="1:28" s="145" customFormat="1">
      <c r="A15" s="145" t="s">
        <v>1265</v>
      </c>
      <c r="B15" s="755">
        <f>B13*'Land requirements'!F11</f>
        <v>1981.0106559987566</v>
      </c>
      <c r="C15" s="244"/>
      <c r="D15" s="244"/>
      <c r="E15" s="244"/>
      <c r="F15" s="244"/>
      <c r="G15" s="244"/>
      <c r="H15" s="244"/>
      <c r="O15" s="227"/>
      <c r="S15" s="228"/>
      <c r="V15" s="558"/>
      <c r="AB15" s="226"/>
    </row>
    <row r="16" spans="1:28" s="145" customFormat="1">
      <c r="A16" s="145" t="s">
        <v>1273</v>
      </c>
      <c r="B16" s="756">
        <f>B15/'Meat &amp; Milk '!B33</f>
        <v>1.2280425231450096</v>
      </c>
      <c r="C16" s="244"/>
      <c r="D16" s="244"/>
      <c r="E16" s="244"/>
      <c r="F16" s="244"/>
      <c r="G16" s="244"/>
      <c r="H16" s="244"/>
      <c r="O16" s="227"/>
      <c r="S16" s="228"/>
      <c r="V16" s="558"/>
      <c r="AB16" s="226"/>
    </row>
    <row r="17" spans="1:28" s="145" customFormat="1">
      <c r="A17" s="145" t="s">
        <v>1431</v>
      </c>
      <c r="B17" s="756">
        <f>B15/'Meat &amp; Milk '!B29</f>
        <v>21.894459062762564</v>
      </c>
      <c r="C17" s="244"/>
      <c r="D17" s="244"/>
      <c r="E17" s="244"/>
      <c r="F17" s="244"/>
      <c r="G17" s="244"/>
      <c r="H17" s="244"/>
      <c r="O17" s="227"/>
      <c r="S17" s="228"/>
      <c r="V17" s="558"/>
      <c r="AB17" s="226"/>
    </row>
    <row r="18" spans="1:28">
      <c r="A18" s="145" t="s">
        <v>1300</v>
      </c>
      <c r="B18" s="737">
        <f>B15/'Meat &amp; Milk '!B38</f>
        <v>23.80702945330421</v>
      </c>
    </row>
  </sheetData>
  <mergeCells count="2">
    <mergeCell ref="A2:XFD2"/>
    <mergeCell ref="A12:XFD12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00B050"/>
  </sheetPr>
  <dimension ref="A1:N114"/>
  <sheetViews>
    <sheetView topLeftCell="A11" zoomScale="80" zoomScaleNormal="80" workbookViewId="0">
      <selection activeCell="E14" sqref="E14"/>
    </sheetView>
  </sheetViews>
  <sheetFormatPr defaultColWidth="11" defaultRowHeight="15.75"/>
  <cols>
    <col min="1" max="1" width="11" style="1325"/>
    <col min="2" max="2" width="20.125" style="1325" customWidth="1"/>
    <col min="3" max="3" width="16.125" style="1325" customWidth="1"/>
    <col min="4" max="4" width="21.5" style="1325" customWidth="1"/>
    <col min="5" max="5" width="22.125" style="1325" customWidth="1"/>
    <col min="6" max="6" width="21.875" style="1325" customWidth="1"/>
    <col min="7" max="7" width="44.125" style="1325" bestFit="1" customWidth="1"/>
    <col min="8" max="8" width="22" style="1325" customWidth="1"/>
    <col min="9" max="9" width="32.5" style="1325" customWidth="1"/>
    <col min="10" max="10" width="24.5" style="1325" customWidth="1"/>
    <col min="11" max="11" width="18.875" style="1325" customWidth="1"/>
    <col min="12" max="12" width="15.125" style="1325" customWidth="1"/>
    <col min="13" max="16384" width="11" style="1325"/>
  </cols>
  <sheetData>
    <row r="1" spans="1:14">
      <c r="A1" s="1325" t="s">
        <v>336</v>
      </c>
    </row>
    <row r="2" spans="1:14">
      <c r="E2" s="1325" t="s">
        <v>377</v>
      </c>
    </row>
    <row r="3" spans="1:14">
      <c r="E3" s="1325">
        <f>44/12</f>
        <v>3.6666666666666665</v>
      </c>
      <c r="G3" s="80" t="s">
        <v>885</v>
      </c>
      <c r="H3" s="1325" t="s">
        <v>886</v>
      </c>
    </row>
    <row r="4" spans="1:14">
      <c r="G4" s="1325" t="s">
        <v>936</v>
      </c>
      <c r="H4" s="1325">
        <f>1000000*('Area Parameters'!D9/100)*'Area Parameters'!D8</f>
        <v>30000</v>
      </c>
    </row>
    <row r="5" spans="1:14">
      <c r="G5" s="1325" t="s">
        <v>1387</v>
      </c>
    </row>
    <row r="6" spans="1:14">
      <c r="G6" s="1325" t="s">
        <v>1388</v>
      </c>
      <c r="H6" s="39">
        <f>H4*'Area Parameters'!D6*0.001</f>
        <v>39</v>
      </c>
    </row>
    <row r="7" spans="1:14">
      <c r="B7" s="1325" t="s">
        <v>308</v>
      </c>
      <c r="G7" s="37" t="s">
        <v>595</v>
      </c>
    </row>
    <row r="8" spans="1:14">
      <c r="B8" s="1627" t="s">
        <v>253</v>
      </c>
      <c r="C8" s="1627"/>
      <c r="D8" s="1322" t="s">
        <v>292</v>
      </c>
      <c r="E8" s="1624" t="s">
        <v>327</v>
      </c>
      <c r="F8" s="1625"/>
      <c r="G8" s="1625"/>
      <c r="H8" s="1625"/>
      <c r="I8" s="1625"/>
      <c r="J8" s="1625"/>
      <c r="K8" s="1626"/>
      <c r="L8" s="11"/>
      <c r="M8" s="11"/>
      <c r="N8" s="11"/>
    </row>
    <row r="9" spans="1:14" ht="47.25">
      <c r="B9" s="1550" t="s">
        <v>294</v>
      </c>
      <c r="C9" s="1550"/>
      <c r="D9" s="1550" t="s">
        <v>597</v>
      </c>
      <c r="E9" s="1314" t="s">
        <v>309</v>
      </c>
      <c r="F9" s="1314" t="s">
        <v>310</v>
      </c>
      <c r="G9" s="1314" t="s">
        <v>311</v>
      </c>
      <c r="H9" s="1314" t="s">
        <v>316</v>
      </c>
      <c r="I9" s="1314" t="s">
        <v>312</v>
      </c>
      <c r="J9" s="1314" t="s">
        <v>313</v>
      </c>
      <c r="K9" s="1326" t="s">
        <v>308</v>
      </c>
    </row>
    <row r="10" spans="1:14">
      <c r="B10" s="1550" t="s">
        <v>296</v>
      </c>
      <c r="C10" s="1550" t="s">
        <v>295</v>
      </c>
      <c r="D10" s="1550"/>
      <c r="E10" s="1314" t="s">
        <v>214</v>
      </c>
      <c r="F10" s="1314" t="s">
        <v>314</v>
      </c>
      <c r="G10" s="1314" t="s">
        <v>315</v>
      </c>
      <c r="H10" s="1314" t="s">
        <v>152</v>
      </c>
      <c r="I10" s="1314" t="s">
        <v>152</v>
      </c>
      <c r="J10" s="1314" t="s">
        <v>152</v>
      </c>
      <c r="K10" s="1326" t="s">
        <v>317</v>
      </c>
    </row>
    <row r="11" spans="1:14" ht="31.5">
      <c r="B11" s="1550"/>
      <c r="C11" s="1550"/>
      <c r="D11" s="1550"/>
      <c r="E11" s="1314"/>
      <c r="F11" s="1314" t="s">
        <v>319</v>
      </c>
      <c r="G11" s="1314" t="s">
        <v>888</v>
      </c>
      <c r="H11" s="1314" t="s">
        <v>572</v>
      </c>
      <c r="I11" s="1314" t="s">
        <v>572</v>
      </c>
      <c r="J11" s="1314" t="s">
        <v>572</v>
      </c>
      <c r="K11" s="1326" t="s">
        <v>326</v>
      </c>
    </row>
    <row r="12" spans="1:14">
      <c r="B12" s="1550"/>
      <c r="C12" s="1550"/>
      <c r="D12" s="1550"/>
      <c r="E12" s="1314" t="s">
        <v>318</v>
      </c>
      <c r="F12" s="1314" t="s">
        <v>320</v>
      </c>
      <c r="G12" s="1314" t="s">
        <v>321</v>
      </c>
      <c r="H12" s="1314" t="s">
        <v>322</v>
      </c>
      <c r="I12" s="1314" t="s">
        <v>323</v>
      </c>
      <c r="J12" s="1314" t="s">
        <v>324</v>
      </c>
      <c r="K12" s="1326" t="s">
        <v>325</v>
      </c>
    </row>
    <row r="13" spans="1:14">
      <c r="B13" s="1316" t="s">
        <v>307</v>
      </c>
      <c r="C13" s="1316" t="s">
        <v>307</v>
      </c>
      <c r="D13" s="13" t="s">
        <v>1370</v>
      </c>
      <c r="E13" s="40">
        <f>'Land requirements'!F11-E14</f>
        <v>1.9244614121182668</v>
      </c>
      <c r="F13" s="40">
        <f>IF(H6&gt;0,H6,30)</f>
        <v>39</v>
      </c>
      <c r="G13" s="13">
        <v>20</v>
      </c>
      <c r="H13" s="165">
        <f>VLOOKUP('Area Parameters'!G13,'SOC parameters'!E6:G38,3,FALSE)</f>
        <v>0.48</v>
      </c>
      <c r="I13" s="165">
        <f>VLOOKUP('Area Parameters'!G14,'SOC parameters'!E6:G38,3, FALSE)</f>
        <v>1.1499999999999999</v>
      </c>
      <c r="J13" s="155">
        <f>VLOOKUP('Area Parameters'!G15,'SOC parameters'!E6:G38,3,FALSE)</f>
        <v>0.92</v>
      </c>
      <c r="K13" s="116">
        <f>((F13*H13*I13*J13)-F13)/G13*E13</f>
        <v>-1.8469287107468462</v>
      </c>
    </row>
    <row r="14" spans="1:14">
      <c r="B14" s="1317" t="s">
        <v>376</v>
      </c>
      <c r="C14" s="1317" t="s">
        <v>376</v>
      </c>
      <c r="D14" s="13" t="s">
        <v>653</v>
      </c>
      <c r="E14" s="40">
        <f>'Land requirements'!H11+'Land requirements'!I11</f>
        <v>0.1765944930348417</v>
      </c>
      <c r="F14" s="13">
        <v>40</v>
      </c>
      <c r="G14" s="13">
        <v>20</v>
      </c>
      <c r="H14" s="164">
        <f>'SOC parameters'!E44</f>
        <v>1</v>
      </c>
      <c r="I14" s="165">
        <f>VLOOKUP('Area Parameters'!G16,'SOC parameters'!D45:E52,2, FALSE)</f>
        <v>0.97</v>
      </c>
      <c r="J14" s="165">
        <f>VLOOKUP('Area Parameters'!G17,'SOC parameters'!D53:E55,2, FALSE)</f>
        <v>1</v>
      </c>
      <c r="K14" s="116">
        <f>((F14*H14*I14*J14)-F14)/G14*E14</f>
        <v>-1.0595669582090527E-2</v>
      </c>
      <c r="L14" s="39"/>
    </row>
    <row r="15" spans="1:14">
      <c r="B15" s="1317" t="s">
        <v>949</v>
      </c>
      <c r="C15" s="1317" t="s">
        <v>949</v>
      </c>
      <c r="D15" s="122" t="s">
        <v>908</v>
      </c>
      <c r="E15" s="213"/>
      <c r="F15" s="122">
        <v>40</v>
      </c>
      <c r="G15" s="122">
        <v>20</v>
      </c>
      <c r="H15" s="164">
        <f>'SOC parameters'!E44</f>
        <v>1</v>
      </c>
      <c r="I15" s="165"/>
      <c r="J15" s="165"/>
      <c r="K15" s="116">
        <f>((F15*H15*I15*J15)-F15)/G15*E15</f>
        <v>0</v>
      </c>
      <c r="L15" s="39"/>
    </row>
    <row r="16" spans="1:14">
      <c r="B16" s="1609" t="s">
        <v>550</v>
      </c>
      <c r="C16" s="1609"/>
      <c r="D16" s="1609"/>
      <c r="E16" s="150"/>
      <c r="F16" s="150"/>
      <c r="G16" s="150"/>
      <c r="H16" s="19"/>
      <c r="I16" s="19"/>
      <c r="J16" s="19"/>
      <c r="K16" s="114">
        <f>SUM(K13:K15)</f>
        <v>-1.8575243803289367</v>
      </c>
    </row>
    <row r="17" spans="2:12">
      <c r="B17" s="1316" t="s">
        <v>376</v>
      </c>
      <c r="C17" s="1316" t="s">
        <v>307</v>
      </c>
      <c r="D17" s="13"/>
      <c r="E17" s="13">
        <f>'Area Parameters'!G18</f>
        <v>0</v>
      </c>
      <c r="F17" s="13">
        <v>30</v>
      </c>
      <c r="G17" s="13">
        <v>20</v>
      </c>
      <c r="H17" s="151"/>
      <c r="I17" s="151"/>
      <c r="J17" s="151"/>
      <c r="K17" s="152">
        <f>((F17*H17*I17*J17)-F17)/G17*E17</f>
        <v>0</v>
      </c>
    </row>
    <row r="18" spans="2:12">
      <c r="B18" s="1316" t="s">
        <v>307</v>
      </c>
      <c r="C18" s="1316" t="s">
        <v>376</v>
      </c>
      <c r="D18" s="13"/>
      <c r="E18" s="13">
        <f>'Area Parameters'!G19</f>
        <v>0</v>
      </c>
      <c r="F18" s="13">
        <v>40</v>
      </c>
      <c r="G18" s="13">
        <v>20</v>
      </c>
      <c r="H18" s="151"/>
      <c r="I18" s="151"/>
      <c r="J18" s="151"/>
      <c r="K18" s="152">
        <f>((F18*H18*I18*J18)-F18)/G18*E18</f>
        <v>0</v>
      </c>
    </row>
    <row r="19" spans="2:12">
      <c r="B19" s="1610" t="s">
        <v>131</v>
      </c>
      <c r="C19" s="1611"/>
      <c r="D19" s="1611"/>
      <c r="E19" s="1611"/>
      <c r="F19" s="1611"/>
      <c r="G19" s="1611"/>
      <c r="H19" s="1611"/>
      <c r="I19" s="1611"/>
      <c r="J19" s="1612"/>
      <c r="K19" s="116">
        <f>K16+SUM(K17:K18)</f>
        <v>-1.8575243803289367</v>
      </c>
      <c r="L19" s="1325" t="s">
        <v>1386</v>
      </c>
    </row>
    <row r="22" spans="2:12">
      <c r="B22" s="1325" t="s">
        <v>328</v>
      </c>
    </row>
    <row r="23" spans="2:12">
      <c r="B23" s="1616" t="s">
        <v>253</v>
      </c>
      <c r="C23" s="1618"/>
      <c r="D23" s="1322" t="s">
        <v>292</v>
      </c>
      <c r="E23" s="1616" t="s">
        <v>334</v>
      </c>
      <c r="F23" s="1617"/>
      <c r="G23" s="1618"/>
    </row>
    <row r="24" spans="2:12" ht="30" customHeight="1">
      <c r="B24" s="1546" t="s">
        <v>294</v>
      </c>
      <c r="C24" s="1548"/>
      <c r="D24" s="1551" t="s">
        <v>597</v>
      </c>
      <c r="E24" s="1314" t="s">
        <v>329</v>
      </c>
      <c r="F24" s="1314" t="s">
        <v>332</v>
      </c>
      <c r="G24" s="1314" t="s">
        <v>333</v>
      </c>
    </row>
    <row r="25" spans="2:12" ht="15" customHeight="1">
      <c r="B25" s="1551" t="s">
        <v>296</v>
      </c>
      <c r="C25" s="1551" t="s">
        <v>295</v>
      </c>
      <c r="D25" s="1560"/>
      <c r="E25" s="1314" t="s">
        <v>214</v>
      </c>
      <c r="F25" s="1314" t="s">
        <v>299</v>
      </c>
      <c r="G25" s="1314" t="s">
        <v>317</v>
      </c>
    </row>
    <row r="26" spans="2:12" ht="63">
      <c r="B26" s="1560"/>
      <c r="C26" s="1560"/>
      <c r="D26" s="1560"/>
      <c r="E26" s="1314"/>
      <c r="F26" s="1314" t="s">
        <v>335</v>
      </c>
      <c r="G26" s="1314" t="s">
        <v>331</v>
      </c>
    </row>
    <row r="27" spans="2:12">
      <c r="B27" s="1552"/>
      <c r="C27" s="1552"/>
      <c r="D27" s="1552"/>
      <c r="E27" s="1314" t="s">
        <v>143</v>
      </c>
      <c r="F27" s="1314" t="s">
        <v>0</v>
      </c>
      <c r="G27" s="1314" t="s">
        <v>330</v>
      </c>
    </row>
    <row r="28" spans="2:12">
      <c r="B28" s="1553" t="s">
        <v>307</v>
      </c>
      <c r="C28" s="1553" t="s">
        <v>307</v>
      </c>
      <c r="D28" s="13" t="s">
        <v>97</v>
      </c>
      <c r="E28" s="1314"/>
      <c r="F28" s="1314"/>
      <c r="G28" s="1314">
        <f>E28*F28</f>
        <v>0</v>
      </c>
    </row>
    <row r="29" spans="2:12">
      <c r="B29" s="1622"/>
      <c r="C29" s="1622"/>
      <c r="D29" s="13" t="s">
        <v>98</v>
      </c>
      <c r="E29" s="1314"/>
      <c r="F29" s="1314"/>
      <c r="G29" s="1314">
        <f>E29*F29</f>
        <v>0</v>
      </c>
    </row>
    <row r="30" spans="2:12">
      <c r="B30" s="1623"/>
      <c r="C30" s="1623"/>
      <c r="D30" s="13" t="s">
        <v>99</v>
      </c>
      <c r="E30" s="1314"/>
      <c r="F30" s="1314"/>
      <c r="G30" s="1314">
        <f>E30*F30</f>
        <v>0</v>
      </c>
    </row>
    <row r="31" spans="2:12">
      <c r="B31" s="1619" t="s">
        <v>126</v>
      </c>
      <c r="C31" s="1620"/>
      <c r="D31" s="1621"/>
      <c r="E31" s="1322"/>
      <c r="F31" s="1314"/>
      <c r="G31" s="1314">
        <f>SUM(G28:G30)</f>
        <v>0</v>
      </c>
    </row>
    <row r="35" spans="1:7">
      <c r="A35" s="1325" t="s">
        <v>337</v>
      </c>
    </row>
    <row r="37" spans="1:7">
      <c r="B37" s="1325" t="s">
        <v>338</v>
      </c>
    </row>
    <row r="39" spans="1:7">
      <c r="B39" s="1616" t="s">
        <v>253</v>
      </c>
      <c r="C39" s="1618"/>
      <c r="D39" s="25"/>
      <c r="E39" s="1322"/>
      <c r="F39" s="1314"/>
      <c r="G39" s="1323" t="s">
        <v>345</v>
      </c>
    </row>
    <row r="40" spans="1:7" ht="47.25">
      <c r="B40" s="1616" t="s">
        <v>294</v>
      </c>
      <c r="C40" s="1618"/>
      <c r="D40" s="1314" t="s">
        <v>308</v>
      </c>
      <c r="E40" s="1314" t="s">
        <v>333</v>
      </c>
      <c r="F40" s="1314" t="s">
        <v>339</v>
      </c>
      <c r="G40" s="1326" t="s">
        <v>342</v>
      </c>
    </row>
    <row r="41" spans="1:7">
      <c r="B41" s="1613" t="s">
        <v>296</v>
      </c>
      <c r="C41" s="1613" t="s">
        <v>295</v>
      </c>
      <c r="D41" s="1314" t="s">
        <v>317</v>
      </c>
      <c r="E41" s="1314" t="s">
        <v>317</v>
      </c>
      <c r="F41" s="1314" t="s">
        <v>317</v>
      </c>
      <c r="G41" s="1326" t="s">
        <v>317</v>
      </c>
    </row>
    <row r="42" spans="1:7" ht="31.5">
      <c r="B42" s="1614"/>
      <c r="C42" s="1614"/>
      <c r="D42" s="20" t="s">
        <v>326</v>
      </c>
      <c r="E42" s="1314" t="s">
        <v>331</v>
      </c>
      <c r="F42" s="1314" t="s">
        <v>340</v>
      </c>
      <c r="G42" s="1326" t="s">
        <v>344</v>
      </c>
    </row>
    <row r="43" spans="1:7">
      <c r="B43" s="1615"/>
      <c r="C43" s="1615"/>
      <c r="D43" s="20" t="s">
        <v>325</v>
      </c>
      <c r="E43" s="1314" t="s">
        <v>330</v>
      </c>
      <c r="F43" s="1314" t="s">
        <v>341</v>
      </c>
      <c r="G43" s="1326" t="s">
        <v>343</v>
      </c>
    </row>
    <row r="44" spans="1:7">
      <c r="B44" s="25" t="s">
        <v>307</v>
      </c>
      <c r="C44" s="25" t="s">
        <v>307</v>
      </c>
      <c r="D44" s="40">
        <f>K16</f>
        <v>-1.8575243803289367</v>
      </c>
      <c r="E44" s="40">
        <f>G31</f>
        <v>0</v>
      </c>
      <c r="F44" s="40">
        <v>0</v>
      </c>
      <c r="G44" s="47">
        <f>D44-E44+F44</f>
        <v>-1.8575243803289367</v>
      </c>
    </row>
    <row r="45" spans="1:7">
      <c r="B45" s="1150"/>
      <c r="C45" s="1150"/>
      <c r="D45" s="1151"/>
      <c r="E45" s="1151"/>
      <c r="F45" s="1151"/>
      <c r="G45" s="1152"/>
    </row>
    <row r="46" spans="1:7">
      <c r="D46" s="12" t="s">
        <v>1853</v>
      </c>
      <c r="E46" s="1153" t="s">
        <v>1713</v>
      </c>
      <c r="G46" s="1154" t="s">
        <v>1714</v>
      </c>
    </row>
    <row r="47" spans="1:7">
      <c r="B47" s="1325" t="s">
        <v>1852</v>
      </c>
      <c r="D47" s="8">
        <f>Biomass!Q30</f>
        <v>0</v>
      </c>
      <c r="E47" s="8">
        <f>D47*0.25</f>
        <v>0</v>
      </c>
      <c r="F47" s="1324"/>
      <c r="G47" s="8">
        <f>E47/1000</f>
        <v>0</v>
      </c>
    </row>
    <row r="48" spans="1:7">
      <c r="B48" s="1325" t="s">
        <v>1836</v>
      </c>
      <c r="D48" s="8">
        <f>Biomass!Q31</f>
        <v>0.93443270636474662</v>
      </c>
      <c r="E48" s="8">
        <f>D48*0.25</f>
        <v>0.23360817659118666</v>
      </c>
      <c r="G48" s="8">
        <f>E48</f>
        <v>0.23360817659118666</v>
      </c>
    </row>
    <row r="49" spans="5:7" s="1348" customFormat="1">
      <c r="E49" s="39"/>
    </row>
    <row r="50" spans="5:7">
      <c r="G50" s="1154" t="s">
        <v>1715</v>
      </c>
    </row>
    <row r="51" spans="5:7">
      <c r="G51" s="1155">
        <f>G44+G47+G48</f>
        <v>-1.6239162037377501</v>
      </c>
    </row>
    <row r="53" spans="5:7">
      <c r="G53" s="1154" t="s">
        <v>1841</v>
      </c>
    </row>
    <row r="54" spans="5:7" ht="31.5" customHeight="1">
      <c r="G54" s="1155">
        <f>G51*44/12</f>
        <v>-5.9543594137050837</v>
      </c>
    </row>
    <row r="59" spans="5:7" ht="27" customHeight="1"/>
    <row r="61" spans="5:7" ht="31.5" customHeight="1"/>
    <row r="70" ht="15.75" customHeight="1"/>
    <row r="90" ht="15.75" customHeight="1"/>
    <row r="94" ht="15.75" customHeight="1"/>
    <row r="99" ht="57" customHeight="1"/>
    <row r="100" ht="31.5" customHeight="1"/>
    <row r="103" ht="24" customHeight="1"/>
    <row r="104" ht="36" customHeight="1"/>
    <row r="109" ht="15.75" customHeight="1"/>
    <row r="112" ht="46.5" customHeight="1"/>
    <row r="113" ht="59.25" customHeight="1"/>
    <row r="114" ht="96.75" customHeight="1"/>
  </sheetData>
  <mergeCells count="21">
    <mergeCell ref="E8:K8"/>
    <mergeCell ref="B8:C8"/>
    <mergeCell ref="B9:C9"/>
    <mergeCell ref="D9:D12"/>
    <mergeCell ref="B10:B12"/>
    <mergeCell ref="C10:C12"/>
    <mergeCell ref="B16:D16"/>
    <mergeCell ref="D24:D27"/>
    <mergeCell ref="B19:J19"/>
    <mergeCell ref="B41:B43"/>
    <mergeCell ref="C41:C43"/>
    <mergeCell ref="E23:G23"/>
    <mergeCell ref="C25:C27"/>
    <mergeCell ref="B39:C39"/>
    <mergeCell ref="B31:D31"/>
    <mergeCell ref="C28:C30"/>
    <mergeCell ref="B28:B30"/>
    <mergeCell ref="B25:B27"/>
    <mergeCell ref="B24:C24"/>
    <mergeCell ref="B23:C23"/>
    <mergeCell ref="B40:C40"/>
  </mergeCells>
  <pageMargins left="0.75" right="0.75" top="1" bottom="1" header="0.5" footer="0.5"/>
  <pageSetup paperSize="9" orientation="portrait" horizontalDpi="4294967292" verticalDpi="429496729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B050"/>
  </sheetPr>
  <dimension ref="A2:S33"/>
  <sheetViews>
    <sheetView topLeftCell="E22" workbookViewId="0">
      <selection activeCell="Q31" sqref="Q31"/>
    </sheetView>
  </sheetViews>
  <sheetFormatPr defaultColWidth="11" defaultRowHeight="15.75"/>
  <cols>
    <col min="1" max="1" width="11" style="1325"/>
    <col min="2" max="2" width="21.875" style="1325" customWidth="1"/>
    <col min="3" max="4" width="11" style="1325"/>
    <col min="5" max="5" width="15.375" style="1325" customWidth="1"/>
    <col min="6" max="6" width="21.875" style="1325" customWidth="1"/>
    <col min="7" max="11" width="11" style="1325"/>
    <col min="12" max="12" width="14.625" style="1325" customWidth="1"/>
    <col min="13" max="15" width="11" style="1325"/>
    <col min="16" max="16" width="13.125" style="1325" customWidth="1"/>
    <col min="17" max="16384" width="11" style="1325"/>
  </cols>
  <sheetData>
    <row r="2" spans="1:8" s="72" customFormat="1">
      <c r="A2" s="72" t="s">
        <v>1385</v>
      </c>
    </row>
    <row r="4" spans="1:8">
      <c r="B4" s="1325" t="s">
        <v>96</v>
      </c>
    </row>
    <row r="5" spans="1:8">
      <c r="B5" s="1627" t="s">
        <v>253</v>
      </c>
      <c r="C5" s="1627"/>
      <c r="D5" s="1322" t="s">
        <v>292</v>
      </c>
      <c r="E5" s="1616" t="s">
        <v>293</v>
      </c>
      <c r="F5" s="1617"/>
      <c r="G5" s="1617"/>
      <c r="H5" s="1618"/>
    </row>
    <row r="6" spans="1:8" ht="110.25">
      <c r="B6" s="1550" t="s">
        <v>294</v>
      </c>
      <c r="C6" s="1550"/>
      <c r="D6" s="1550" t="s">
        <v>166</v>
      </c>
      <c r="E6" s="20" t="s">
        <v>297</v>
      </c>
      <c r="F6" s="20" t="s">
        <v>298</v>
      </c>
      <c r="G6" s="20" t="s">
        <v>304</v>
      </c>
      <c r="H6" s="20" t="s">
        <v>1385</v>
      </c>
    </row>
    <row r="7" spans="1:8" ht="31.5">
      <c r="B7" s="1550" t="s">
        <v>296</v>
      </c>
      <c r="C7" s="1550" t="s">
        <v>295</v>
      </c>
      <c r="D7" s="1550"/>
      <c r="E7" s="20" t="s">
        <v>214</v>
      </c>
      <c r="F7" s="20" t="s">
        <v>299</v>
      </c>
      <c r="G7" s="20" t="s">
        <v>299</v>
      </c>
      <c r="H7" s="20" t="s">
        <v>305</v>
      </c>
    </row>
    <row r="8" spans="1:8" ht="31.5">
      <c r="B8" s="1550"/>
      <c r="C8" s="1550"/>
      <c r="D8" s="1550"/>
      <c r="E8" s="20"/>
      <c r="F8" s="20" t="s">
        <v>300</v>
      </c>
      <c r="G8" s="20" t="s">
        <v>300</v>
      </c>
      <c r="H8" s="20" t="s">
        <v>306</v>
      </c>
    </row>
    <row r="9" spans="1:8">
      <c r="B9" s="1550"/>
      <c r="C9" s="1550"/>
      <c r="D9" s="1550"/>
      <c r="E9" s="20" t="s">
        <v>143</v>
      </c>
      <c r="F9" s="38" t="s">
        <v>302</v>
      </c>
      <c r="G9" s="20" t="s">
        <v>303</v>
      </c>
      <c r="H9" s="20" t="s">
        <v>301</v>
      </c>
    </row>
    <row r="10" spans="1:8">
      <c r="B10" s="1549" t="s">
        <v>307</v>
      </c>
      <c r="C10" s="1549" t="s">
        <v>307</v>
      </c>
      <c r="D10" s="13" t="s">
        <v>97</v>
      </c>
      <c r="E10" s="40">
        <f>'Land requirements'!I11</f>
        <v>0</v>
      </c>
      <c r="F10" s="40">
        <v>2.6</v>
      </c>
      <c r="G10" s="40">
        <v>2.5</v>
      </c>
      <c r="H10" s="40">
        <f>E10*(F10-G10)</f>
        <v>0</v>
      </c>
    </row>
    <row r="11" spans="1:8">
      <c r="B11" s="1549"/>
      <c r="C11" s="1549"/>
      <c r="D11" s="13" t="s">
        <v>98</v>
      </c>
      <c r="E11" s="40"/>
      <c r="F11" s="40"/>
      <c r="G11" s="40"/>
      <c r="H11" s="40">
        <f>E11*(F11-G11)</f>
        <v>0</v>
      </c>
    </row>
    <row r="12" spans="1:8">
      <c r="B12" s="1549"/>
      <c r="C12" s="1549"/>
      <c r="D12" s="13" t="s">
        <v>99</v>
      </c>
      <c r="E12" s="40"/>
      <c r="F12" s="40"/>
      <c r="G12" s="40"/>
      <c r="H12" s="40">
        <f>E12*(F12-G12)</f>
        <v>0</v>
      </c>
    </row>
    <row r="13" spans="1:8">
      <c r="B13" s="1628" t="s">
        <v>126</v>
      </c>
      <c r="C13" s="1628"/>
      <c r="D13" s="1628"/>
      <c r="E13" s="19"/>
      <c r="F13" s="19"/>
      <c r="G13" s="19"/>
      <c r="H13" s="40">
        <f>SUM(H10:H12)</f>
        <v>0</v>
      </c>
    </row>
    <row r="16" spans="1:8">
      <c r="A16" s="1325" t="s">
        <v>822</v>
      </c>
      <c r="B16" s="1325" t="s">
        <v>478</v>
      </c>
    </row>
    <row r="17" spans="2:19" s="30" customFormat="1" ht="78.75">
      <c r="B17" s="1551" t="s">
        <v>461</v>
      </c>
      <c r="C17" s="1313" t="s">
        <v>1328</v>
      </c>
      <c r="D17" s="1314" t="s">
        <v>1374</v>
      </c>
      <c r="E17" s="1314" t="s">
        <v>462</v>
      </c>
      <c r="F17" s="1314" t="s">
        <v>479</v>
      </c>
      <c r="G17" s="1314" t="s">
        <v>480</v>
      </c>
      <c r="H17" s="1314" t="s">
        <v>467</v>
      </c>
      <c r="I17" s="1314" t="s">
        <v>468</v>
      </c>
      <c r="J17" s="1314" t="s">
        <v>1375</v>
      </c>
      <c r="K17" s="1314" t="s">
        <v>1376</v>
      </c>
      <c r="L17" s="1315" t="s">
        <v>1383</v>
      </c>
      <c r="M17" s="157" t="s">
        <v>656</v>
      </c>
      <c r="N17" s="157" t="s">
        <v>656</v>
      </c>
      <c r="O17" s="1315" t="s">
        <v>1384</v>
      </c>
      <c r="P17" s="157" t="s">
        <v>655</v>
      </c>
      <c r="Q17" s="1314" t="s">
        <v>600</v>
      </c>
      <c r="R17" s="1314" t="s">
        <v>654</v>
      </c>
      <c r="S17" s="1325"/>
    </row>
    <row r="18" spans="2:19" ht="31.5">
      <c r="B18" s="1560"/>
      <c r="C18" s="1311" t="s">
        <v>125</v>
      </c>
      <c r="D18" s="1314" t="s">
        <v>464</v>
      </c>
      <c r="E18" s="1314" t="s">
        <v>465</v>
      </c>
      <c r="F18" s="1314" t="s">
        <v>466</v>
      </c>
      <c r="G18" s="1314" t="s">
        <v>475</v>
      </c>
      <c r="H18" s="1314" t="s">
        <v>481</v>
      </c>
      <c r="I18" s="1316" t="s">
        <v>470</v>
      </c>
      <c r="J18" s="1314" t="s">
        <v>1377</v>
      </c>
      <c r="K18" s="1314" t="s">
        <v>821</v>
      </c>
      <c r="L18" s="1315" t="s">
        <v>817</v>
      </c>
      <c r="M18" s="157" t="s">
        <v>1377</v>
      </c>
      <c r="N18" s="157" t="s">
        <v>657</v>
      </c>
      <c r="O18" s="1315" t="s">
        <v>1327</v>
      </c>
      <c r="P18" s="157" t="s">
        <v>818</v>
      </c>
      <c r="Q18" s="1314" t="s">
        <v>821</v>
      </c>
      <c r="R18" s="1314" t="s">
        <v>820</v>
      </c>
    </row>
    <row r="19" spans="2:19" ht="63">
      <c r="B19" s="1552"/>
      <c r="C19" s="1312"/>
      <c r="D19" s="1314"/>
      <c r="E19" s="1314" t="s">
        <v>598</v>
      </c>
      <c r="F19" s="1314" t="s">
        <v>459</v>
      </c>
      <c r="G19" s="1314" t="s">
        <v>477</v>
      </c>
      <c r="H19" s="1314"/>
      <c r="I19" s="1314" t="s">
        <v>472</v>
      </c>
      <c r="J19" s="1314"/>
      <c r="K19" s="1314"/>
      <c r="L19" s="1315"/>
      <c r="M19" s="157"/>
      <c r="N19" s="157"/>
      <c r="O19" s="1315"/>
      <c r="P19" s="157"/>
      <c r="Q19" s="1314" t="s">
        <v>601</v>
      </c>
      <c r="R19" s="1314" t="s">
        <v>474</v>
      </c>
    </row>
    <row r="20" spans="2:19" ht="31.5">
      <c r="B20" s="1314" t="s">
        <v>469</v>
      </c>
      <c r="C20" s="1314"/>
      <c r="D20" s="1314" t="s">
        <v>473</v>
      </c>
      <c r="E20" s="1314" t="s">
        <v>463</v>
      </c>
      <c r="F20" s="1314" t="s">
        <v>476</v>
      </c>
      <c r="G20" s="1316" t="s">
        <v>458</v>
      </c>
      <c r="H20" s="1314" t="s">
        <v>460</v>
      </c>
      <c r="I20" s="1316" t="s">
        <v>471</v>
      </c>
      <c r="J20" s="1314" t="s">
        <v>816</v>
      </c>
      <c r="K20" s="1314"/>
      <c r="L20" s="1315"/>
      <c r="M20" s="157" t="s">
        <v>819</v>
      </c>
      <c r="N20" s="157" t="s">
        <v>819</v>
      </c>
      <c r="O20" s="1315"/>
      <c r="P20" s="157" t="s">
        <v>599</v>
      </c>
      <c r="Q20" s="1314" t="s">
        <v>602</v>
      </c>
      <c r="R20" s="1314" t="s">
        <v>602</v>
      </c>
    </row>
    <row r="21" spans="2:19">
      <c r="B21" s="1314" t="str">
        <f>'Land requirements'!B4</f>
        <v>Purchased</v>
      </c>
      <c r="C21" s="45">
        <f>'Land requirements'!I4</f>
        <v>0</v>
      </c>
      <c r="D21" s="1314" t="str">
        <f>IF(VLOOKUP(B21,'Crop parameters'!$A$2:$Z$43,23)&gt;0,VLOOKUP(B21,'Crop parameters'!$A$2:$Z$43,23),"")</f>
        <v/>
      </c>
      <c r="E21" s="1314" t="str">
        <f>IF(VLOOKUP(B21,'Crop parameters'!$A$2:$Z$43,24)&gt;0,VLOOKUP(B21,'Crop parameters'!$A$2:$Z$43,24),"")</f>
        <v/>
      </c>
      <c r="F21" s="45">
        <f>IFERROR(0.091*(E21)^2.472,0)</f>
        <v>0</v>
      </c>
      <c r="G21" s="68">
        <f t="shared" ref="G21:G27" si="0">F21+((2.69/100)*F21)</f>
        <v>0</v>
      </c>
      <c r="H21" s="45">
        <v>0.48</v>
      </c>
      <c r="I21" s="45">
        <f t="shared" ref="I21:I27" si="1">G21*H21</f>
        <v>0</v>
      </c>
      <c r="J21" s="45">
        <f>IFERROR(I21*D21,0)</f>
        <v>0</v>
      </c>
      <c r="K21" s="45">
        <f>J21*C21</f>
        <v>0</v>
      </c>
      <c r="L21" s="1314" t="str">
        <f>IF(VLOOKUP(B21,'Crop parameters'!$A$2:$Z$43,25)&gt;0,VLOOKUP(B21,'Crop parameters'!$A$2:$Z$43,25),"")</f>
        <v/>
      </c>
      <c r="M21" s="158">
        <f>IFERROR(L21*H21*D21,0)</f>
        <v>0</v>
      </c>
      <c r="N21" s="158">
        <f>M21*C21</f>
        <v>0</v>
      </c>
      <c r="O21" s="1314" t="str">
        <f>IF(VLOOKUP(B21,'Crop parameters'!$A$2:$Z$43,26)&gt;0,VLOOKUP(B21,'Crop parameters'!$A$2:$Z$43,26),"")</f>
        <v/>
      </c>
      <c r="P21" s="158">
        <f>IFERROR(O21*H21,0)</f>
        <v>0</v>
      </c>
      <c r="Q21" s="120">
        <f>N21-P21</f>
        <v>0</v>
      </c>
      <c r="R21" s="120">
        <f>Q21*(44/12)</f>
        <v>0</v>
      </c>
    </row>
    <row r="22" spans="2:19">
      <c r="B22" s="1314" t="str">
        <f>'Land requirements'!B5</f>
        <v>Natural pasture</v>
      </c>
      <c r="C22" s="45">
        <f>'Land requirements'!I5</f>
        <v>0</v>
      </c>
      <c r="D22" s="1314" t="str">
        <f>IF(VLOOKUP(B22,'Crop parameters'!$A$2:$Z$43,23)&gt;0,VLOOKUP(B22,'Crop parameters'!$A$2:$Z$43,23),"")</f>
        <v/>
      </c>
      <c r="E22" s="1314" t="str">
        <f>IF(VLOOKUP(B22,'Crop parameters'!$A$2:$Z$43,24)&gt;0,VLOOKUP(B22,'Crop parameters'!$A$2:$Z$43,24),"")</f>
        <v/>
      </c>
      <c r="F22" s="45">
        <f t="shared" ref="F22:F27" si="2">IFERROR(0.091*(E22)^2.472,0)</f>
        <v>0</v>
      </c>
      <c r="G22" s="68">
        <f t="shared" si="0"/>
        <v>0</v>
      </c>
      <c r="H22" s="45">
        <v>0.48</v>
      </c>
      <c r="I22" s="45">
        <f t="shared" si="1"/>
        <v>0</v>
      </c>
      <c r="J22" s="45">
        <f t="shared" ref="J22:J27" si="3">IFERROR(I22*D22,0)</f>
        <v>0</v>
      </c>
      <c r="K22" s="45">
        <f t="shared" ref="K22:K27" si="4">J22*C22</f>
        <v>0</v>
      </c>
      <c r="L22" s="1314" t="str">
        <f>IF(VLOOKUP(B22,'Crop parameters'!$A$2:$Z$43,25)&gt;0,VLOOKUP(B22,'Crop parameters'!$A$2:$Z$43,25),"")</f>
        <v/>
      </c>
      <c r="M22" s="158">
        <f t="shared" ref="M22:M27" si="5">IFERROR(L22*H22*D22,0)</f>
        <v>0</v>
      </c>
      <c r="N22" s="158">
        <f t="shared" ref="N22:N27" si="6">M22*C22</f>
        <v>0</v>
      </c>
      <c r="O22" s="1314" t="str">
        <f>IF(VLOOKUP(B22,'Crop parameters'!$A$2:$Z$43,26)&gt;0,VLOOKUP(B22,'Crop parameters'!$A$2:$Z$43,26),"")</f>
        <v/>
      </c>
      <c r="P22" s="158">
        <f t="shared" ref="P22:P27" si="7">IFERROR(O22*H22,0)</f>
        <v>0</v>
      </c>
      <c r="Q22" s="120">
        <f t="shared" ref="Q22:Q27" si="8">N22-P22</f>
        <v>0</v>
      </c>
      <c r="R22" s="120">
        <f t="shared" ref="R22:R27" si="9">Q22*(44/12)</f>
        <v>0</v>
      </c>
    </row>
    <row r="23" spans="2:19">
      <c r="B23" s="1314" t="str">
        <f>'Land requirements'!B6</f>
        <v>Maize</v>
      </c>
      <c r="C23" s="45">
        <f>'Land requirements'!I6</f>
        <v>0</v>
      </c>
      <c r="D23" s="1314" t="str">
        <f>IF(VLOOKUP(B23,'Crop parameters'!$A$2:$Z$43,23)&gt;0,VLOOKUP(B23,'Crop parameters'!$A$2:$Z$43,23),"")</f>
        <v/>
      </c>
      <c r="E23" s="1314" t="str">
        <f>IF(VLOOKUP(B23,'Crop parameters'!$A$2:$Z$43,24)&gt;0,VLOOKUP(B23,'Crop parameters'!$A$2:$Z$43,24),"")</f>
        <v/>
      </c>
      <c r="F23" s="45">
        <f t="shared" si="2"/>
        <v>0</v>
      </c>
      <c r="G23" s="68">
        <f t="shared" si="0"/>
        <v>0</v>
      </c>
      <c r="H23" s="45">
        <v>0.48</v>
      </c>
      <c r="I23" s="45">
        <f t="shared" si="1"/>
        <v>0</v>
      </c>
      <c r="J23" s="45">
        <f t="shared" si="3"/>
        <v>0</v>
      </c>
      <c r="K23" s="45">
        <f t="shared" si="4"/>
        <v>0</v>
      </c>
      <c r="L23" s="1314" t="str">
        <f>IF(VLOOKUP(B23,'Crop parameters'!$A$2:$Z$43,25)&gt;0,VLOOKUP(B23,'Crop parameters'!$A$2:$Z$43,25),"")</f>
        <v/>
      </c>
      <c r="M23" s="158">
        <f t="shared" si="5"/>
        <v>0</v>
      </c>
      <c r="N23" s="158">
        <f t="shared" si="6"/>
        <v>0</v>
      </c>
      <c r="O23" s="1314" t="str">
        <f>IF(VLOOKUP(B23,'Crop parameters'!$A$2:$Z$43,26)&gt;0,VLOOKUP(B23,'Crop parameters'!$A$2:$Z$43,26),"")</f>
        <v/>
      </c>
      <c r="P23" s="158">
        <f t="shared" si="7"/>
        <v>0</v>
      </c>
      <c r="Q23" s="120">
        <f t="shared" si="8"/>
        <v>0</v>
      </c>
      <c r="R23" s="120">
        <f t="shared" si="9"/>
        <v>0</v>
      </c>
    </row>
    <row r="24" spans="2:19">
      <c r="B24" s="1314" t="str">
        <f>'Land requirements'!B7</f>
        <v>N/A</v>
      </c>
      <c r="C24" s="45">
        <f>'Land requirements'!I7</f>
        <v>0</v>
      </c>
      <c r="D24" s="1314" t="str">
        <f>IF(VLOOKUP(B24,'Crop parameters'!$A$2:$Z$43,23)&gt;0,VLOOKUP(B24,'Crop parameters'!$A$2:$Z$43,23),"")</f>
        <v/>
      </c>
      <c r="E24" s="1314" t="str">
        <f>IF(VLOOKUP(B24,'Crop parameters'!$A$2:$Z$43,24)&gt;0,VLOOKUP(B24,'Crop parameters'!$A$2:$Z$43,24),"")</f>
        <v/>
      </c>
      <c r="F24" s="45">
        <f t="shared" si="2"/>
        <v>0</v>
      </c>
      <c r="G24" s="68">
        <f t="shared" si="0"/>
        <v>0</v>
      </c>
      <c r="H24" s="45">
        <v>0.48</v>
      </c>
      <c r="I24" s="45">
        <f t="shared" si="1"/>
        <v>0</v>
      </c>
      <c r="J24" s="45">
        <f t="shared" si="3"/>
        <v>0</v>
      </c>
      <c r="K24" s="45">
        <f t="shared" si="4"/>
        <v>0</v>
      </c>
      <c r="L24" s="1314" t="str">
        <f>IF(VLOOKUP(B24,'Crop parameters'!$A$2:$Z$43,25)&gt;0,VLOOKUP(B24,'Crop parameters'!$A$2:$Z$43,25),"")</f>
        <v/>
      </c>
      <c r="M24" s="158">
        <f t="shared" si="5"/>
        <v>0</v>
      </c>
      <c r="N24" s="158">
        <f t="shared" si="6"/>
        <v>0</v>
      </c>
      <c r="O24" s="1314" t="str">
        <f>IF(VLOOKUP(B24,'Crop parameters'!$A$2:$Z$43,26)&gt;0,VLOOKUP(B24,'Crop parameters'!$A$2:$Z$43,26),"")</f>
        <v/>
      </c>
      <c r="P24" s="158">
        <f t="shared" si="7"/>
        <v>0</v>
      </c>
      <c r="Q24" s="120">
        <f t="shared" si="8"/>
        <v>0</v>
      </c>
      <c r="R24" s="120">
        <f t="shared" si="9"/>
        <v>0</v>
      </c>
    </row>
    <row r="25" spans="2:19">
      <c r="B25" s="1314" t="str">
        <f>'Land requirements'!B8</f>
        <v>N/A</v>
      </c>
      <c r="C25" s="45">
        <f>'Land requirements'!I8</f>
        <v>0</v>
      </c>
      <c r="D25" s="1314" t="str">
        <f>IF(VLOOKUP(B25,'Crop parameters'!$A$2:$Z$43,23)&gt;0,VLOOKUP(B25,'Crop parameters'!$A$2:$Z$43,23),"")</f>
        <v/>
      </c>
      <c r="E25" s="1314" t="str">
        <f>IF(VLOOKUP(B25,'Crop parameters'!$A$2:$Z$43,24)&gt;0,VLOOKUP(B25,'Crop parameters'!$A$2:$Z$43,24),"")</f>
        <v/>
      </c>
      <c r="F25" s="45">
        <f t="shared" si="2"/>
        <v>0</v>
      </c>
      <c r="G25" s="68">
        <f t="shared" si="0"/>
        <v>0</v>
      </c>
      <c r="H25" s="45">
        <v>0.48</v>
      </c>
      <c r="I25" s="45">
        <f t="shared" si="1"/>
        <v>0</v>
      </c>
      <c r="J25" s="45">
        <f t="shared" si="3"/>
        <v>0</v>
      </c>
      <c r="K25" s="45">
        <f t="shared" si="4"/>
        <v>0</v>
      </c>
      <c r="L25" s="1314" t="str">
        <f>IF(VLOOKUP(B25,'Crop parameters'!$A$2:$Z$43,25)&gt;0,VLOOKUP(B25,'Crop parameters'!$A$2:$Z$43,25),"")</f>
        <v/>
      </c>
      <c r="M25" s="158">
        <f t="shared" si="5"/>
        <v>0</v>
      </c>
      <c r="N25" s="158">
        <f t="shared" si="6"/>
        <v>0</v>
      </c>
      <c r="O25" s="1314" t="str">
        <f>IF(VLOOKUP(B25,'Crop parameters'!$A$2:$Z$43,26)&gt;0,VLOOKUP(B25,'Crop parameters'!$A$2:$Z$43,26),"")</f>
        <v/>
      </c>
      <c r="P25" s="158">
        <f t="shared" si="7"/>
        <v>0</v>
      </c>
      <c r="Q25" s="120">
        <f t="shared" si="8"/>
        <v>0</v>
      </c>
      <c r="R25" s="120">
        <f t="shared" si="9"/>
        <v>0</v>
      </c>
    </row>
    <row r="26" spans="2:19">
      <c r="B26" s="1314" t="str">
        <f>'Land requirements'!B9</f>
        <v>N/A</v>
      </c>
      <c r="C26" s="45">
        <f>'Land requirements'!I9</f>
        <v>0</v>
      </c>
      <c r="D26" s="1314" t="str">
        <f>IF(VLOOKUP(B26,'Crop parameters'!$A$2:$Z$43,23)&gt;0,VLOOKUP(B26,'Crop parameters'!$A$2:$Z$43,23),"")</f>
        <v/>
      </c>
      <c r="E26" s="1314" t="str">
        <f>IF(VLOOKUP(B26,'Crop parameters'!$A$2:$Z$43,24)&gt;0,VLOOKUP(B26,'Crop parameters'!$A$2:$Z$43,24),"")</f>
        <v/>
      </c>
      <c r="F26" s="45">
        <f t="shared" si="2"/>
        <v>0</v>
      </c>
      <c r="G26" s="68">
        <f t="shared" si="0"/>
        <v>0</v>
      </c>
      <c r="H26" s="45">
        <v>0.48</v>
      </c>
      <c r="I26" s="45">
        <f t="shared" si="1"/>
        <v>0</v>
      </c>
      <c r="J26" s="45">
        <f t="shared" si="3"/>
        <v>0</v>
      </c>
      <c r="K26" s="45">
        <f t="shared" si="4"/>
        <v>0</v>
      </c>
      <c r="L26" s="1314" t="str">
        <f>IF(VLOOKUP(B26,'Crop parameters'!$A$2:$Z$43,25)&gt;0,VLOOKUP(B26,'Crop parameters'!$A$2:$Z$43,25),"")</f>
        <v/>
      </c>
      <c r="M26" s="158">
        <f t="shared" si="5"/>
        <v>0</v>
      </c>
      <c r="N26" s="158">
        <f t="shared" si="6"/>
        <v>0</v>
      </c>
      <c r="O26" s="1314" t="str">
        <f>IF(VLOOKUP(B26,'Crop parameters'!$A$2:$Z$43,26)&gt;0,VLOOKUP(B26,'Crop parameters'!$A$2:$Z$43,26),"")</f>
        <v/>
      </c>
      <c r="P26" s="158">
        <f t="shared" si="7"/>
        <v>0</v>
      </c>
      <c r="Q26" s="120">
        <f t="shared" si="8"/>
        <v>0</v>
      </c>
      <c r="R26" s="120">
        <f t="shared" si="9"/>
        <v>0</v>
      </c>
    </row>
    <row r="27" spans="2:19" ht="17.25" customHeight="1">
      <c r="B27" s="1314" t="str">
        <f>'Land requirements'!B10</f>
        <v>N/A</v>
      </c>
      <c r="C27" s="45">
        <f>'Land requirements'!I10</f>
        <v>0</v>
      </c>
      <c r="D27" s="1314" t="str">
        <f>IF(VLOOKUP(B27,'Crop parameters'!$A$2:$Z$43,23)&gt;0,VLOOKUP(B27,'Crop parameters'!$A$2:$Z$43,23),"")</f>
        <v/>
      </c>
      <c r="E27" s="1314" t="str">
        <f>IF(VLOOKUP(B27,'Crop parameters'!$A$2:$Z$43,24)&gt;0,VLOOKUP(B27,'Crop parameters'!$A$2:$Z$43,24),"")</f>
        <v/>
      </c>
      <c r="F27" s="45">
        <f t="shared" si="2"/>
        <v>0</v>
      </c>
      <c r="G27" s="68">
        <f t="shared" si="0"/>
        <v>0</v>
      </c>
      <c r="H27" s="45">
        <v>0.48</v>
      </c>
      <c r="I27" s="45">
        <f t="shared" si="1"/>
        <v>0</v>
      </c>
      <c r="J27" s="45">
        <f t="shared" si="3"/>
        <v>0</v>
      </c>
      <c r="K27" s="45">
        <f t="shared" si="4"/>
        <v>0</v>
      </c>
      <c r="L27" s="1314" t="str">
        <f>IF(VLOOKUP(B27,'Crop parameters'!$A$2:$Z$43,25)&gt;0,VLOOKUP(B27,'Crop parameters'!$A$2:$Z$43,25),"")</f>
        <v/>
      </c>
      <c r="M27" s="158">
        <f t="shared" si="5"/>
        <v>0</v>
      </c>
      <c r="N27" s="158">
        <f t="shared" si="6"/>
        <v>0</v>
      </c>
      <c r="O27" s="1314" t="str">
        <f>IF(VLOOKUP(B27,'Crop parameters'!$A$2:$Z$43,26)&gt;0,VLOOKUP(B27,'Crop parameters'!$A$2:$Z$43,26),"")</f>
        <v/>
      </c>
      <c r="P27" s="158">
        <f t="shared" si="7"/>
        <v>0</v>
      </c>
      <c r="Q27" s="120">
        <f t="shared" si="8"/>
        <v>0</v>
      </c>
      <c r="R27" s="120">
        <f t="shared" si="9"/>
        <v>0</v>
      </c>
    </row>
    <row r="28" spans="2:19">
      <c r="B28" s="16" t="s">
        <v>208</v>
      </c>
      <c r="C28" s="124"/>
      <c r="D28" s="124"/>
      <c r="E28" s="124"/>
      <c r="F28" s="45">
        <f>SUM(F21:F27)</f>
        <v>0</v>
      </c>
      <c r="G28" s="45">
        <f>SUM(G21:G27)</f>
        <v>0</v>
      </c>
      <c r="H28" s="45"/>
      <c r="I28" s="45">
        <f>SUM(I21:I27)</f>
        <v>0</v>
      </c>
      <c r="J28" s="45">
        <f>SUM(J21:J27)</f>
        <v>0</v>
      </c>
      <c r="K28" s="45">
        <f>SUM(K21:K27)</f>
        <v>0</v>
      </c>
      <c r="L28" s="124"/>
      <c r="M28" s="124"/>
      <c r="N28" s="124"/>
      <c r="O28" s="789"/>
      <c r="P28" s="159" t="s">
        <v>1667</v>
      </c>
      <c r="Q28" s="160">
        <f>SUM(Q21:Q27)</f>
        <v>0</v>
      </c>
      <c r="R28" s="160">
        <f>SUM(R21:R27)</f>
        <v>0</v>
      </c>
    </row>
    <row r="29" spans="2:19" s="1328" customFormat="1">
      <c r="B29" s="1334"/>
      <c r="C29" s="1334"/>
      <c r="D29" s="1334"/>
      <c r="E29" s="1334"/>
      <c r="F29" s="1335"/>
      <c r="G29" s="1335"/>
      <c r="H29" s="1335"/>
      <c r="I29" s="1335"/>
      <c r="J29" s="1335"/>
      <c r="K29" s="1335"/>
      <c r="L29" s="1334"/>
      <c r="M29" s="1334"/>
      <c r="N29" s="1334"/>
      <c r="O29" s="1336"/>
      <c r="P29" s="1203"/>
      <c r="Q29" s="1337" t="s">
        <v>1838</v>
      </c>
      <c r="R29" s="1337" t="s">
        <v>1839</v>
      </c>
    </row>
    <row r="30" spans="2:19">
      <c r="P30" s="1325" t="s">
        <v>1837</v>
      </c>
      <c r="Q30" s="39">
        <f>Q28/1000</f>
        <v>0</v>
      </c>
      <c r="R30" s="39">
        <f>R28/1000</f>
        <v>0</v>
      </c>
    </row>
    <row r="31" spans="2:19">
      <c r="P31" s="1325" t="s">
        <v>1836</v>
      </c>
      <c r="Q31" s="1165">
        <f>'Trees-Carbon'!N9</f>
        <v>0.93443270636474662</v>
      </c>
      <c r="R31" s="1165">
        <f>'Trees-Carbon'!O9</f>
        <v>3.4262532566707375</v>
      </c>
    </row>
    <row r="32" spans="2:19" ht="47.25">
      <c r="Q32" s="1154" t="s">
        <v>1840</v>
      </c>
      <c r="R32" s="1154" t="s">
        <v>1842</v>
      </c>
    </row>
    <row r="33" spans="16:18">
      <c r="P33" s="1338" t="s">
        <v>131</v>
      </c>
      <c r="Q33" s="1339">
        <f>SUM(Q30:Q31)</f>
        <v>0.93443270636474662</v>
      </c>
      <c r="R33" s="1339">
        <f>SUM(R30:R31)</f>
        <v>3.4262532566707375</v>
      </c>
    </row>
  </sheetData>
  <mergeCells count="10">
    <mergeCell ref="B17:B19"/>
    <mergeCell ref="E5:H5"/>
    <mergeCell ref="B13:D13"/>
    <mergeCell ref="B10:B12"/>
    <mergeCell ref="C10:C12"/>
    <mergeCell ref="B7:B9"/>
    <mergeCell ref="C7:C9"/>
    <mergeCell ref="B5:C5"/>
    <mergeCell ref="B6:C6"/>
    <mergeCell ref="D6:D9"/>
  </mergeCells>
  <pageMargins left="0.75" right="0.75" top="1" bottom="1" header="0.5" footer="0.5"/>
  <pageSetup paperSize="9" orientation="portrait" horizontalDpi="4294967292" verticalDpi="4294967292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B050"/>
  </sheetPr>
  <dimension ref="A1:Q32"/>
  <sheetViews>
    <sheetView zoomScale="80" zoomScaleNormal="80" workbookViewId="0">
      <selection activeCell="E4" sqref="E4"/>
    </sheetView>
  </sheetViews>
  <sheetFormatPr defaultColWidth="8.875" defaultRowHeight="15.75"/>
  <cols>
    <col min="1" max="1" width="17.125" customWidth="1"/>
    <col min="2" max="2" width="11.125" customWidth="1"/>
    <col min="8" max="8" width="8.875" bestFit="1" customWidth="1"/>
    <col min="13" max="13" width="18.125" customWidth="1"/>
    <col min="15" max="15" width="10.625" bestFit="1" customWidth="1"/>
    <col min="16" max="16" width="8.375" customWidth="1"/>
  </cols>
  <sheetData>
    <row r="1" spans="1:17" s="1457" customFormat="1"/>
    <row r="2" spans="1:17" s="2" customFormat="1" ht="51">
      <c r="A2" s="1629" t="s">
        <v>880</v>
      </c>
      <c r="B2" s="1629" t="s">
        <v>854</v>
      </c>
      <c r="C2" s="184" t="s">
        <v>772</v>
      </c>
      <c r="D2" s="184" t="s">
        <v>773</v>
      </c>
      <c r="E2" s="184" t="s">
        <v>774</v>
      </c>
      <c r="F2" s="184" t="s">
        <v>775</v>
      </c>
      <c r="G2" s="184" t="s">
        <v>776</v>
      </c>
      <c r="H2" s="185" t="s">
        <v>924</v>
      </c>
      <c r="I2" s="185" t="s">
        <v>924</v>
      </c>
      <c r="J2" s="215" t="s">
        <v>959</v>
      </c>
      <c r="M2" s="183"/>
      <c r="N2" s="183"/>
      <c r="O2" s="183"/>
      <c r="P2" s="183" t="s">
        <v>815</v>
      </c>
      <c r="Q2" s="183" t="s">
        <v>921</v>
      </c>
    </row>
    <row r="3" spans="1:17" ht="50.25" customHeight="1">
      <c r="A3" s="1629"/>
      <c r="B3" s="1629"/>
      <c r="C3" s="216" t="s">
        <v>777</v>
      </c>
      <c r="D3" s="216" t="s">
        <v>778</v>
      </c>
      <c r="E3" s="216" t="s">
        <v>779</v>
      </c>
      <c r="F3" s="216" t="s">
        <v>780</v>
      </c>
      <c r="G3" s="216" t="s">
        <v>781</v>
      </c>
      <c r="H3" s="216" t="s">
        <v>957</v>
      </c>
      <c r="I3" s="217" t="s">
        <v>958</v>
      </c>
      <c r="J3" s="214"/>
      <c r="M3" s="192" t="s">
        <v>960</v>
      </c>
      <c r="O3" s="196">
        <f>SUM(I4:I16)</f>
        <v>21.841168892383468</v>
      </c>
      <c r="P3" s="196">
        <f>SUM(I20:I32)</f>
        <v>0</v>
      </c>
      <c r="Q3" s="196">
        <f>O3+P3</f>
        <v>21.841168892383468</v>
      </c>
    </row>
    <row r="4" spans="1:17" ht="56.25">
      <c r="A4" s="13" t="str">
        <f>INPUTS!D91</f>
        <v>Purchased</v>
      </c>
      <c r="B4" s="13" t="str">
        <f>'Area Parameters'!D$4</f>
        <v>Lixisol</v>
      </c>
      <c r="C4" s="40">
        <f>0.55*('Area Parameters'!$D$2/'Area Parameters'!$D$3)-4.7</f>
        <v>105.30000000000001</v>
      </c>
      <c r="D4" s="13">
        <f>VLOOKUP('Area Parameters'!D$4,'Soil erosion parameters'!B$12:D$20,3,FALSE)</f>
        <v>0.25</v>
      </c>
      <c r="E4" s="40">
        <f>VLOOKUP(INPUTS!J91,'Soil erosion parameters'!$B$44:$H$48,MATCH(INPUTS!K91, 'Soil erosion parameters'!$B$44:$H$44,0), FALSE)</f>
        <v>5.34</v>
      </c>
      <c r="F4" s="40">
        <f>VLOOKUP(INPUTS!I91,'Soil erosion parameters'!B$23:C$36,2,FALSE)</f>
        <v>0.15</v>
      </c>
      <c r="G4" s="13">
        <v>0.8</v>
      </c>
      <c r="H4" s="40">
        <f t="shared" ref="H4:H16" si="0">IF(ISERROR(C4*D4*E4*F4*G4),0,(C4*D4*E4*F4*G4))</f>
        <v>16.869060000000001</v>
      </c>
      <c r="I4" s="380">
        <f>H4*'Land requirements'!F4*('N balance'!C$4/365)</f>
        <v>0</v>
      </c>
      <c r="M4" s="192" t="s">
        <v>975</v>
      </c>
      <c r="O4" s="196">
        <f>AVERAGEIF(H4:H16,"&lt;&gt;0")</f>
        <v>6.7476240000000001</v>
      </c>
      <c r="P4" s="196" t="e">
        <f>AVERAGEIF(H20:H32,"&lt;&gt;0")</f>
        <v>#DIV/0!</v>
      </c>
      <c r="Q4" s="196"/>
    </row>
    <row r="5" spans="1:17">
      <c r="A5" s="13" t="str">
        <f>INPUTS!D92</f>
        <v>Natural pasture</v>
      </c>
      <c r="B5" s="13" t="str">
        <f>'Area Parameters'!D$4</f>
        <v>Lixisol</v>
      </c>
      <c r="C5" s="40">
        <f>0.55*('Area Parameters'!$D$2/'Area Parameters'!$D$3)-4.7</f>
        <v>105.30000000000001</v>
      </c>
      <c r="D5" s="13">
        <f>VLOOKUP('Area Parameters'!D$4,'Soil erosion parameters'!B$12:D$20,3,FALSE)</f>
        <v>0.25</v>
      </c>
      <c r="E5" s="40">
        <f>VLOOKUP(INPUTS!J92,'Soil erosion parameters'!$B$44:$H$48,MATCH(INPUTS!K92, 'Soil erosion parameters'!$B$44:$H$44,0), FALSE)</f>
        <v>5.34</v>
      </c>
      <c r="F5" s="40">
        <f>VLOOKUP(INPUTS!I92,'Soil erosion parameters'!B$23:C$36,2,FALSE)</f>
        <v>0.01</v>
      </c>
      <c r="G5" s="13">
        <v>0.8</v>
      </c>
      <c r="H5" s="40">
        <f t="shared" si="0"/>
        <v>1.1246040000000002</v>
      </c>
      <c r="I5" s="380">
        <f>H5*'Land requirements'!F5*('N balance'!C$4/365)</f>
        <v>0.19859887324495515</v>
      </c>
    </row>
    <row r="6" spans="1:17">
      <c r="A6" s="13" t="str">
        <f>INPUTS!D93</f>
        <v>Maize</v>
      </c>
      <c r="B6" s="13" t="str">
        <f>'Area Parameters'!D$4</f>
        <v>Lixisol</v>
      </c>
      <c r="C6" s="40">
        <f>0.55*('Area Parameters'!$D$2/'Area Parameters'!$D$3)-4.7</f>
        <v>105.30000000000001</v>
      </c>
      <c r="D6" s="13">
        <f>VLOOKUP('Area Parameters'!D$4,'Soil erosion parameters'!B$12:D$20,3,FALSE)</f>
        <v>0.25</v>
      </c>
      <c r="E6" s="40">
        <f>VLOOKUP(INPUTS!J93,'Soil erosion parameters'!$B$44:$H$48,MATCH(INPUTS!K93, 'Soil erosion parameters'!$B$44:$H$44,0), FALSE)</f>
        <v>5.34</v>
      </c>
      <c r="F6" s="40">
        <f>VLOOKUP(INPUTS!I93,'Soil erosion parameters'!B$23:C$36,2,FALSE)</f>
        <v>0.1</v>
      </c>
      <c r="G6" s="13">
        <v>0.8</v>
      </c>
      <c r="H6" s="40">
        <f t="shared" si="0"/>
        <v>11.246040000000001</v>
      </c>
      <c r="I6" s="380">
        <f>H6*'Land requirements'!F6*('N balance'!C$4/365)</f>
        <v>21.642570019138514</v>
      </c>
    </row>
    <row r="7" spans="1:17">
      <c r="A7" s="13" t="str">
        <f>INPUTS!D94</f>
        <v>N/A</v>
      </c>
      <c r="B7" s="13" t="str">
        <f>'Area Parameters'!D$4</f>
        <v>Lixisol</v>
      </c>
      <c r="C7" s="40">
        <f>0.55*('Area Parameters'!$D$2/'Area Parameters'!$D$3)-4.7</f>
        <v>105.30000000000001</v>
      </c>
      <c r="D7" s="13">
        <f>VLOOKUP('Area Parameters'!D$4,'Soil erosion parameters'!B$12:D$20,3,FALSE)</f>
        <v>0.25</v>
      </c>
      <c r="E7" s="40">
        <f>VLOOKUP(INPUTS!J94,'Soil erosion parameters'!$B$44:$H$48,MATCH(INPUTS!K94, 'Soil erosion parameters'!$B$44:$H$44,0), FALSE)</f>
        <v>5.34</v>
      </c>
      <c r="F7" s="40">
        <f>VLOOKUP(INPUTS!I94,'Soil erosion parameters'!B$23:C$36,2,FALSE)</f>
        <v>0.05</v>
      </c>
      <c r="G7" s="13">
        <v>0.8</v>
      </c>
      <c r="H7" s="40">
        <f t="shared" si="0"/>
        <v>5.6230200000000004</v>
      </c>
      <c r="I7" s="380">
        <f>H7*'Land requirements'!F7*('N balance'!C$4/365)</f>
        <v>0</v>
      </c>
      <c r="O7" s="39"/>
    </row>
    <row r="8" spans="1:17">
      <c r="A8" s="13" t="str">
        <f>INPUTS!D95</f>
        <v>N/A</v>
      </c>
      <c r="B8" s="13" t="str">
        <f>'Area Parameters'!D$4</f>
        <v>Lixisol</v>
      </c>
      <c r="C8" s="40">
        <f>0.55*('Area Parameters'!$D$2/'Area Parameters'!$D$3)-4.7</f>
        <v>105.30000000000001</v>
      </c>
      <c r="D8" s="13">
        <f>VLOOKUP('Area Parameters'!D$4,'Soil erosion parameters'!B$12:D$20,3,FALSE)</f>
        <v>0.25</v>
      </c>
      <c r="E8" s="40">
        <f>VLOOKUP(INPUTS!J95,'Soil erosion parameters'!$B$44:$H$48,MATCH(INPUTS!K95, 'Soil erosion parameters'!$B$44:$H$44,0), FALSE)</f>
        <v>5.34</v>
      </c>
      <c r="F8" s="40">
        <f>VLOOKUP(INPUTS!I95,'Soil erosion parameters'!B$23:C$36,2,FALSE)</f>
        <v>0.01</v>
      </c>
      <c r="G8" s="13">
        <v>0.8</v>
      </c>
      <c r="H8" s="40">
        <f t="shared" si="0"/>
        <v>1.1246040000000002</v>
      </c>
      <c r="I8" s="380">
        <f>H8*'Land requirements'!F8*('N balance'!C$4/365)</f>
        <v>0</v>
      </c>
    </row>
    <row r="9" spans="1:17">
      <c r="A9" s="13" t="str">
        <f>INPUTS!D96</f>
        <v>N/A</v>
      </c>
      <c r="B9" s="13" t="str">
        <f>'Area Parameters'!D$4</f>
        <v>Lixisol</v>
      </c>
      <c r="C9" s="40">
        <f>0.55*('Area Parameters'!$D$2/'Area Parameters'!$D$3)-4.7</f>
        <v>105.30000000000001</v>
      </c>
      <c r="D9" s="13">
        <f>VLOOKUP('Area Parameters'!D$4,'Soil erosion parameters'!B$12:D$20,3,FALSE)</f>
        <v>0.25</v>
      </c>
      <c r="E9" s="40">
        <f>VLOOKUP(INPUTS!J96,'Soil erosion parameters'!$B$44:$H$48,MATCH(INPUTS!K96, 'Soil erosion parameters'!$B$44:$H$44,0), FALSE)</f>
        <v>5.34</v>
      </c>
      <c r="F9" s="40">
        <f>VLOOKUP(INPUTS!I96,'Soil erosion parameters'!B$23:C$36,2,FALSE)</f>
        <v>0.05</v>
      </c>
      <c r="G9" s="13">
        <v>0.8</v>
      </c>
      <c r="H9" s="40">
        <f t="shared" si="0"/>
        <v>5.6230200000000004</v>
      </c>
      <c r="I9" s="380">
        <f>H9*'Land requirements'!F9*('N balance'!C$4/365)</f>
        <v>0</v>
      </c>
    </row>
    <row r="10" spans="1:17">
      <c r="A10" s="13" t="str">
        <f>INPUTS!D97</f>
        <v>N/A</v>
      </c>
      <c r="B10" s="13" t="str">
        <f>'Area Parameters'!D$4</f>
        <v>Lixisol</v>
      </c>
      <c r="C10" s="40">
        <f>0.55*('Area Parameters'!$D$2/'Area Parameters'!$D$3)-4.7</f>
        <v>105.30000000000001</v>
      </c>
      <c r="D10" s="13">
        <f>VLOOKUP('Area Parameters'!D$4,'Soil erosion parameters'!B$12:D$20,3,FALSE)</f>
        <v>0.25</v>
      </c>
      <c r="E10" s="40">
        <f>VLOOKUP(INPUTS!J97,'Soil erosion parameters'!$B$44:$H$48,MATCH(INPUTS!K97, 'Soil erosion parameters'!$B$44:$H$44,0), FALSE)</f>
        <v>5.34</v>
      </c>
      <c r="F10" s="40">
        <f>VLOOKUP(INPUTS!I97,'Soil erosion parameters'!B$23:C$36,2,FALSE)</f>
        <v>0.05</v>
      </c>
      <c r="G10" s="13">
        <v>0.8</v>
      </c>
      <c r="H10" s="40">
        <f t="shared" si="0"/>
        <v>5.6230200000000004</v>
      </c>
      <c r="I10" s="380">
        <f>H10*'Land requirements'!F10*('N balance'!C$4/365)</f>
        <v>0</v>
      </c>
    </row>
    <row r="11" spans="1:17">
      <c r="A11" s="13" t="e">
        <f>INPUTS!#REF!</f>
        <v>#REF!</v>
      </c>
      <c r="B11" s="13" t="str">
        <f>'Area Parameters'!D$4</f>
        <v>Lixisol</v>
      </c>
      <c r="C11" s="40">
        <f>0.55*('Area Parameters'!$D$2/'Area Parameters'!$D$3)-4.7</f>
        <v>105.30000000000001</v>
      </c>
      <c r="D11" s="13">
        <f>VLOOKUP('Area Parameters'!D$4,'Soil erosion parameters'!B$12:D$20,3,FALSE)</f>
        <v>0.25</v>
      </c>
      <c r="E11" s="40" t="s">
        <v>44</v>
      </c>
      <c r="F11" s="40"/>
      <c r="G11" s="13">
        <v>0.8</v>
      </c>
      <c r="H11" s="40">
        <f t="shared" si="0"/>
        <v>0</v>
      </c>
      <c r="I11" s="380">
        <f>H11*INPUTS!F97*('N balance'!C$4/365)</f>
        <v>0</v>
      </c>
    </row>
    <row r="12" spans="1:17">
      <c r="A12" s="13" t="e">
        <f>INPUTS!#REF!</f>
        <v>#REF!</v>
      </c>
      <c r="B12" s="13" t="str">
        <f>'Area Parameters'!D$4</f>
        <v>Lixisol</v>
      </c>
      <c r="C12" s="40">
        <f>0.55*('Area Parameters'!$D$2/'Area Parameters'!$D$3)-4.7</f>
        <v>105.30000000000001</v>
      </c>
      <c r="D12" s="13">
        <f>VLOOKUP('Area Parameters'!D$4,'Soil erosion parameters'!B$12:D$20,3,FALSE)</f>
        <v>0.25</v>
      </c>
      <c r="E12" s="40" t="str">
        <f>IFERROR(VLOOKUP(INPUTS!#REF!,'Soil erosion parameters'!$B$44:$H$48,MATCH(INPUTS!#REF!, 'Soil erosion parameters'!$B$44:$H$44,0), FALSE), "")</f>
        <v/>
      </c>
      <c r="F12" s="40"/>
      <c r="G12" s="13">
        <v>0.8</v>
      </c>
      <c r="H12" s="40">
        <f t="shared" si="0"/>
        <v>0</v>
      </c>
      <c r="I12" s="380">
        <f>H12*INPUTS!F98*('N balance'!C$4/365)</f>
        <v>0</v>
      </c>
    </row>
    <row r="13" spans="1:17">
      <c r="A13" s="13" t="e">
        <f>INPUTS!#REF!</f>
        <v>#REF!</v>
      </c>
      <c r="B13" s="13" t="str">
        <f>'Area Parameters'!D$4</f>
        <v>Lixisol</v>
      </c>
      <c r="C13" s="40">
        <f>0.55*('Area Parameters'!$D$2/'Area Parameters'!$D$3)-4.7</f>
        <v>105.30000000000001</v>
      </c>
      <c r="D13" s="13">
        <f>VLOOKUP('Area Parameters'!D$4,'Soil erosion parameters'!B$12:D$20,3,FALSE)</f>
        <v>0.25</v>
      </c>
      <c r="E13" s="40" t="str">
        <f>IFERROR(VLOOKUP(INPUTS!#REF!,'Soil erosion parameters'!$B$44:$H$48,MATCH(INPUTS!#REF!, 'Soil erosion parameters'!$B$44:$H$44,0), FALSE), "")</f>
        <v/>
      </c>
      <c r="F13" s="40"/>
      <c r="G13" s="13">
        <v>0.8</v>
      </c>
      <c r="H13" s="40">
        <f t="shared" si="0"/>
        <v>0</v>
      </c>
      <c r="I13" s="380">
        <f>H13*INPUTS!F99*('N balance'!C$4/365)</f>
        <v>0</v>
      </c>
    </row>
    <row r="14" spans="1:17">
      <c r="A14" s="13" t="e">
        <f>INPUTS!#REF!</f>
        <v>#REF!</v>
      </c>
      <c r="B14" s="13" t="str">
        <f>'Area Parameters'!D$4</f>
        <v>Lixisol</v>
      </c>
      <c r="C14" s="40">
        <f>0.55*('Area Parameters'!$D$2/'Area Parameters'!$D$3)-4.7</f>
        <v>105.30000000000001</v>
      </c>
      <c r="D14" s="13">
        <f>VLOOKUP('Area Parameters'!D$4,'Soil erosion parameters'!B$12:D$20,3,FALSE)</f>
        <v>0.25</v>
      </c>
      <c r="E14" s="40" t="str">
        <f>IFERROR(VLOOKUP(INPUTS!#REF!,'Soil erosion parameters'!$B$44:$H$48,MATCH(INPUTS!#REF!, 'Soil erosion parameters'!$B$44:$H$44,0), FALSE), "")</f>
        <v/>
      </c>
      <c r="F14" s="40"/>
      <c r="G14" s="13">
        <v>0.8</v>
      </c>
      <c r="H14" s="40">
        <f t="shared" si="0"/>
        <v>0</v>
      </c>
      <c r="I14" s="380">
        <f>H14*INPUTS!F100*('N balance'!C$4/365)</f>
        <v>0</v>
      </c>
    </row>
    <row r="15" spans="1:17">
      <c r="A15" s="13" t="e">
        <f>INPUTS!#REF!</f>
        <v>#REF!</v>
      </c>
      <c r="B15" s="13" t="str">
        <f>'Area Parameters'!D$4</f>
        <v>Lixisol</v>
      </c>
      <c r="C15" s="40">
        <f>0.55*('Area Parameters'!$D$2/'Area Parameters'!$D$3)-4.7</f>
        <v>105.30000000000001</v>
      </c>
      <c r="D15" s="13">
        <f>VLOOKUP('Area Parameters'!D$4,'Soil erosion parameters'!B$12:D$20,3,FALSE)</f>
        <v>0.25</v>
      </c>
      <c r="E15" s="40" t="str">
        <f>IFERROR(VLOOKUP(INPUTS!#REF!,'Soil erosion parameters'!$B$44:$H$48,MATCH(INPUTS!#REF!, 'Soil erosion parameters'!$B$44:$H$44,0), FALSE), "")</f>
        <v/>
      </c>
      <c r="F15" s="40"/>
      <c r="G15" s="13">
        <v>0.8</v>
      </c>
      <c r="H15" s="40">
        <f t="shared" si="0"/>
        <v>0</v>
      </c>
      <c r="I15" s="380">
        <f>H15*INPUTS!F101*('N balance'!C$4/365)</f>
        <v>0</v>
      </c>
    </row>
    <row r="16" spans="1:17">
      <c r="A16" s="13" t="e">
        <f>INPUTS!#REF!</f>
        <v>#REF!</v>
      </c>
      <c r="B16" s="13" t="str">
        <f>'Area Parameters'!D$4</f>
        <v>Lixisol</v>
      </c>
      <c r="C16" s="40">
        <f>0.55*('Area Parameters'!$D$2/'Area Parameters'!$D$3)-4.7</f>
        <v>105.30000000000001</v>
      </c>
      <c r="D16" s="13">
        <f>VLOOKUP('Area Parameters'!D$4,'Soil erosion parameters'!B$12:D$20,3,FALSE)</f>
        <v>0.25</v>
      </c>
      <c r="E16" s="40" t="str">
        <f>IFERROR(VLOOKUP(INPUTS!#REF!,'Soil erosion parameters'!$B$44:$H$48,MATCH(INPUTS!#REF!, 'Soil erosion parameters'!$B$44:$H$44,0), FALSE), "")</f>
        <v/>
      </c>
      <c r="F16" s="40"/>
      <c r="G16" s="13">
        <v>0.8</v>
      </c>
      <c r="H16" s="40">
        <f t="shared" si="0"/>
        <v>0</v>
      </c>
      <c r="I16" s="380">
        <f>H16*INPUTS!F102*('N balance'!C$4/365)</f>
        <v>0</v>
      </c>
    </row>
    <row r="17" spans="1:9" s="1630" customFormat="1" ht="15"/>
    <row r="18" spans="1:9" s="383" customFormat="1" ht="60">
      <c r="A18" s="1631" t="s">
        <v>880</v>
      </c>
      <c r="B18" s="1631" t="s">
        <v>854</v>
      </c>
      <c r="C18" s="381" t="s">
        <v>772</v>
      </c>
      <c r="D18" s="381" t="s">
        <v>773</v>
      </c>
      <c r="E18" s="381" t="s">
        <v>774</v>
      </c>
      <c r="F18" s="381" t="s">
        <v>775</v>
      </c>
      <c r="G18" s="381" t="s">
        <v>776</v>
      </c>
      <c r="H18" s="382" t="s">
        <v>924</v>
      </c>
      <c r="I18" s="382" t="s">
        <v>924</v>
      </c>
    </row>
    <row r="19" spans="1:9" s="385" customFormat="1" ht="45">
      <c r="A19" s="1631"/>
      <c r="B19" s="1631"/>
      <c r="C19" s="384" t="s">
        <v>777</v>
      </c>
      <c r="D19" s="384" t="s">
        <v>778</v>
      </c>
      <c r="E19" s="384" t="s">
        <v>779</v>
      </c>
      <c r="F19" s="384" t="s">
        <v>780</v>
      </c>
      <c r="G19" s="384" t="s">
        <v>781</v>
      </c>
      <c r="H19" s="384" t="s">
        <v>957</v>
      </c>
      <c r="I19" s="384" t="s">
        <v>1120</v>
      </c>
    </row>
    <row r="20" spans="1:9" s="385" customFormat="1" ht="15">
      <c r="A20" s="386" t="str">
        <f>A4</f>
        <v>Purchased</v>
      </c>
      <c r="B20" s="386" t="str">
        <f>'Area Parameters'!D$4</f>
        <v>Lixisol</v>
      </c>
      <c r="C20" s="387">
        <f>0.55*('Area Parameters'!$D$2/'Area Parameters'!$D$3)-4.7</f>
        <v>105.30000000000001</v>
      </c>
      <c r="D20" s="386">
        <f>VLOOKUP('Area Parameters'!D$4,'Soil erosion parameters'!B$12:D$20,3,FALSE)</f>
        <v>0.25</v>
      </c>
      <c r="E20" s="386" t="e">
        <f>VLOOKUP(INPUTS!K113,'Soil erosion parameters'!$B$44:$H$48,MATCH(INPUTS!L113, 'Soil erosion parameters'!$B$44:$H$44,0), FALSE)</f>
        <v>#N/A</v>
      </c>
      <c r="F20" s="386" t="e">
        <f>VLOOKUP(INPUTS!AI60,'Soil erosion parameters'!B$23:C$36,2,FALSE)</f>
        <v>#N/A</v>
      </c>
      <c r="G20" s="386">
        <v>0.8</v>
      </c>
      <c r="H20" s="387">
        <f t="shared" ref="H20:H32" si="1">IF(ISERROR(C20*D20*E20*F20*G20),0,(C20*D20*E20*F20*G20))</f>
        <v>0</v>
      </c>
      <c r="I20" s="388">
        <f>H20*INPUTS!AI60*(1-('N balance'!C$4/365))</f>
        <v>0</v>
      </c>
    </row>
    <row r="21" spans="1:9" s="385" customFormat="1" ht="15">
      <c r="A21" s="386" t="str">
        <f t="shared" ref="A21:A26" si="2">A5</f>
        <v>Natural pasture</v>
      </c>
      <c r="B21" s="386" t="str">
        <f>'Area Parameters'!D$4</f>
        <v>Lixisol</v>
      </c>
      <c r="C21" s="387">
        <f>0.55*('Area Parameters'!$D$2/'Area Parameters'!$D$3)-4.7</f>
        <v>105.30000000000001</v>
      </c>
      <c r="D21" s="386">
        <f>VLOOKUP('Area Parameters'!D$4,'Soil erosion parameters'!B$12:D$20,3,FALSE)</f>
        <v>0.25</v>
      </c>
      <c r="E21" s="386" t="e">
        <f>VLOOKUP(INPUTS!K114,'Soil erosion parameters'!$B$44:$H$48,MATCH(INPUTS!L114, 'Soil erosion parameters'!$B$44:$H$44,0), FALSE)</f>
        <v>#N/A</v>
      </c>
      <c r="F21" s="386" t="e">
        <f>VLOOKUP(INPUTS!AI61,'Soil erosion parameters'!B$23:C$36,2,FALSE)</f>
        <v>#N/A</v>
      </c>
      <c r="G21" s="386">
        <v>0.8</v>
      </c>
      <c r="H21" s="387">
        <f t="shared" si="1"/>
        <v>0</v>
      </c>
      <c r="I21" s="388">
        <f>H21*INPUTS!AI61*(1-('N balance'!C$4/365))</f>
        <v>0</v>
      </c>
    </row>
    <row r="22" spans="1:9" s="385" customFormat="1" ht="15">
      <c r="A22" s="386" t="str">
        <f t="shared" si="2"/>
        <v>Maize</v>
      </c>
      <c r="B22" s="386" t="str">
        <f>'Area Parameters'!D$4</f>
        <v>Lixisol</v>
      </c>
      <c r="C22" s="387">
        <f>0.55*('Area Parameters'!$D$2/'Area Parameters'!$D$3)-4.7</f>
        <v>105.30000000000001</v>
      </c>
      <c r="D22" s="386">
        <f>VLOOKUP('Area Parameters'!D$4,'Soil erosion parameters'!B$12:D$20,3,FALSE)</f>
        <v>0.25</v>
      </c>
      <c r="E22" s="386" t="e">
        <f>VLOOKUP(INPUTS!K115,'Soil erosion parameters'!$B$44:$H$48,MATCH(INPUTS!L115, 'Soil erosion parameters'!$B$44:$H$44,0), FALSE)</f>
        <v>#N/A</v>
      </c>
      <c r="F22" s="386" t="e">
        <f>VLOOKUP(INPUTS!AI62,'Soil erosion parameters'!B$23:C$36,2,FALSE)</f>
        <v>#N/A</v>
      </c>
      <c r="G22" s="386">
        <v>0.8</v>
      </c>
      <c r="H22" s="387">
        <f t="shared" si="1"/>
        <v>0</v>
      </c>
      <c r="I22" s="388">
        <f>H22*INPUTS!AI62*(1-('N balance'!C$4/365))</f>
        <v>0</v>
      </c>
    </row>
    <row r="23" spans="1:9" s="385" customFormat="1" ht="15">
      <c r="A23" s="386" t="str">
        <f t="shared" si="2"/>
        <v>N/A</v>
      </c>
      <c r="B23" s="386" t="str">
        <f>'Area Parameters'!D$4</f>
        <v>Lixisol</v>
      </c>
      <c r="C23" s="387">
        <f>0.55*('Area Parameters'!$D$2/'Area Parameters'!$D$3)-4.7</f>
        <v>105.30000000000001</v>
      </c>
      <c r="D23" s="386">
        <f>VLOOKUP('Area Parameters'!D$4,'Soil erosion parameters'!B$12:D$20,3,FALSE)</f>
        <v>0.25</v>
      </c>
      <c r="E23" s="386" t="e">
        <f>VLOOKUP(INPUTS!K116,'Soil erosion parameters'!$B$44:$H$48,MATCH(INPUTS!L116, 'Soil erosion parameters'!$B$44:$H$44,0), FALSE)</f>
        <v>#N/A</v>
      </c>
      <c r="F23" s="386" t="e">
        <f>VLOOKUP(INPUTS!AG63,'Soil erosion parameters'!B$23:C$36,2,FALSE)</f>
        <v>#N/A</v>
      </c>
      <c r="G23" s="386">
        <v>0.8</v>
      </c>
      <c r="H23" s="387">
        <f t="shared" si="1"/>
        <v>0</v>
      </c>
      <c r="I23" s="388">
        <f>H23*INPUTS!AG63*(1-('N balance'!C$4/365))</f>
        <v>0</v>
      </c>
    </row>
    <row r="24" spans="1:9" s="385" customFormat="1" ht="15">
      <c r="A24" s="386" t="str">
        <f t="shared" si="2"/>
        <v>N/A</v>
      </c>
      <c r="B24" s="386" t="str">
        <f>'Area Parameters'!D$4</f>
        <v>Lixisol</v>
      </c>
      <c r="C24" s="387">
        <f>0.55*('Area Parameters'!$D$2/'Area Parameters'!$D$3)-4.7</f>
        <v>105.30000000000001</v>
      </c>
      <c r="D24" s="386">
        <f>VLOOKUP('Area Parameters'!D$4,'Soil erosion parameters'!B$12:D$20,3,FALSE)</f>
        <v>0.25</v>
      </c>
      <c r="E24" s="386" t="e">
        <f>VLOOKUP(INPUTS!K117,'Soil erosion parameters'!$B$44:$H$48,MATCH(INPUTS!L117, 'Soil erosion parameters'!$B$44:$H$44,0), FALSE)</f>
        <v>#N/A</v>
      </c>
      <c r="F24" s="386" t="e">
        <f>VLOOKUP(INPUTS!AG85,'Soil erosion parameters'!B$23:C$36,2,FALSE)</f>
        <v>#N/A</v>
      </c>
      <c r="G24" s="386">
        <v>0.8</v>
      </c>
      <c r="H24" s="387">
        <f t="shared" si="1"/>
        <v>0</v>
      </c>
      <c r="I24" s="388">
        <f>H24*INPUTS!AG85*(1-('N balance'!C$4/365))</f>
        <v>0</v>
      </c>
    </row>
    <row r="25" spans="1:9" s="385" customFormat="1" ht="15">
      <c r="A25" s="386" t="str">
        <f t="shared" si="2"/>
        <v>N/A</v>
      </c>
      <c r="B25" s="386" t="str">
        <f>'Area Parameters'!D$4</f>
        <v>Lixisol</v>
      </c>
      <c r="C25" s="387">
        <f>0.55*('Area Parameters'!$D$2/'Area Parameters'!$D$3)-4.7</f>
        <v>105.30000000000001</v>
      </c>
      <c r="D25" s="386">
        <f>VLOOKUP('Area Parameters'!D$4,'Soil erosion parameters'!B$12:D$20,3,FALSE)</f>
        <v>0.25</v>
      </c>
      <c r="E25" s="386" t="e">
        <f>VLOOKUP(INPUTS!K118,'Soil erosion parameters'!$B$44:$H$48,MATCH(INPUTS!L118, 'Soil erosion parameters'!$B$44:$H$44,0), FALSE)</f>
        <v>#N/A</v>
      </c>
      <c r="F25" s="386" t="e">
        <f>VLOOKUP(INPUTS!AG87,'Soil erosion parameters'!B$23:C$36,2,FALSE)</f>
        <v>#N/A</v>
      </c>
      <c r="G25" s="386">
        <v>0.8</v>
      </c>
      <c r="H25" s="387">
        <f t="shared" si="1"/>
        <v>0</v>
      </c>
      <c r="I25" s="388">
        <f>H25*INPUTS!AG87*(1-('N balance'!C$4/365))</f>
        <v>0</v>
      </c>
    </row>
    <row r="26" spans="1:9" s="385" customFormat="1" ht="15">
      <c r="A26" s="386" t="str">
        <f t="shared" si="2"/>
        <v>N/A</v>
      </c>
      <c r="B26" s="386" t="str">
        <f>'Area Parameters'!D$4</f>
        <v>Lixisol</v>
      </c>
      <c r="C26" s="387">
        <f>0.55*('Area Parameters'!$D$2/'Area Parameters'!$D$3)-4.7</f>
        <v>105.30000000000001</v>
      </c>
      <c r="D26" s="386">
        <f>VLOOKUP('Area Parameters'!D$4,'Soil erosion parameters'!B$12:D$20,3,FALSE)</f>
        <v>0.25</v>
      </c>
      <c r="E26" s="386" t="e">
        <f>VLOOKUP(INPUTS!K119,'Soil erosion parameters'!$B$44:$H$48,MATCH(INPUTS!L119, 'Soil erosion parameters'!$B$44:$H$44,0), FALSE)</f>
        <v>#N/A</v>
      </c>
      <c r="F26" s="386" t="e">
        <f>VLOOKUP(INPUTS!AG88,'Soil erosion parameters'!B$23:C$36,2,FALSE)</f>
        <v>#N/A</v>
      </c>
      <c r="G26" s="386">
        <v>0.8</v>
      </c>
      <c r="H26" s="387">
        <f t="shared" si="1"/>
        <v>0</v>
      </c>
      <c r="I26" s="388">
        <f>H26*INPUTS!AG88*(1-('N balance'!C$4/365))</f>
        <v>0</v>
      </c>
    </row>
    <row r="27" spans="1:9" s="385" customFormat="1" ht="15">
      <c r="A27" s="386" t="e">
        <f>INPUTS!#REF!</f>
        <v>#REF!</v>
      </c>
      <c r="B27" s="386" t="str">
        <f>'Area Parameters'!D$4</f>
        <v>Lixisol</v>
      </c>
      <c r="C27" s="387">
        <f>0.55*('Area Parameters'!$D$2/'Area Parameters'!$D$3)-4.7</f>
        <v>105.30000000000001</v>
      </c>
      <c r="D27" s="386">
        <f>VLOOKUP('Area Parameters'!D$4,'Soil erosion parameters'!B$12:D$20,3,FALSE)</f>
        <v>0.25</v>
      </c>
      <c r="E27" s="386"/>
      <c r="F27" s="386"/>
      <c r="G27" s="386">
        <v>0.8</v>
      </c>
      <c r="H27" s="387">
        <f t="shared" si="1"/>
        <v>0</v>
      </c>
      <c r="I27" s="388">
        <f>H27*INPUTS!AG89*(1-('N balance'!C$4/365))</f>
        <v>0</v>
      </c>
    </row>
    <row r="28" spans="1:9" s="385" customFormat="1" ht="15">
      <c r="A28" s="386" t="e">
        <f>INPUTS!#REF!</f>
        <v>#REF!</v>
      </c>
      <c r="B28" s="386" t="str">
        <f>'Area Parameters'!D$4</f>
        <v>Lixisol</v>
      </c>
      <c r="C28" s="387">
        <f>0.55*('Area Parameters'!$D$2/'Area Parameters'!$D$3)-4.7</f>
        <v>105.30000000000001</v>
      </c>
      <c r="D28" s="386">
        <f>VLOOKUP('Area Parameters'!D$4,'Soil erosion parameters'!B$12:D$20,3,FALSE)</f>
        <v>0.25</v>
      </c>
      <c r="E28" s="386"/>
      <c r="F28" s="386"/>
      <c r="G28" s="386">
        <v>0.8</v>
      </c>
      <c r="H28" s="387">
        <f t="shared" si="1"/>
        <v>0</v>
      </c>
      <c r="I28" s="388">
        <f>H28*INPUTS!AG90*(1-('N balance'!C$4/365))</f>
        <v>0</v>
      </c>
    </row>
    <row r="29" spans="1:9" s="385" customFormat="1" ht="15">
      <c r="A29" s="386" t="e">
        <f>INPUTS!#REF!</f>
        <v>#REF!</v>
      </c>
      <c r="B29" s="386" t="str">
        <f>'Area Parameters'!D$4</f>
        <v>Lixisol</v>
      </c>
      <c r="C29" s="387">
        <f>0.55*('Area Parameters'!$D$2/'Area Parameters'!$D$3)-4.7</f>
        <v>105.30000000000001</v>
      </c>
      <c r="D29" s="386">
        <f>VLOOKUP('Area Parameters'!D$4,'Soil erosion parameters'!B$12:D$20,3,FALSE)</f>
        <v>0.25</v>
      </c>
      <c r="E29" s="386"/>
      <c r="F29" s="386"/>
      <c r="G29" s="386">
        <v>0.8</v>
      </c>
      <c r="H29" s="387">
        <f t="shared" si="1"/>
        <v>0</v>
      </c>
      <c r="I29" s="388">
        <f>H29*INPUTS!AG91*(1-('N balance'!C$4/365))</f>
        <v>0</v>
      </c>
    </row>
    <row r="30" spans="1:9" s="385" customFormat="1" ht="15">
      <c r="A30" s="386" t="e">
        <f>INPUTS!#REF!</f>
        <v>#REF!</v>
      </c>
      <c r="B30" s="386" t="str">
        <f>'Area Parameters'!D$4</f>
        <v>Lixisol</v>
      </c>
      <c r="C30" s="387">
        <f>0.55*('Area Parameters'!$D$2/'Area Parameters'!$D$3)-4.7</f>
        <v>105.30000000000001</v>
      </c>
      <c r="D30" s="386">
        <f>VLOOKUP('Area Parameters'!D$4,'Soil erosion parameters'!B$12:D$20,3,FALSE)</f>
        <v>0.25</v>
      </c>
      <c r="E30" s="386"/>
      <c r="F30" s="386"/>
      <c r="G30" s="386">
        <v>0.8</v>
      </c>
      <c r="H30" s="387">
        <f t="shared" si="1"/>
        <v>0</v>
      </c>
      <c r="I30" s="388">
        <f>H30*INPUTS!AB85*(1-('N balance'!C$4/365))</f>
        <v>0</v>
      </c>
    </row>
    <row r="31" spans="1:9" s="385" customFormat="1" ht="15">
      <c r="A31" s="386" t="e">
        <f>INPUTS!#REF!</f>
        <v>#REF!</v>
      </c>
      <c r="B31" s="386" t="str">
        <f>'Area Parameters'!D$4</f>
        <v>Lixisol</v>
      </c>
      <c r="C31" s="387">
        <f>0.55*('Area Parameters'!$D$2/'Area Parameters'!$D$3)-4.7</f>
        <v>105.30000000000001</v>
      </c>
      <c r="D31" s="386">
        <f>VLOOKUP('Area Parameters'!D$4,'Soil erosion parameters'!B$12:D$20,3,FALSE)</f>
        <v>0.25</v>
      </c>
      <c r="E31" s="386"/>
      <c r="F31" s="386"/>
      <c r="G31" s="386">
        <v>0.8</v>
      </c>
      <c r="H31" s="387">
        <f t="shared" si="1"/>
        <v>0</v>
      </c>
      <c r="I31" s="388">
        <f>H31*INPUTS!AB87*(1-('N balance'!C$4/365))</f>
        <v>0</v>
      </c>
    </row>
    <row r="32" spans="1:9" s="385" customFormat="1" ht="15">
      <c r="A32" s="386" t="e">
        <f>INPUTS!#REF!</f>
        <v>#REF!</v>
      </c>
      <c r="B32" s="386" t="str">
        <f>'Area Parameters'!D$4</f>
        <v>Lixisol</v>
      </c>
      <c r="C32" s="387">
        <f>0.55*('Area Parameters'!$D$2/'Area Parameters'!$D$3)-4.7</f>
        <v>105.30000000000001</v>
      </c>
      <c r="D32" s="386">
        <f>VLOOKUP('Area Parameters'!D$4,'Soil erosion parameters'!B$12:D$20,3,FALSE)</f>
        <v>0.25</v>
      </c>
      <c r="E32" s="386"/>
      <c r="F32" s="386"/>
      <c r="G32" s="386">
        <v>0.8</v>
      </c>
      <c r="H32" s="387">
        <f t="shared" si="1"/>
        <v>0</v>
      </c>
      <c r="I32" s="388">
        <f>H32*INPUTS!AB88*(1-('N balance'!C$4/365))</f>
        <v>0</v>
      </c>
    </row>
  </sheetData>
  <mergeCells count="6">
    <mergeCell ref="B2:B3"/>
    <mergeCell ref="A2:A3"/>
    <mergeCell ref="A1:XFD1"/>
    <mergeCell ref="A17:XFD17"/>
    <mergeCell ref="A18:A19"/>
    <mergeCell ref="B18:B19"/>
  </mergeCells>
  <pageMargins left="0.7" right="0.7" top="0.75" bottom="0.75" header="0.3" footer="0.3"/>
  <pageSetup paperSize="9" orientation="portrait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00B050"/>
  </sheetPr>
  <dimension ref="A1:H110"/>
  <sheetViews>
    <sheetView workbookViewId="0">
      <selection activeCell="D8" sqref="D8"/>
    </sheetView>
  </sheetViews>
  <sheetFormatPr defaultColWidth="11" defaultRowHeight="15.75"/>
  <cols>
    <col min="2" max="2" width="28.625" customWidth="1"/>
    <col min="3" max="3" width="23.5" bestFit="1" customWidth="1"/>
    <col min="4" max="4" width="12.125" bestFit="1" customWidth="1"/>
    <col min="5" max="5" width="21.625" customWidth="1"/>
    <col min="6" max="6" width="31.125" customWidth="1"/>
    <col min="7" max="7" width="39.625" customWidth="1"/>
    <col min="8" max="9" width="21.625" customWidth="1"/>
    <col min="10" max="10" width="21.375" customWidth="1"/>
    <col min="11" max="11" width="24" customWidth="1"/>
  </cols>
  <sheetData>
    <row r="1" spans="1:7">
      <c r="A1" t="s">
        <v>100</v>
      </c>
    </row>
    <row r="2" spans="1:7">
      <c r="B2" s="1" t="s">
        <v>1</v>
      </c>
    </row>
    <row r="3" spans="1:7">
      <c r="B3" s="19" t="s">
        <v>171</v>
      </c>
      <c r="C3" s="1634" t="s">
        <v>265</v>
      </c>
      <c r="D3" s="1634"/>
      <c r="E3" s="19" t="s">
        <v>266</v>
      </c>
    </row>
    <row r="4" spans="1:7" s="30" customFormat="1" ht="63">
      <c r="B4" s="1635" t="s">
        <v>257</v>
      </c>
      <c r="C4" s="33" t="s">
        <v>258</v>
      </c>
      <c r="D4" s="33" t="s">
        <v>261</v>
      </c>
      <c r="E4" s="29" t="s">
        <v>267</v>
      </c>
      <c r="F4"/>
    </row>
    <row r="5" spans="1:7" s="30" customFormat="1" ht="31.5">
      <c r="B5" s="1636"/>
      <c r="C5" s="24" t="s">
        <v>259</v>
      </c>
      <c r="D5" s="24" t="s">
        <v>262</v>
      </c>
      <c r="E5" s="31" t="s">
        <v>268</v>
      </c>
    </row>
    <row r="6" spans="1:7" s="30" customFormat="1" ht="31.5">
      <c r="B6" s="1637"/>
      <c r="C6" s="24"/>
      <c r="D6" s="24" t="s">
        <v>263</v>
      </c>
      <c r="E6" s="31" t="s">
        <v>269</v>
      </c>
    </row>
    <row r="7" spans="1:7" s="30" customFormat="1">
      <c r="B7" s="24" t="s">
        <v>142</v>
      </c>
      <c r="C7" s="24" t="s">
        <v>260</v>
      </c>
      <c r="D7" s="24" t="s">
        <v>264</v>
      </c>
      <c r="E7" s="31" t="s">
        <v>270</v>
      </c>
    </row>
    <row r="8" spans="1:7">
      <c r="B8" s="297" t="str">
        <f>'Livestock parameters'!A2</f>
        <v>Cows (improved)</v>
      </c>
      <c r="C8" s="1001">
        <f>INPUTS!D17</f>
        <v>1</v>
      </c>
      <c r="D8" s="1083">
        <f>VLOOKUP(VLOOKUP(B8,'Livestock parameters'!$A$20:$AR$41,41,FALSE),'GHG Parameters'!$A$10:$D$16,MATCH(INPUTS!$E$3,'GHG Parameters'!$A$8:$D$8,0),FALSE)</f>
        <v>46</v>
      </c>
      <c r="E8" s="43">
        <f t="shared" ref="E8:E21" si="0">C8*D8</f>
        <v>46</v>
      </c>
      <c r="G8" s="1288" t="s">
        <v>1805</v>
      </c>
    </row>
    <row r="9" spans="1:7">
      <c r="B9" s="297" t="str">
        <f>'Livestock parameters'!A3</f>
        <v>Steers/heifers (improved)</v>
      </c>
      <c r="C9" s="1001">
        <f>INPUTS!D18</f>
        <v>1</v>
      </c>
      <c r="D9" s="1083">
        <f>VLOOKUP(VLOOKUP(B9,'Livestock parameters'!$A$20:$AR$41,41,FALSE),'GHG Parameters'!$A$10:$D$16,MATCH(INPUTS!$E$3,'GHG Parameters'!$A$8:$D$8,0),FALSE)</f>
        <v>41</v>
      </c>
      <c r="E9" s="43">
        <f t="shared" si="0"/>
        <v>41</v>
      </c>
    </row>
    <row r="10" spans="1:7">
      <c r="B10" s="297">
        <f>'Livestock parameters'!A4</f>
        <v>0</v>
      </c>
      <c r="C10" s="1001">
        <f>INPUTS!D19</f>
        <v>0</v>
      </c>
      <c r="D10" s="1083" t="e">
        <f>VLOOKUP(VLOOKUP(B10,'Livestock parameters'!$A$20:$AR$41,41,FALSE),'GHG Parameters'!$A$10:$D$16,MATCH(INPUTS!$E$3,'GHG Parameters'!$A$8:$D$8,0),FALSE)</f>
        <v>#N/A</v>
      </c>
      <c r="E10" s="43" t="e">
        <f t="shared" si="0"/>
        <v>#N/A</v>
      </c>
    </row>
    <row r="11" spans="1:7">
      <c r="B11" s="297">
        <f>'Livestock parameters'!A5</f>
        <v>0</v>
      </c>
      <c r="C11" s="1001">
        <f>INPUTS!D20</f>
        <v>0</v>
      </c>
      <c r="D11" s="1083" t="e">
        <f>VLOOKUP(VLOOKUP(B11,'Livestock parameters'!$A$20:$AR$41,41,FALSE),'GHG Parameters'!$A$10:$D$16,MATCH(INPUTS!$E$3,'GHG Parameters'!$A$8:$D$8,0),FALSE)</f>
        <v>#N/A</v>
      </c>
      <c r="E11" s="43" t="e">
        <f t="shared" si="0"/>
        <v>#N/A</v>
      </c>
    </row>
    <row r="12" spans="1:7">
      <c r="B12" s="297">
        <f>'Livestock parameters'!A6</f>
        <v>0</v>
      </c>
      <c r="C12" s="1001">
        <f>INPUTS!D21</f>
        <v>0</v>
      </c>
      <c r="D12" s="1083" t="e">
        <f>VLOOKUP(VLOOKUP(B12,'Livestock parameters'!$A$20:$AR$41,41,FALSE),'GHG Parameters'!$A$10:$D$16,MATCH(INPUTS!$E$3,'GHG Parameters'!$A$8:$D$8,0),FALSE)</f>
        <v>#N/A</v>
      </c>
      <c r="E12" s="43" t="e">
        <f t="shared" si="0"/>
        <v>#N/A</v>
      </c>
    </row>
    <row r="13" spans="1:7">
      <c r="B13" s="297">
        <f>'Livestock parameters'!A7</f>
        <v>0</v>
      </c>
      <c r="C13" s="1001">
        <f>INPUTS!D22</f>
        <v>0</v>
      </c>
      <c r="D13" s="1083" t="e">
        <f>VLOOKUP(VLOOKUP(B13,'Livestock parameters'!$A$20:$AR$41,41,FALSE),'GHG Parameters'!$A$10:$D$16,MATCH(INPUTS!$E$3,'GHG Parameters'!$A$8:$D$8,0),FALSE)</f>
        <v>#N/A</v>
      </c>
      <c r="E13" s="43" t="e">
        <f t="shared" si="0"/>
        <v>#N/A</v>
      </c>
    </row>
    <row r="14" spans="1:7">
      <c r="B14" s="297">
        <f>'Livestock parameters'!A8</f>
        <v>0</v>
      </c>
      <c r="C14" s="1001">
        <f>INPUTS!D23</f>
        <v>0</v>
      </c>
      <c r="D14" s="1083" t="e">
        <f>VLOOKUP(VLOOKUP(B14,'Livestock parameters'!$A$20:$AR$41,41,FALSE),'GHG Parameters'!$A$10:$D$16,MATCH(INPUTS!$E$3,'GHG Parameters'!$A$8:$D$8,0),FALSE)</f>
        <v>#N/A</v>
      </c>
      <c r="E14" s="43" t="e">
        <f t="shared" si="0"/>
        <v>#N/A</v>
      </c>
    </row>
    <row r="15" spans="1:7">
      <c r="B15" s="297">
        <f>'Livestock parameters'!A9</f>
        <v>0</v>
      </c>
      <c r="C15" s="1001">
        <f>INPUTS!D24</f>
        <v>0</v>
      </c>
      <c r="D15" s="1083" t="e">
        <f>VLOOKUP(VLOOKUP(B15,'Livestock parameters'!$A$20:$AR$41,41,FALSE),'GHG Parameters'!$A$10:$D$16,MATCH(INPUTS!$E$3,'GHG Parameters'!$A$8:$D$8,0),FALSE)</f>
        <v>#N/A</v>
      </c>
      <c r="E15" s="43" t="e">
        <f t="shared" si="0"/>
        <v>#N/A</v>
      </c>
    </row>
    <row r="16" spans="1:7" s="1167" customFormat="1">
      <c r="B16" s="297">
        <f>'Livestock parameters'!A10</f>
        <v>0</v>
      </c>
      <c r="C16" s="1001">
        <f>INPUTS!D25</f>
        <v>0</v>
      </c>
      <c r="D16" s="1083" t="e">
        <f>VLOOKUP(VLOOKUP(B16,'Livestock parameters'!$A$20:$AR$41,41,FALSE),'GHG Parameters'!$A$10:$D$16,MATCH(INPUTS!$E$3,'GHG Parameters'!$A$8:$D$8,0),FALSE)</f>
        <v>#N/A</v>
      </c>
      <c r="E16" s="43" t="e">
        <f t="shared" si="0"/>
        <v>#N/A</v>
      </c>
    </row>
    <row r="17" spans="2:8" s="1167" customFormat="1">
      <c r="B17" s="297">
        <f>'Livestock parameters'!A11</f>
        <v>0</v>
      </c>
      <c r="C17" s="1001">
        <f>INPUTS!D26</f>
        <v>0</v>
      </c>
      <c r="D17" s="1083" t="e">
        <f>VLOOKUP(VLOOKUP(B17,'Livestock parameters'!$A$20:$AR$41,41,FALSE),'GHG Parameters'!$A$10:$D$16,MATCH(INPUTS!$E$3,'GHG Parameters'!$A$8:$D$8,0),FALSE)</f>
        <v>#N/A</v>
      </c>
      <c r="E17" s="43" t="e">
        <f t="shared" si="0"/>
        <v>#N/A</v>
      </c>
    </row>
    <row r="18" spans="2:8">
      <c r="B18" s="297">
        <f>'Livestock parameters'!A12</f>
        <v>0</v>
      </c>
      <c r="C18" s="1001">
        <f>INPUTS!D27</f>
        <v>0</v>
      </c>
      <c r="D18" s="1083" t="e">
        <f>VLOOKUP(VLOOKUP(B18,'Livestock parameters'!$A$20:$AR$41,41,FALSE),'GHG Parameters'!$A$10:$D$16,MATCH(INPUTS!$E$3,'GHG Parameters'!$A$8:$D$8,0),FALSE)</f>
        <v>#N/A</v>
      </c>
      <c r="E18" s="43" t="e">
        <f t="shared" si="0"/>
        <v>#N/A</v>
      </c>
    </row>
    <row r="19" spans="2:8" s="1105" customFormat="1">
      <c r="B19" s="297">
        <f>'Livestock parameters'!A13</f>
        <v>0</v>
      </c>
      <c r="C19" s="1001">
        <f>INPUTS!D28</f>
        <v>0</v>
      </c>
      <c r="D19" s="1083" t="e">
        <f>VLOOKUP(VLOOKUP(B19,'Livestock parameters'!$A$20:$AR$41,41,FALSE),'GHG Parameters'!$A$10:$D$16,MATCH(INPUTS!$E$3,'GHG Parameters'!$A$8:$D$8,0),FALSE)</f>
        <v>#N/A</v>
      </c>
      <c r="E19" s="43" t="e">
        <f t="shared" si="0"/>
        <v>#N/A</v>
      </c>
    </row>
    <row r="20" spans="2:8" s="1105" customFormat="1">
      <c r="B20" s="297">
        <f>'Livestock parameters'!A14</f>
        <v>0</v>
      </c>
      <c r="C20" s="1001">
        <f>INPUTS!D29</f>
        <v>0</v>
      </c>
      <c r="D20" s="1083" t="e">
        <f>VLOOKUP(VLOOKUP(B20,'Livestock parameters'!$A$20:$AR$41,41,FALSE),'GHG Parameters'!$A$10:$D$16,MATCH(INPUTS!$E$3,'GHG Parameters'!$A$8:$D$8,0),FALSE)</f>
        <v>#N/A</v>
      </c>
      <c r="E20" s="43" t="e">
        <f t="shared" si="0"/>
        <v>#N/A</v>
      </c>
    </row>
    <row r="21" spans="2:8" s="1084" customFormat="1">
      <c r="B21" s="297">
        <f>'Livestock parameters'!A15</f>
        <v>0</v>
      </c>
      <c r="C21" s="1001">
        <f>INPUTS!D30</f>
        <v>0</v>
      </c>
      <c r="D21" s="1083" t="e">
        <f>VLOOKUP(VLOOKUP(B21,'Livestock parameters'!$A$20:$AR$41,41,FALSE),'GHG Parameters'!$A$10:$D$16,MATCH(INPUTS!$E$3,'GHG Parameters'!$A$8:$D$8,0),FALSE)</f>
        <v>#N/A</v>
      </c>
      <c r="E21" s="43" t="e">
        <f t="shared" si="0"/>
        <v>#N/A</v>
      </c>
    </row>
    <row r="22" spans="2:8">
      <c r="B22" s="32"/>
      <c r="C22" s="32"/>
      <c r="D22" s="32" t="s">
        <v>2</v>
      </c>
      <c r="E22" s="79">
        <f>SUMIF(E8:E21,"&lt;&gt;#N/A")</f>
        <v>87</v>
      </c>
    </row>
    <row r="24" spans="2:8">
      <c r="B24" s="1" t="s">
        <v>89</v>
      </c>
    </row>
    <row r="26" spans="2:8">
      <c r="B26" s="23" t="s">
        <v>171</v>
      </c>
      <c r="C26" s="23"/>
      <c r="D26" s="23"/>
      <c r="E26" s="23" t="s">
        <v>276</v>
      </c>
      <c r="F26" s="23"/>
    </row>
    <row r="27" spans="2:8" ht="47.25">
      <c r="B27" s="1628" t="s">
        <v>257</v>
      </c>
      <c r="C27" s="27" t="s">
        <v>374</v>
      </c>
      <c r="D27" s="33" t="s">
        <v>258</v>
      </c>
      <c r="E27" s="113" t="s">
        <v>279</v>
      </c>
      <c r="F27" s="29" t="s">
        <v>1293</v>
      </c>
    </row>
    <row r="28" spans="2:8">
      <c r="B28" s="1628"/>
      <c r="C28" s="27" t="s">
        <v>275</v>
      </c>
      <c r="D28" s="24" t="s">
        <v>259</v>
      </c>
      <c r="E28" s="24" t="s">
        <v>268</v>
      </c>
      <c r="F28" s="31" t="s">
        <v>268</v>
      </c>
    </row>
    <row r="29" spans="2:8" ht="31.5">
      <c r="B29" s="1628"/>
      <c r="C29" s="27"/>
      <c r="D29" s="24"/>
      <c r="E29" s="24" t="s">
        <v>277</v>
      </c>
      <c r="F29" s="31" t="s">
        <v>269</v>
      </c>
    </row>
    <row r="30" spans="2:8">
      <c r="B30" s="23" t="s">
        <v>142</v>
      </c>
      <c r="C30" s="35" t="s">
        <v>88</v>
      </c>
      <c r="D30" s="34" t="s">
        <v>260</v>
      </c>
      <c r="E30" s="34" t="s">
        <v>278</v>
      </c>
      <c r="F30" s="44" t="s">
        <v>270</v>
      </c>
    </row>
    <row r="31" spans="2:8">
      <c r="B31" s="297" t="str">
        <f t="shared" ref="B31:B38" si="1">B8</f>
        <v>Cows (improved)</v>
      </c>
      <c r="C31" s="559">
        <f>Feed!P143/365</f>
        <v>249.30285891123202</v>
      </c>
      <c r="D31" s="121">
        <f>INPUTS!D17</f>
        <v>1</v>
      </c>
      <c r="E31" s="68">
        <f>((C31*(VLOOKUP(VLOOKUP(B31,'Livestock parameters'!$A$20:$AR$37,42,FALSE),'GHG Parameters'!$A$24:$B$29,2,FALSE)/100)*365)/55.65)/D31</f>
        <v>106.28410292307242</v>
      </c>
      <c r="F31" s="69">
        <f>IF(D31&lt;&gt;0,E31*D31,0)</f>
        <v>106.28410292307242</v>
      </c>
      <c r="H31" s="72"/>
    </row>
    <row r="32" spans="2:8">
      <c r="B32" s="297" t="str">
        <f t="shared" si="1"/>
        <v>Steers/heifers (improved)</v>
      </c>
      <c r="C32" s="559">
        <f>Feed!P144/365</f>
        <v>146.41071594755414</v>
      </c>
      <c r="D32" s="121">
        <f>INPUTS!D18</f>
        <v>1</v>
      </c>
      <c r="E32" s="68">
        <f>((C32*(VLOOKUP(VLOOKUP(B32,'Livestock parameters'!$A$20:$AR$37,42,FALSE),'GHG Parameters'!$A$24:$B$29,2,FALSE)/100)*365)/55.65)/D32</f>
        <v>62.418584651495458</v>
      </c>
      <c r="F32" s="69">
        <f t="shared" ref="F32:F44" si="2">IF(D32&lt;&gt;0,E32*D32,0)</f>
        <v>62.418584651495458</v>
      </c>
    </row>
    <row r="33" spans="2:7">
      <c r="B33" s="297">
        <f t="shared" si="1"/>
        <v>0</v>
      </c>
      <c r="C33" s="559">
        <f>Feed!P145/365</f>
        <v>0</v>
      </c>
      <c r="D33" s="121">
        <f>INPUTS!D19</f>
        <v>0</v>
      </c>
      <c r="E33" s="68" t="e">
        <f>((C33*(VLOOKUP(VLOOKUP(B33,'Livestock parameters'!$A$20:$AR$37,42,FALSE),'GHG Parameters'!$A$24:$B$29,2,FALSE)/100)*365)/55.65)/D33</f>
        <v>#N/A</v>
      </c>
      <c r="F33" s="69">
        <f t="shared" si="2"/>
        <v>0</v>
      </c>
    </row>
    <row r="34" spans="2:7">
      <c r="B34" s="297">
        <f t="shared" si="1"/>
        <v>0</v>
      </c>
      <c r="C34" s="559">
        <f>Feed!P146/365</f>
        <v>0</v>
      </c>
      <c r="D34" s="121">
        <f>INPUTS!D20</f>
        <v>0</v>
      </c>
      <c r="E34" s="68" t="e">
        <f>((C34*(VLOOKUP(VLOOKUP(B34,'Livestock parameters'!$A$20:$AR$37,42,FALSE),'GHG Parameters'!$A$24:$B$29,2,FALSE)/100)*365)/55.65)/D34</f>
        <v>#N/A</v>
      </c>
      <c r="F34" s="69">
        <f t="shared" si="2"/>
        <v>0</v>
      </c>
    </row>
    <row r="35" spans="2:7">
      <c r="B35" s="297">
        <f t="shared" si="1"/>
        <v>0</v>
      </c>
      <c r="C35" s="559">
        <f>Feed!P147/365</f>
        <v>0</v>
      </c>
      <c r="D35" s="121">
        <f>INPUTS!D21</f>
        <v>0</v>
      </c>
      <c r="E35" s="68" t="e">
        <f>((C35*(VLOOKUP(VLOOKUP(B35,'Livestock parameters'!$A$20:$AR$37,42,FALSE),'GHG Parameters'!$A$24:$B$29,2,FALSE)/100)*365)/55.65)/D35</f>
        <v>#N/A</v>
      </c>
      <c r="F35" s="69">
        <f t="shared" si="2"/>
        <v>0</v>
      </c>
    </row>
    <row r="36" spans="2:7" ht="17.45" customHeight="1">
      <c r="B36" s="297">
        <f t="shared" si="1"/>
        <v>0</v>
      </c>
      <c r="C36" s="559">
        <f>Feed!P148/365</f>
        <v>0</v>
      </c>
      <c r="D36" s="121">
        <f>INPUTS!D22</f>
        <v>0</v>
      </c>
      <c r="E36" s="68" t="e">
        <f>((C36*(VLOOKUP(VLOOKUP(B36,'Livestock parameters'!$A$20:$AR$37,42,FALSE),'GHG Parameters'!$A$24:$B$29,2,FALSE)/100)*365)/55.65)/D36</f>
        <v>#N/A</v>
      </c>
      <c r="F36" s="69">
        <f t="shared" si="2"/>
        <v>0</v>
      </c>
    </row>
    <row r="37" spans="2:7">
      <c r="B37" s="297">
        <f t="shared" si="1"/>
        <v>0</v>
      </c>
      <c r="C37" s="559">
        <f>Feed!P149/365</f>
        <v>0</v>
      </c>
      <c r="D37" s="121">
        <f>INPUTS!D23</f>
        <v>0</v>
      </c>
      <c r="E37" s="68" t="e">
        <f>((C37*(VLOOKUP(VLOOKUP(B37,'Livestock parameters'!$A$20:$AR$37,42,FALSE),'GHG Parameters'!$A$24:$B$29,2,FALSE)/100)*365)/55.65)/D37</f>
        <v>#N/A</v>
      </c>
      <c r="F37" s="69">
        <f t="shared" si="2"/>
        <v>0</v>
      </c>
    </row>
    <row r="38" spans="2:7">
      <c r="B38" s="297">
        <f t="shared" si="1"/>
        <v>0</v>
      </c>
      <c r="C38" s="559">
        <f>Feed!P150/365</f>
        <v>0</v>
      </c>
      <c r="D38" s="1082">
        <f>INPUTS!D24</f>
        <v>0</v>
      </c>
      <c r="E38" s="68" t="e">
        <f>((C38*(VLOOKUP(VLOOKUP(B38,'Livestock parameters'!$A$20:$AR$37,42,FALSE),'GHG Parameters'!$A$24:$B$29,2,FALSE)/100)*365)/55.65)/D38</f>
        <v>#N/A</v>
      </c>
      <c r="F38" s="69">
        <f t="shared" si="2"/>
        <v>0</v>
      </c>
      <c r="G38" s="39"/>
    </row>
    <row r="39" spans="2:7" s="1167" customFormat="1">
      <c r="B39" s="297">
        <f t="shared" ref="B39:B40" si="3">B16</f>
        <v>0</v>
      </c>
      <c r="C39" s="559">
        <f>Feed!P151/365</f>
        <v>0</v>
      </c>
      <c r="D39" s="1082">
        <f>INPUTS!D25</f>
        <v>0</v>
      </c>
      <c r="E39" s="68" t="e">
        <f>((C39*(VLOOKUP(VLOOKUP(B39,'Livestock parameters'!$A$20:$AR$37,42,FALSE),'GHG Parameters'!$A$24:$B$29,2,FALSE)/100)*365)/55.65)/D39</f>
        <v>#N/A</v>
      </c>
      <c r="F39" s="69">
        <f t="shared" si="2"/>
        <v>0</v>
      </c>
    </row>
    <row r="40" spans="2:7" s="1167" customFormat="1">
      <c r="B40" s="297">
        <f t="shared" si="3"/>
        <v>0</v>
      </c>
      <c r="C40" s="559">
        <f>Feed!P152/365</f>
        <v>0</v>
      </c>
      <c r="D40" s="1082">
        <f>INPUTS!D26</f>
        <v>0</v>
      </c>
      <c r="E40" s="68" t="e">
        <f>((C40*(VLOOKUP(VLOOKUP(B40,'Livestock parameters'!$A$20:$AR$37,42,FALSE),'GHG Parameters'!$A$24:$B$29,2,FALSE)/100)*365)/55.65)/D40</f>
        <v>#N/A</v>
      </c>
      <c r="F40" s="69">
        <f t="shared" si="2"/>
        <v>0</v>
      </c>
    </row>
    <row r="41" spans="2:7">
      <c r="B41" s="297">
        <f t="shared" ref="B41" si="4">B18</f>
        <v>0</v>
      </c>
      <c r="C41" s="559">
        <f>Feed!P153/365</f>
        <v>0</v>
      </c>
      <c r="D41" s="1082">
        <f>INPUTS!D27</f>
        <v>0</v>
      </c>
      <c r="E41" s="68" t="e">
        <f>((C41*(VLOOKUP(VLOOKUP(B41,'Livestock parameters'!$A$20:$AR$37,42,FALSE),'GHG Parameters'!$A$24:$B$29,2,FALSE)/100)*365)/55.65)/D41</f>
        <v>#N/A</v>
      </c>
      <c r="F41" s="69">
        <f t="shared" si="2"/>
        <v>0</v>
      </c>
    </row>
    <row r="42" spans="2:7" s="1105" customFormat="1">
      <c r="B42" s="297">
        <f>B19</f>
        <v>0</v>
      </c>
      <c r="C42" s="559">
        <f>Feed!P154/365</f>
        <v>0</v>
      </c>
      <c r="D42" s="1082">
        <f>INPUTS!D28</f>
        <v>0</v>
      </c>
      <c r="E42" s="68" t="e">
        <f>((C42*(VLOOKUP(VLOOKUP(B42,'Livestock parameters'!$A$20:$AR$37,42,FALSE),'GHG Parameters'!$A$24:$B$29,2,FALSE)/100)*365)/55.65)/D42</f>
        <v>#N/A</v>
      </c>
      <c r="F42" s="69">
        <f t="shared" si="2"/>
        <v>0</v>
      </c>
    </row>
    <row r="43" spans="2:7" s="1105" customFormat="1">
      <c r="B43" s="297">
        <f>B20</f>
        <v>0</v>
      </c>
      <c r="C43" s="559">
        <f>Feed!P155/365</f>
        <v>0</v>
      </c>
      <c r="D43" s="1082">
        <f>INPUTS!D29</f>
        <v>0</v>
      </c>
      <c r="E43" s="68" t="e">
        <f>((C43*(VLOOKUP(VLOOKUP(B43,'Livestock parameters'!$A$20:$AR$37,42,FALSE),'GHG Parameters'!$A$24:$B$29,2,FALSE)/100)*365)/55.65)/D43</f>
        <v>#N/A</v>
      </c>
      <c r="F43" s="69">
        <f t="shared" si="2"/>
        <v>0</v>
      </c>
    </row>
    <row r="44" spans="2:7" s="1096" customFormat="1">
      <c r="B44" s="297">
        <f>B21</f>
        <v>0</v>
      </c>
      <c r="C44" s="559">
        <f>Feed!P156/365</f>
        <v>0</v>
      </c>
      <c r="D44" s="1082">
        <f>INPUTS!D30</f>
        <v>0</v>
      </c>
      <c r="E44" s="68" t="e">
        <f>((C44*(VLOOKUP(VLOOKUP(B44,'Livestock parameters'!$A$20:$AR$37,42,FALSE),'GHG Parameters'!$A$24:$B$29,2,FALSE)/100)*365)/55.65)/D44</f>
        <v>#N/A</v>
      </c>
      <c r="F44" s="69">
        <f t="shared" si="2"/>
        <v>0</v>
      </c>
    </row>
    <row r="45" spans="2:7">
      <c r="B45" s="19"/>
      <c r="C45" s="19"/>
      <c r="D45" s="19"/>
      <c r="E45" s="71" t="s">
        <v>2</v>
      </c>
      <c r="F45" s="79">
        <f>SUMIF(F31:F44,"&lt;&gt;#N/A")</f>
        <v>168.70268757456788</v>
      </c>
    </row>
    <row r="49" spans="2:5">
      <c r="B49" s="37"/>
    </row>
    <row r="50" spans="2:5">
      <c r="B50" s="37"/>
    </row>
    <row r="53" spans="2:5">
      <c r="B53" s="12"/>
      <c r="C53" s="1633"/>
      <c r="D53" s="1633"/>
      <c r="E53" s="1633"/>
    </row>
    <row r="54" spans="2:5">
      <c r="B54" s="2"/>
      <c r="C54" s="1008"/>
      <c r="D54" s="154"/>
      <c r="E54" s="51"/>
    </row>
    <row r="55" spans="2:5">
      <c r="B55" s="2"/>
      <c r="C55" s="30"/>
      <c r="D55" s="766"/>
      <c r="E55" s="51"/>
    </row>
    <row r="56" spans="2:5">
      <c r="B56" s="2"/>
      <c r="C56" s="30"/>
      <c r="D56" s="51"/>
      <c r="E56" s="51"/>
    </row>
    <row r="57" spans="2:5">
      <c r="B57" s="12"/>
      <c r="C57" s="30"/>
      <c r="D57" s="12"/>
      <c r="E57" s="51"/>
    </row>
    <row r="58" spans="2:5">
      <c r="B58" s="154"/>
      <c r="C58" s="1009"/>
      <c r="D58" s="63"/>
      <c r="E58" s="12"/>
    </row>
    <row r="59" spans="2:5">
      <c r="B59" s="154"/>
      <c r="C59" s="1009"/>
      <c r="D59" s="63"/>
      <c r="E59" s="12"/>
    </row>
    <row r="60" spans="2:5">
      <c r="B60" s="154"/>
      <c r="C60" s="1009"/>
      <c r="D60" s="63"/>
      <c r="E60" s="12"/>
    </row>
    <row r="61" spans="2:5">
      <c r="B61" s="154"/>
      <c r="C61" s="1009"/>
      <c r="D61" s="63"/>
      <c r="E61" s="12"/>
    </row>
    <row r="62" spans="2:5">
      <c r="B62" s="154"/>
      <c r="C62" s="1009"/>
      <c r="D62" s="63"/>
      <c r="E62" s="12"/>
    </row>
    <row r="63" spans="2:5">
      <c r="B63" s="154"/>
      <c r="C63" s="1009"/>
      <c r="D63" s="63"/>
      <c r="E63" s="12"/>
    </row>
    <row r="64" spans="2:5">
      <c r="B64" s="154"/>
      <c r="C64" s="1009"/>
      <c r="D64" s="63"/>
      <c r="E64" s="12"/>
    </row>
    <row r="65" spans="2:5">
      <c r="B65" s="154"/>
      <c r="C65" s="1009"/>
      <c r="D65" s="63"/>
      <c r="E65" s="12"/>
    </row>
    <row r="66" spans="2:5">
      <c r="B66" s="154"/>
      <c r="C66" s="1009"/>
      <c r="D66" s="63"/>
      <c r="E66" s="12"/>
    </row>
    <row r="67" spans="2:5">
      <c r="B67" s="1632"/>
      <c r="C67" s="1632"/>
      <c r="D67" s="1632"/>
      <c r="E67" s="211"/>
    </row>
    <row r="110" spans="2:4">
      <c r="B110" s="1"/>
      <c r="C110" s="1"/>
      <c r="D110" s="1"/>
    </row>
  </sheetData>
  <mergeCells count="5">
    <mergeCell ref="B67:D67"/>
    <mergeCell ref="C53:E53"/>
    <mergeCell ref="C3:D3"/>
    <mergeCell ref="B4:B6"/>
    <mergeCell ref="B27:B29"/>
  </mergeCells>
  <pageMargins left="0.75" right="0.75" top="1" bottom="1" header="0.5" footer="0.5"/>
  <pageSetup paperSize="9" orientation="portrait" horizontalDpi="4294967292" verticalDpi="429496729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00B050"/>
  </sheetPr>
  <dimension ref="A1:S223"/>
  <sheetViews>
    <sheetView topLeftCell="A37" zoomScale="70" zoomScaleNormal="70" workbookViewId="0">
      <selection activeCell="D9" sqref="D9"/>
    </sheetView>
  </sheetViews>
  <sheetFormatPr defaultColWidth="11" defaultRowHeight="15.75"/>
  <cols>
    <col min="1" max="1" width="27.875" customWidth="1"/>
    <col min="2" max="2" width="29.75" customWidth="1"/>
    <col min="3" max="3" width="26.5" customWidth="1"/>
    <col min="4" max="4" width="24" customWidth="1"/>
    <col min="5" max="5" width="37.875" customWidth="1"/>
    <col min="6" max="6" width="33.625" customWidth="1"/>
    <col min="7" max="7" width="22.125" customWidth="1"/>
    <col min="8" max="8" width="32.125" customWidth="1"/>
    <col min="9" max="9" width="37.125" customWidth="1"/>
    <col min="10" max="10" width="28.625" customWidth="1"/>
    <col min="11" max="11" width="26.125" customWidth="1"/>
    <col min="12" max="12" width="20.875" customWidth="1"/>
    <col min="13" max="13" width="20.5" customWidth="1"/>
    <col min="14" max="14" width="39.625" customWidth="1"/>
    <col min="15" max="15" width="26" customWidth="1"/>
    <col min="16" max="16" width="25" customWidth="1"/>
  </cols>
  <sheetData>
    <row r="1" spans="1:5">
      <c r="A1" t="s">
        <v>114</v>
      </c>
    </row>
    <row r="3" spans="1:5">
      <c r="A3" s="1" t="s">
        <v>113</v>
      </c>
    </row>
    <row r="4" spans="1:5">
      <c r="B4" s="19" t="s">
        <v>171</v>
      </c>
      <c r="C4" s="1657" t="s">
        <v>274</v>
      </c>
      <c r="D4" s="1658"/>
      <c r="E4" s="1659"/>
    </row>
    <row r="5" spans="1:5" ht="31.5">
      <c r="B5" s="1635" t="s">
        <v>257</v>
      </c>
      <c r="C5" s="33" t="s">
        <v>258</v>
      </c>
      <c r="D5" s="33" t="s">
        <v>1801</v>
      </c>
      <c r="E5" s="29" t="s">
        <v>659</v>
      </c>
    </row>
    <row r="6" spans="1:5">
      <c r="B6" s="1636"/>
      <c r="C6" s="24" t="s">
        <v>259</v>
      </c>
      <c r="D6" s="24" t="s">
        <v>262</v>
      </c>
      <c r="E6" s="31" t="s">
        <v>268</v>
      </c>
    </row>
    <row r="7" spans="1:5">
      <c r="B7" s="1637"/>
      <c r="C7" s="24"/>
      <c r="D7" s="24" t="s">
        <v>273</v>
      </c>
      <c r="E7" s="31" t="s">
        <v>271</v>
      </c>
    </row>
    <row r="8" spans="1:5">
      <c r="B8" s="24" t="s">
        <v>142</v>
      </c>
      <c r="C8" s="24" t="s">
        <v>260</v>
      </c>
      <c r="D8" s="24" t="s">
        <v>264</v>
      </c>
      <c r="E8" s="31" t="s">
        <v>272</v>
      </c>
    </row>
    <row r="9" spans="1:5">
      <c r="B9" s="113" t="str">
        <f>INPUTS!C17</f>
        <v>Cows (improved)</v>
      </c>
      <c r="C9" s="24">
        <f>INPUTS!D17</f>
        <v>1</v>
      </c>
      <c r="D9" s="82">
        <f>VLOOKUP(VLOOKUP(B9,'Livestock parameters'!$A$20:$AR$37,43,FALSE),'GHG Parameters'!$A$32:$D$37,MATCH(INPUTS!$E$3,'GHG Parameters'!$A$32:$D$32,0),FALSE)</f>
        <v>1</v>
      </c>
      <c r="E9" s="31">
        <f t="shared" ref="E9:E16" si="0">C9*D9</f>
        <v>1</v>
      </c>
    </row>
    <row r="10" spans="1:5">
      <c r="B10" s="113" t="str">
        <f>INPUTS!C18</f>
        <v>Steers/heifers (improved)</v>
      </c>
      <c r="C10" s="24">
        <f>INPUTS!D18</f>
        <v>1</v>
      </c>
      <c r="D10" s="82">
        <f>VLOOKUP(VLOOKUP(B10,'Livestock parameters'!$A$20:$AR$37,43,FALSE),'GHG Parameters'!$A$32:$D$37,MATCH(INPUTS!$E$3,'GHG Parameters'!$A$32:$D$32,0),FALSE)</f>
        <v>1</v>
      </c>
      <c r="E10" s="31">
        <f t="shared" si="0"/>
        <v>1</v>
      </c>
    </row>
    <row r="11" spans="1:5">
      <c r="B11" s="113">
        <f>INPUTS!C19</f>
        <v>0</v>
      </c>
      <c r="C11" s="24">
        <f>INPUTS!D19</f>
        <v>0</v>
      </c>
      <c r="D11" s="82" t="e">
        <f>VLOOKUP(VLOOKUP(B11,'Livestock parameters'!$A$20:$AR$37,43,FALSE),'GHG Parameters'!$A$32:$D$37,MATCH(INPUTS!$E$3,'GHG Parameters'!$A$32:$D$32,0),FALSE)</f>
        <v>#N/A</v>
      </c>
      <c r="E11" s="31" t="e">
        <f t="shared" si="0"/>
        <v>#N/A</v>
      </c>
    </row>
    <row r="12" spans="1:5">
      <c r="B12" s="113">
        <f>INPUTS!C20</f>
        <v>0</v>
      </c>
      <c r="C12" s="24">
        <f>INPUTS!D20</f>
        <v>0</v>
      </c>
      <c r="D12" s="82" t="e">
        <f>VLOOKUP(VLOOKUP(B12,'Livestock parameters'!$A$20:$AR$37,43,FALSE),'GHG Parameters'!$A$32:$D$37,MATCH(INPUTS!$E$3,'GHG Parameters'!$A$32:$D$32,0),FALSE)</f>
        <v>#N/A</v>
      </c>
      <c r="E12" s="31" t="e">
        <f t="shared" si="0"/>
        <v>#N/A</v>
      </c>
    </row>
    <row r="13" spans="1:5">
      <c r="B13" s="113">
        <f>INPUTS!C21</f>
        <v>0</v>
      </c>
      <c r="C13" s="24">
        <f>INPUTS!D21</f>
        <v>0</v>
      </c>
      <c r="D13" s="82" t="e">
        <f>VLOOKUP(VLOOKUP(B13,'Livestock parameters'!$A$20:$AR$37,43,FALSE),'GHG Parameters'!$A$32:$D$37,MATCH(INPUTS!$E$3,'GHG Parameters'!$A$32:$D$32,0),FALSE)</f>
        <v>#N/A</v>
      </c>
      <c r="E13" s="31" t="e">
        <f t="shared" si="0"/>
        <v>#N/A</v>
      </c>
    </row>
    <row r="14" spans="1:5" ht="17.25" customHeight="1">
      <c r="B14" s="113">
        <f>INPUTS!C22</f>
        <v>0</v>
      </c>
      <c r="C14" s="24">
        <f>INPUTS!D22</f>
        <v>0</v>
      </c>
      <c r="D14" s="82" t="e">
        <f>VLOOKUP(VLOOKUP(B14,'Livestock parameters'!$A$20:$AR$37,43,FALSE),'GHG Parameters'!$A$32:$D$37,MATCH(INPUTS!$E$3,'GHG Parameters'!$A$32:$D$32,0),FALSE)</f>
        <v>#N/A</v>
      </c>
      <c r="E14" s="31" t="e">
        <f t="shared" si="0"/>
        <v>#N/A</v>
      </c>
    </row>
    <row r="15" spans="1:5">
      <c r="B15" s="113">
        <f>INPUTS!C23</f>
        <v>0</v>
      </c>
      <c r="C15" s="24">
        <f>INPUTS!D23</f>
        <v>0</v>
      </c>
      <c r="D15" s="82" t="e">
        <f>VLOOKUP(VLOOKUP(B15,'Livestock parameters'!$A$20:$AR$37,43,FALSE),'GHG Parameters'!$A$32:$D$37,MATCH(INPUTS!$E$3,'GHG Parameters'!$A$32:$D$32,0),FALSE)</f>
        <v>#N/A</v>
      </c>
      <c r="E15" s="31" t="e">
        <f t="shared" si="0"/>
        <v>#N/A</v>
      </c>
    </row>
    <row r="16" spans="1:5">
      <c r="B16" s="113">
        <f>INPUTS!C24</f>
        <v>0</v>
      </c>
      <c r="C16" s="24">
        <f>INPUTS!D24</f>
        <v>0</v>
      </c>
      <c r="D16" s="82" t="e">
        <f>VLOOKUP(VLOOKUP(B16,'Livestock parameters'!$A$20:$AR$37,43,FALSE),'GHG Parameters'!$A$32:$D$37,MATCH(INPUTS!$E$3,'GHG Parameters'!$A$32:$D$32,0),FALSE)</f>
        <v>#N/A</v>
      </c>
      <c r="E16" s="31" t="e">
        <f t="shared" si="0"/>
        <v>#N/A</v>
      </c>
    </row>
    <row r="17" spans="2:16" s="1096" customFormat="1">
      <c r="B17" s="1095">
        <f>INPUTS!C25</f>
        <v>0</v>
      </c>
      <c r="C17" s="1094">
        <f>INPUTS!D25</f>
        <v>0</v>
      </c>
      <c r="D17" s="82" t="e">
        <f>VLOOKUP(VLOOKUP(B17,'Livestock parameters'!$A$20:$AR$37,43,FALSE),'GHG Parameters'!$A$32:$D$37,MATCH(INPUTS!$E$3,'GHG Parameters'!$A$32:$D$32,0),FALSE)</f>
        <v>#N/A</v>
      </c>
      <c r="E17" s="1097" t="e">
        <f t="shared" ref="E17:E22" si="1">C17*D17</f>
        <v>#N/A</v>
      </c>
    </row>
    <row r="18" spans="2:16" s="1167" customFormat="1">
      <c r="B18" s="1200">
        <f>INPUTS!C26</f>
        <v>0</v>
      </c>
      <c r="C18" s="1199">
        <f>INPUTS!D26</f>
        <v>0</v>
      </c>
      <c r="D18" s="82" t="e">
        <f>VLOOKUP(VLOOKUP(B18,'Livestock parameters'!$A$20:$AR$37,43,FALSE),'GHG Parameters'!$A$32:$D$37,MATCH(INPUTS!$E$3,'GHG Parameters'!$A$32:$D$32,0),FALSE)</f>
        <v>#N/A</v>
      </c>
      <c r="E18" s="1168" t="e">
        <f t="shared" ref="E18:E19" si="2">C18*D18</f>
        <v>#N/A</v>
      </c>
    </row>
    <row r="19" spans="2:16" s="1167" customFormat="1">
      <c r="B19" s="1200">
        <f>INPUTS!C27</f>
        <v>0</v>
      </c>
      <c r="C19" s="1199">
        <f>INPUTS!D27</f>
        <v>0</v>
      </c>
      <c r="D19" s="82" t="e">
        <f>VLOOKUP(VLOOKUP(B19,'Livestock parameters'!$A$20:$AR$37,43,FALSE),'GHG Parameters'!$A$32:$D$37,MATCH(INPUTS!$E$3,'GHG Parameters'!$A$32:$D$32,0),FALSE)</f>
        <v>#N/A</v>
      </c>
      <c r="E19" s="1168" t="e">
        <f t="shared" si="2"/>
        <v>#N/A</v>
      </c>
    </row>
    <row r="20" spans="2:16" s="1105" customFormat="1" ht="15.75" customHeight="1">
      <c r="B20" s="1200">
        <f>INPUTS!C28</f>
        <v>0</v>
      </c>
      <c r="C20" s="1199">
        <f>INPUTS!D28</f>
        <v>0</v>
      </c>
      <c r="D20" s="82" t="e">
        <f>VLOOKUP(VLOOKUP(B20,'Livestock parameters'!$A$20:$AR$37,43,FALSE),'GHG Parameters'!$A$32:$D$37,MATCH(INPUTS!$E$3,'GHG Parameters'!$A$32:$D$32,0),FALSE)</f>
        <v>#N/A</v>
      </c>
      <c r="E20" s="1106" t="e">
        <f t="shared" si="1"/>
        <v>#N/A</v>
      </c>
    </row>
    <row r="21" spans="2:16" s="1105" customFormat="1">
      <c r="B21" s="1200">
        <f>INPUTS!C29</f>
        <v>0</v>
      </c>
      <c r="C21" s="1199">
        <f>INPUTS!D29</f>
        <v>0</v>
      </c>
      <c r="D21" s="82" t="e">
        <f>VLOOKUP(VLOOKUP(B21,'Livestock parameters'!$A$20:$AR$37,43,FALSE),'GHG Parameters'!$A$32:$D$37,MATCH(INPUTS!$E$3,'GHG Parameters'!$A$32:$D$32,0),FALSE)</f>
        <v>#N/A</v>
      </c>
      <c r="E21" s="1106" t="e">
        <f t="shared" si="1"/>
        <v>#N/A</v>
      </c>
    </row>
    <row r="22" spans="2:16">
      <c r="B22" s="1200">
        <f>INPUTS!C30</f>
        <v>0</v>
      </c>
      <c r="C22" s="1199">
        <f>INPUTS!D30</f>
        <v>0</v>
      </c>
      <c r="D22" s="82" t="e">
        <f>VLOOKUP(VLOOKUP(B22,'Livestock parameters'!$A$20:$AR$37,43,FALSE),'GHG Parameters'!$A$32:$D$37,MATCH(INPUTS!$E$3,'GHG Parameters'!$A$32:$D$32,0),FALSE)</f>
        <v>#N/A</v>
      </c>
      <c r="E22" s="31" t="e">
        <f t="shared" si="1"/>
        <v>#N/A</v>
      </c>
    </row>
    <row r="23" spans="2:16">
      <c r="B23" s="26"/>
      <c r="C23" s="26"/>
      <c r="D23" s="26" t="s">
        <v>2</v>
      </c>
      <c r="E23" s="31">
        <f>SUMIF(E9:E22,"&lt;&gt;#N/A")</f>
        <v>2</v>
      </c>
    </row>
    <row r="25" spans="2:16">
      <c r="B25" s="1" t="s">
        <v>605</v>
      </c>
    </row>
    <row r="26" spans="2:16" s="10" customFormat="1">
      <c r="B26" s="26" t="s">
        <v>253</v>
      </c>
      <c r="C26" s="26"/>
      <c r="D26" s="26"/>
      <c r="E26" s="26"/>
      <c r="F26" s="26"/>
      <c r="G26" s="26" t="s">
        <v>364</v>
      </c>
      <c r="H26" s="26"/>
      <c r="I26" s="26"/>
      <c r="J26" s="26"/>
      <c r="K26" s="26"/>
      <c r="L26" s="26"/>
      <c r="M26" s="26"/>
      <c r="N26" s="26"/>
      <c r="O26" s="26" t="s">
        <v>383</v>
      </c>
      <c r="P26" s="46"/>
    </row>
    <row r="27" spans="2:16" s="10" customFormat="1" ht="47.25">
      <c r="B27" s="1627" t="s">
        <v>257</v>
      </c>
      <c r="C27" s="24" t="s">
        <v>365</v>
      </c>
      <c r="D27" s="24" t="s">
        <v>366</v>
      </c>
      <c r="E27" s="24" t="s">
        <v>367</v>
      </c>
      <c r="F27" s="24" t="s">
        <v>372</v>
      </c>
      <c r="G27" s="31" t="s">
        <v>371</v>
      </c>
      <c r="H27" s="115" t="s">
        <v>380</v>
      </c>
      <c r="I27" s="1546" t="s">
        <v>658</v>
      </c>
      <c r="J27" s="1547"/>
      <c r="K27" s="1548"/>
      <c r="L27" s="1546" t="s">
        <v>389</v>
      </c>
      <c r="M27" s="1547"/>
      <c r="N27" s="1548"/>
      <c r="O27" s="24" t="s">
        <v>1307</v>
      </c>
      <c r="P27" s="31" t="s">
        <v>659</v>
      </c>
    </row>
    <row r="28" spans="2:16" s="10" customFormat="1">
      <c r="B28" s="1627"/>
      <c r="C28" s="24" t="s">
        <v>369</v>
      </c>
      <c r="D28" s="24" t="s">
        <v>119</v>
      </c>
      <c r="E28" s="24" t="s">
        <v>119</v>
      </c>
      <c r="F28" s="24" t="s">
        <v>119</v>
      </c>
      <c r="G28" s="31" t="s">
        <v>370</v>
      </c>
      <c r="H28" s="115" t="s">
        <v>381</v>
      </c>
      <c r="I28" s="1546" t="s">
        <v>152</v>
      </c>
      <c r="J28" s="1547"/>
      <c r="K28" s="1548"/>
      <c r="L28" s="1546" t="s">
        <v>119</v>
      </c>
      <c r="M28" s="1547"/>
      <c r="N28" s="1548"/>
      <c r="O28" s="24" t="s">
        <v>262</v>
      </c>
      <c r="P28" s="31" t="s">
        <v>268</v>
      </c>
    </row>
    <row r="29" spans="2:16" s="10" customFormat="1" ht="47.25" customHeight="1">
      <c r="B29" s="1627"/>
      <c r="C29" s="1550"/>
      <c r="D29" s="1550"/>
      <c r="E29" s="1550"/>
      <c r="F29" s="1575"/>
      <c r="G29" s="1655" t="s">
        <v>386</v>
      </c>
      <c r="H29" s="115" t="s">
        <v>1645</v>
      </c>
      <c r="I29" s="84"/>
      <c r="J29" s="85"/>
      <c r="K29" s="86"/>
      <c r="L29" s="1550" t="s">
        <v>388</v>
      </c>
      <c r="M29" s="1550"/>
      <c r="N29" s="1550"/>
      <c r="O29" s="24"/>
      <c r="P29" s="31"/>
    </row>
    <row r="30" spans="2:16" s="10" customFormat="1" ht="50.25" customHeight="1">
      <c r="B30" s="1627"/>
      <c r="C30" s="1550"/>
      <c r="D30" s="1550"/>
      <c r="E30" s="1550"/>
      <c r="F30" s="1575"/>
      <c r="G30" s="1655"/>
      <c r="H30" s="117"/>
      <c r="I30" s="1546" t="s">
        <v>384</v>
      </c>
      <c r="J30" s="1547"/>
      <c r="K30" s="1548"/>
      <c r="L30" s="1550" t="s">
        <v>387</v>
      </c>
      <c r="M30" s="1550"/>
      <c r="N30" s="1550"/>
      <c r="O30" s="24" t="s">
        <v>390</v>
      </c>
      <c r="P30" s="31" t="s">
        <v>271</v>
      </c>
    </row>
    <row r="31" spans="2:16" s="10" customFormat="1">
      <c r="B31" s="30" t="s">
        <v>142</v>
      </c>
      <c r="C31" s="24" t="s">
        <v>88</v>
      </c>
      <c r="D31" s="24" t="s">
        <v>368</v>
      </c>
      <c r="E31" s="24" t="s">
        <v>115</v>
      </c>
      <c r="F31" s="1104" t="s">
        <v>116</v>
      </c>
      <c r="G31" s="31" t="s">
        <v>117</v>
      </c>
      <c r="H31" s="113" t="s">
        <v>379</v>
      </c>
      <c r="I31" s="84" t="str">
        <f>INPUTS!D33</f>
        <v>solid storage</v>
      </c>
      <c r="J31" s="84" t="s">
        <v>1308</v>
      </c>
      <c r="K31" s="24" t="s">
        <v>1619</v>
      </c>
      <c r="L31" s="84" t="str">
        <f>INPUTS!D33</f>
        <v>solid storage</v>
      </c>
      <c r="M31" s="84" t="str">
        <f>INPUTS!D34</f>
        <v xml:space="preserve">dry lot </v>
      </c>
      <c r="N31" s="84" t="str">
        <f>INPUTS!D35</f>
        <v xml:space="preserve">Pasture / range / paddock </v>
      </c>
      <c r="O31" s="24" t="s">
        <v>264</v>
      </c>
      <c r="P31" s="31" t="s">
        <v>272</v>
      </c>
    </row>
    <row r="32" spans="2:16">
      <c r="B32" s="113" t="str">
        <f>INPUTS!C17</f>
        <v>Cows (improved)</v>
      </c>
      <c r="C32" s="45">
        <f>Feed!P143/365</f>
        <v>249.30285891123202</v>
      </c>
      <c r="D32" s="566">
        <f>Feed!AE9</f>
        <v>0.46054800000000001</v>
      </c>
      <c r="E32" s="45">
        <v>0.04</v>
      </c>
      <c r="F32" s="76">
        <v>0.08</v>
      </c>
      <c r="G32" s="73">
        <f t="shared" ref="G32:G42" si="3">(C32*(1-D32)+(E32*C32))*((1-F32)/18.65)</f>
        <v>7.1261295970876555</v>
      </c>
      <c r="H32" s="118">
        <v>0.13</v>
      </c>
      <c r="I32" s="119">
        <f>(L32)*INPUTS!H17</f>
        <v>0.04</v>
      </c>
      <c r="J32" s="119">
        <f>(M32)*INPUTS!I17</f>
        <v>0</v>
      </c>
      <c r="K32" s="119">
        <f>(N32)*INPUTS!J17</f>
        <v>0</v>
      </c>
      <c r="L32" s="45">
        <f>INDEX('GHG Parameters'!$B$91:$B$93,MATCH(INPUTS!$D$33,'GHG Parameters'!$A$91:$A$93,0))</f>
        <v>0.04</v>
      </c>
      <c r="M32" s="45">
        <f>INDEX('GHG Parameters'!$B$91:$B$93,MATCH(INPUTS!$D$34,'GHG Parameters'!$A$91:$A$93,0))</f>
        <v>1.4999999999999999E-2</v>
      </c>
      <c r="N32" s="45">
        <f>INDEX('GHG Parameters'!$B$91:$B$93,MATCH(INPUTS!$D$35,'GHG Parameters'!$A$91:$A$93,0))</f>
        <v>1.4999999999999999E-2</v>
      </c>
      <c r="O32" s="45">
        <f>(G32*365)*(H32*0.67*(SUM(I32:K32)))</f>
        <v>9.0620139634324897</v>
      </c>
      <c r="P32" s="47">
        <f>O32</f>
        <v>9.0620139634324897</v>
      </c>
    </row>
    <row r="33" spans="1:16">
      <c r="B33" s="1200" t="str">
        <f>INPUTS!C18</f>
        <v>Steers/heifers (improved)</v>
      </c>
      <c r="C33" s="45">
        <f>Feed!P144/365</f>
        <v>146.41071594755414</v>
      </c>
      <c r="D33" s="566">
        <f>Feed!AE16</f>
        <v>0.46054800000000001</v>
      </c>
      <c r="E33" s="45">
        <v>0.04</v>
      </c>
      <c r="F33" s="76">
        <v>0.08</v>
      </c>
      <c r="G33" s="73">
        <f>(C33*(1-D33)+(E33*C33))*((1-F33)/18.65)</f>
        <v>4.1850371905127508</v>
      </c>
      <c r="H33" s="118">
        <v>0.13</v>
      </c>
      <c r="I33" s="119">
        <f>(L33)*INPUTS!H18</f>
        <v>0.04</v>
      </c>
      <c r="J33" s="119">
        <f>(M33)*INPUTS!I18</f>
        <v>0</v>
      </c>
      <c r="K33" s="119">
        <f>(N33)*INPUTS!J18</f>
        <v>0</v>
      </c>
      <c r="L33" s="45">
        <f>INDEX('GHG Parameters'!$B$91:$B$93,MATCH(INPUTS!$D$33,'GHG Parameters'!$A$91:$A$93,0))</f>
        <v>0.04</v>
      </c>
      <c r="M33" s="45">
        <f>INDEX('GHG Parameters'!$B$91:$B$93,MATCH(INPUTS!$D$34,'GHG Parameters'!$A$91:$A$93,0))</f>
        <v>1.4999999999999999E-2</v>
      </c>
      <c r="N33" s="45">
        <f>INDEX('GHG Parameters'!$B$91:$B$93,MATCH(INPUTS!$D$35,'GHG Parameters'!$A$91:$A$93,0))</f>
        <v>1.4999999999999999E-2</v>
      </c>
      <c r="O33" s="45">
        <f>(G33*365)*(H33*0.67*(SUM(I33:K33)))</f>
        <v>5.3219443936874455</v>
      </c>
      <c r="P33" s="47">
        <f t="shared" ref="P33:P42" si="4">O33</f>
        <v>5.3219443936874455</v>
      </c>
    </row>
    <row r="34" spans="1:16">
      <c r="B34" s="1200">
        <f>INPUTS!C19</f>
        <v>0</v>
      </c>
      <c r="C34" s="45">
        <f>Feed!P145/365</f>
        <v>0</v>
      </c>
      <c r="D34" s="566">
        <f>Feed!AE23</f>
        <v>0.19922328129977693</v>
      </c>
      <c r="E34" s="45">
        <v>0.04</v>
      </c>
      <c r="F34" s="76">
        <v>0.08</v>
      </c>
      <c r="G34" s="73">
        <f>(C34*(1-D34)+(E34*C34))*((1-F34)/18.65)</f>
        <v>0</v>
      </c>
      <c r="H34" s="118">
        <v>0.1</v>
      </c>
      <c r="I34" s="119">
        <f>(L34)*INPUTS!H19</f>
        <v>0.04</v>
      </c>
      <c r="J34" s="119">
        <f>(M34)*INPUTS!I19</f>
        <v>0</v>
      </c>
      <c r="K34" s="119">
        <f>(N34)*INPUTS!J19</f>
        <v>0</v>
      </c>
      <c r="L34" s="45">
        <f>INDEX('GHG Parameters'!$B$91:$B$93,MATCH(INPUTS!$D$33,'GHG Parameters'!$A$91:$A$93,0))</f>
        <v>0.04</v>
      </c>
      <c r="M34" s="45">
        <f>INDEX('GHG Parameters'!$B$91:$B$93,MATCH(INPUTS!$D$34,'GHG Parameters'!$A$91:$A$93,0))</f>
        <v>1.4999999999999999E-2</v>
      </c>
      <c r="N34" s="45">
        <f>INDEX('GHG Parameters'!$B$91:$B$93,MATCH(INPUTS!$D$35,'GHG Parameters'!$A$91:$A$93,0))</f>
        <v>1.4999999999999999E-2</v>
      </c>
      <c r="O34" s="45">
        <f>(G34*365)*(H34*0.67*(SUM(I34:K34)))</f>
        <v>0</v>
      </c>
      <c r="P34" s="47">
        <f t="shared" si="4"/>
        <v>0</v>
      </c>
    </row>
    <row r="35" spans="1:16">
      <c r="B35" s="1200">
        <f>INPUTS!C20</f>
        <v>0</v>
      </c>
      <c r="C35" s="45">
        <f>Feed!P146/365</f>
        <v>0</v>
      </c>
      <c r="D35" s="566">
        <f>Feed!AE30</f>
        <v>0</v>
      </c>
      <c r="E35" s="45">
        <v>0.04</v>
      </c>
      <c r="F35" s="76">
        <v>0.08</v>
      </c>
      <c r="G35" s="73">
        <f>(C35*(1-D35)+(E35*C35))*((1-F35)/18.65)</f>
        <v>0</v>
      </c>
      <c r="H35" s="118">
        <v>0.1</v>
      </c>
      <c r="I35" s="119">
        <f>(L35)*INPUTS!H20</f>
        <v>0</v>
      </c>
      <c r="J35" s="119">
        <f>(M35)*INPUTS!I20</f>
        <v>0</v>
      </c>
      <c r="K35" s="119">
        <f>(N35)*INPUTS!J20</f>
        <v>0</v>
      </c>
      <c r="L35" s="45">
        <f>INDEX('GHG Parameters'!$B$91:$B$93,MATCH(INPUTS!$D$33,'GHG Parameters'!$A$91:$A$93,0))</f>
        <v>0.04</v>
      </c>
      <c r="M35" s="45">
        <f>INDEX('GHG Parameters'!$B$91:$B$93,MATCH(INPUTS!$D$34,'GHG Parameters'!$A$91:$A$93,0))</f>
        <v>1.4999999999999999E-2</v>
      </c>
      <c r="N35" s="45">
        <f>INDEX('GHG Parameters'!$B$91:$B$93,MATCH(INPUTS!$D$35,'GHG Parameters'!$A$91:$A$93,0))</f>
        <v>1.4999999999999999E-2</v>
      </c>
      <c r="O35" s="45">
        <f>(G35*365)*(H35*0.67*(SUM(I35:K35)))</f>
        <v>0</v>
      </c>
      <c r="P35" s="47">
        <f t="shared" si="4"/>
        <v>0</v>
      </c>
    </row>
    <row r="36" spans="1:16">
      <c r="B36" s="1200">
        <f>INPUTS!C21</f>
        <v>0</v>
      </c>
      <c r="C36" s="45">
        <f>Feed!P147/365</f>
        <v>0</v>
      </c>
      <c r="D36" s="566">
        <f>Feed!AE37</f>
        <v>0</v>
      </c>
      <c r="E36" s="45">
        <v>0.04</v>
      </c>
      <c r="F36" s="76">
        <v>0.08</v>
      </c>
      <c r="G36" s="73">
        <f t="shared" si="3"/>
        <v>0</v>
      </c>
      <c r="H36" s="118">
        <v>0.1</v>
      </c>
      <c r="I36" s="119">
        <f>(L36)*INPUTS!H21</f>
        <v>0</v>
      </c>
      <c r="J36" s="119">
        <f>(M36)*INPUTS!I21</f>
        <v>0</v>
      </c>
      <c r="K36" s="119">
        <f>(N36)*INPUTS!J21</f>
        <v>0</v>
      </c>
      <c r="L36" s="45">
        <f>INDEX('GHG Parameters'!$B$91:$B$93,MATCH(INPUTS!$D$33,'GHG Parameters'!$A$91:$A$93,0))</f>
        <v>0.04</v>
      </c>
      <c r="M36" s="45">
        <f>INDEX('GHG Parameters'!$B$91:$B$93,MATCH(INPUTS!$D$34,'GHG Parameters'!$A$91:$A$93,0))</f>
        <v>1.4999999999999999E-2</v>
      </c>
      <c r="N36" s="45">
        <f>INDEX('GHG Parameters'!$B$91:$B$93,MATCH(INPUTS!$D$35,'GHG Parameters'!$A$91:$A$93,0))</f>
        <v>1.4999999999999999E-2</v>
      </c>
      <c r="O36" s="45">
        <f>(G36*365)*(H36*0.67*(SUM(I36:K36)))</f>
        <v>0</v>
      </c>
      <c r="P36" s="47">
        <f t="shared" si="4"/>
        <v>0</v>
      </c>
    </row>
    <row r="37" spans="1:16">
      <c r="B37" s="1200">
        <f>INPUTS!C22</f>
        <v>0</v>
      </c>
      <c r="C37" s="45">
        <f>Feed!P148/365</f>
        <v>0</v>
      </c>
      <c r="D37" s="566">
        <f>Feed!AE44</f>
        <v>0</v>
      </c>
      <c r="E37" s="45">
        <v>0.04</v>
      </c>
      <c r="F37" s="76">
        <v>0.08</v>
      </c>
      <c r="G37" s="73">
        <f t="shared" ref="G37:G38" si="5">(C37*(1-D37)+(E37*C37))*((1-F37)/18.65)</f>
        <v>0</v>
      </c>
      <c r="H37" s="118">
        <v>0.1</v>
      </c>
      <c r="I37" s="119">
        <f>(L37)*INPUTS!H22</f>
        <v>0</v>
      </c>
      <c r="J37" s="119">
        <f>(M37)*INPUTS!I22</f>
        <v>0</v>
      </c>
      <c r="K37" s="119">
        <f>(N37)*INPUTS!J22</f>
        <v>0</v>
      </c>
      <c r="L37" s="45">
        <f>INDEX('GHG Parameters'!$B$91:$B$93,MATCH(INPUTS!$D$33,'GHG Parameters'!$A$91:$A$93,0))</f>
        <v>0.04</v>
      </c>
      <c r="M37" s="45">
        <f>INDEX('GHG Parameters'!$B$91:$B$93,MATCH(INPUTS!$D$34,'GHG Parameters'!$A$91:$A$93,0))</f>
        <v>1.4999999999999999E-2</v>
      </c>
      <c r="N37" s="45">
        <f>INDEX('GHG Parameters'!$B$91:$B$93,MATCH(INPUTS!$D$35,'GHG Parameters'!$A$91:$A$93,0))</f>
        <v>1.4999999999999999E-2</v>
      </c>
      <c r="O37" s="45">
        <f t="shared" ref="O37:O42" si="6">(G37*365)*(H37*0.67*(SUM(I37:K37)))</f>
        <v>0</v>
      </c>
      <c r="P37" s="47">
        <f t="shared" si="4"/>
        <v>0</v>
      </c>
    </row>
    <row r="38" spans="1:16">
      <c r="B38" s="1200">
        <f>INPUTS!C23</f>
        <v>0</v>
      </c>
      <c r="C38" s="45">
        <f>Feed!P149/365</f>
        <v>0</v>
      </c>
      <c r="D38" s="566">
        <f>Feed!AE51</f>
        <v>0</v>
      </c>
      <c r="E38" s="45">
        <v>0.04</v>
      </c>
      <c r="F38" s="76">
        <v>0.08</v>
      </c>
      <c r="G38" s="73">
        <f t="shared" si="5"/>
        <v>0</v>
      </c>
      <c r="H38" s="118">
        <v>0.1</v>
      </c>
      <c r="I38" s="119">
        <f>(L38)*INPUTS!H23</f>
        <v>0</v>
      </c>
      <c r="J38" s="119">
        <f>(M38)*INPUTS!I23</f>
        <v>0</v>
      </c>
      <c r="K38" s="119">
        <f>(N38)*INPUTS!J23</f>
        <v>0</v>
      </c>
      <c r="L38" s="45">
        <f>INDEX('GHG Parameters'!$B$91:$B$93,MATCH(INPUTS!$D$33,'GHG Parameters'!$A$91:$A$93,0))</f>
        <v>0.04</v>
      </c>
      <c r="M38" s="45">
        <f>INDEX('GHG Parameters'!$B$91:$B$93,MATCH(INPUTS!$D$34,'GHG Parameters'!$A$91:$A$93,0))</f>
        <v>1.4999999999999999E-2</v>
      </c>
      <c r="N38" s="45">
        <f>INDEX('GHG Parameters'!$B$91:$B$93,MATCH(INPUTS!$D$35,'GHG Parameters'!$A$91:$A$93,0))</f>
        <v>1.4999999999999999E-2</v>
      </c>
      <c r="O38" s="45">
        <f t="shared" si="6"/>
        <v>0</v>
      </c>
      <c r="P38" s="47">
        <f t="shared" si="4"/>
        <v>0</v>
      </c>
    </row>
    <row r="39" spans="1:16">
      <c r="B39" s="1200">
        <f>INPUTS!C24</f>
        <v>0</v>
      </c>
      <c r="C39" s="45">
        <f>Feed!P150/365</f>
        <v>0</v>
      </c>
      <c r="D39" s="566">
        <f>Feed!AE58</f>
        <v>0</v>
      </c>
      <c r="E39" s="45">
        <v>0.04</v>
      </c>
      <c r="F39" s="45">
        <v>0.08</v>
      </c>
      <c r="G39" s="47">
        <f t="shared" si="3"/>
        <v>0</v>
      </c>
      <c r="H39" s="1020">
        <v>0.13</v>
      </c>
      <c r="I39" s="119">
        <f>(L39)*INPUTS!H24</f>
        <v>0</v>
      </c>
      <c r="J39" s="119">
        <f>(M39)*INPUTS!I24</f>
        <v>0</v>
      </c>
      <c r="K39" s="119">
        <f>(N39)*INPUTS!J24</f>
        <v>0</v>
      </c>
      <c r="L39" s="45">
        <f>INDEX('GHG Parameters'!$B$91:$B$93,MATCH(INPUTS!$D$33,'GHG Parameters'!$A$91:$A$93,0))</f>
        <v>0.04</v>
      </c>
      <c r="M39" s="45">
        <f>INDEX('GHG Parameters'!$B$91:$B$93,MATCH(INPUTS!$D$34,'GHG Parameters'!$A$91:$A$93,0))</f>
        <v>1.4999999999999999E-2</v>
      </c>
      <c r="N39" s="45">
        <f>INDEX('GHG Parameters'!$B$91:$B$93,MATCH(INPUTS!$D$35,'GHG Parameters'!$A$91:$A$93,0))</f>
        <v>1.4999999999999999E-2</v>
      </c>
      <c r="O39" s="45">
        <f t="shared" si="6"/>
        <v>0</v>
      </c>
      <c r="P39" s="47">
        <f t="shared" si="4"/>
        <v>0</v>
      </c>
    </row>
    <row r="40" spans="1:16" s="1096" customFormat="1">
      <c r="B40" s="1200">
        <f>INPUTS!C25</f>
        <v>0</v>
      </c>
      <c r="C40" s="45">
        <f>Feed!P151/365</f>
        <v>0</v>
      </c>
      <c r="D40" s="566">
        <f>Feed!AE65</f>
        <v>0</v>
      </c>
      <c r="E40" s="45">
        <v>0.04</v>
      </c>
      <c r="F40" s="45">
        <v>0.08</v>
      </c>
      <c r="G40" s="47">
        <f t="shared" si="3"/>
        <v>0</v>
      </c>
      <c r="H40" s="1020">
        <v>0.13</v>
      </c>
      <c r="I40" s="119">
        <f>(L40)*INPUTS!H25</f>
        <v>0</v>
      </c>
      <c r="J40" s="119">
        <f>(M40)*INPUTS!I25</f>
        <v>0</v>
      </c>
      <c r="K40" s="119">
        <f>(N40)*INPUTS!J25</f>
        <v>0</v>
      </c>
      <c r="L40" s="45">
        <f>INDEX('GHG Parameters'!$B$91:$B$93,MATCH(INPUTS!$D$33,'GHG Parameters'!$A$91:$A$93,0))</f>
        <v>0.04</v>
      </c>
      <c r="M40" s="45">
        <f>INDEX('GHG Parameters'!$B$91:$B$93,MATCH(INPUTS!$D$34,'GHG Parameters'!$A$91:$A$93,0))</f>
        <v>1.4999999999999999E-2</v>
      </c>
      <c r="N40" s="45">
        <f>INDEX('GHG Parameters'!$B$91:$B$93,MATCH(INPUTS!$D$35,'GHG Parameters'!$A$91:$A$93,0))</f>
        <v>1.4999999999999999E-2</v>
      </c>
      <c r="O40" s="45">
        <f t="shared" si="6"/>
        <v>0</v>
      </c>
      <c r="P40" s="47">
        <f t="shared" si="4"/>
        <v>0</v>
      </c>
    </row>
    <row r="41" spans="1:16" s="1167" customFormat="1">
      <c r="B41" s="1200">
        <f>INPUTS!C26</f>
        <v>0</v>
      </c>
      <c r="C41" s="45">
        <f>Feed!P152/365</f>
        <v>0</v>
      </c>
      <c r="D41" s="566">
        <f>Feed!AE72</f>
        <v>0</v>
      </c>
      <c r="E41" s="45">
        <v>0.04</v>
      </c>
      <c r="F41" s="45">
        <v>0.08</v>
      </c>
      <c r="G41" s="47">
        <f t="shared" si="3"/>
        <v>0</v>
      </c>
      <c r="H41" s="1020">
        <v>0.13</v>
      </c>
      <c r="I41" s="119">
        <f>(L41)*INPUTS!H26</f>
        <v>0</v>
      </c>
      <c r="J41" s="119">
        <f>(M41)*INPUTS!I26</f>
        <v>0</v>
      </c>
      <c r="K41" s="119">
        <f>(N41)*INPUTS!J26</f>
        <v>0</v>
      </c>
      <c r="L41" s="45">
        <f>INDEX('GHG Parameters'!$B$91:$B$93,MATCH(INPUTS!$D$33,'GHG Parameters'!$A$91:$A$93,0))</f>
        <v>0.04</v>
      </c>
      <c r="M41" s="45">
        <f>INDEX('GHG Parameters'!$B$91:$B$93,MATCH(INPUTS!$D$34,'GHG Parameters'!$A$91:$A$93,0))</f>
        <v>1.4999999999999999E-2</v>
      </c>
      <c r="N41" s="45">
        <f>INDEX('GHG Parameters'!$B$91:$B$93,MATCH(INPUTS!$D$35,'GHG Parameters'!$A$91:$A$93,0))</f>
        <v>1.4999999999999999E-2</v>
      </c>
      <c r="O41" s="45">
        <f t="shared" si="6"/>
        <v>0</v>
      </c>
      <c r="P41" s="47">
        <f t="shared" si="4"/>
        <v>0</v>
      </c>
    </row>
    <row r="42" spans="1:16" s="1167" customFormat="1">
      <c r="B42" s="1200">
        <f>INPUTS!C27</f>
        <v>0</v>
      </c>
      <c r="C42" s="45">
        <f>Feed!P153/365</f>
        <v>0</v>
      </c>
      <c r="D42" s="566">
        <f>Feed!AE79</f>
        <v>0</v>
      </c>
      <c r="E42" s="45">
        <v>0.04</v>
      </c>
      <c r="F42" s="45">
        <v>0.08</v>
      </c>
      <c r="G42" s="47">
        <f t="shared" si="3"/>
        <v>0</v>
      </c>
      <c r="H42" s="1020">
        <v>0.13</v>
      </c>
      <c r="I42" s="119">
        <f>(L42)*INPUTS!H27</f>
        <v>0</v>
      </c>
      <c r="J42" s="119">
        <f>(M42)*INPUTS!I27</f>
        <v>0</v>
      </c>
      <c r="K42" s="119">
        <f>(N42)*INPUTS!J27</f>
        <v>0</v>
      </c>
      <c r="L42" s="45">
        <f>INDEX('GHG Parameters'!$B$91:$B$93,MATCH(INPUTS!$D$33,'GHG Parameters'!$A$91:$A$93,0))</f>
        <v>0.04</v>
      </c>
      <c r="M42" s="45">
        <f>INDEX('GHG Parameters'!$B$91:$B$93,MATCH(INPUTS!$D$34,'GHG Parameters'!$A$91:$A$93,0))</f>
        <v>1.4999999999999999E-2</v>
      </c>
      <c r="N42" s="45">
        <f>INDEX('GHG Parameters'!$B$91:$B$93,MATCH(INPUTS!$D$35,'GHG Parameters'!$A$91:$A$93,0))</f>
        <v>1.4999999999999999E-2</v>
      </c>
      <c r="O42" s="45">
        <f t="shared" si="6"/>
        <v>0</v>
      </c>
      <c r="P42" s="47">
        <f t="shared" si="4"/>
        <v>0</v>
      </c>
    </row>
    <row r="43" spans="1:16" s="1105" customFormat="1">
      <c r="B43" s="1200">
        <f>INPUTS!C28</f>
        <v>0</v>
      </c>
      <c r="C43" s="45">
        <f>Feed!P154/365</f>
        <v>0</v>
      </c>
      <c r="D43" s="566">
        <f>Feed!AE86</f>
        <v>0</v>
      </c>
      <c r="E43" s="45">
        <v>0.04</v>
      </c>
      <c r="F43" s="45">
        <v>0.08</v>
      </c>
      <c r="G43" s="47">
        <f t="shared" ref="G43:G45" si="7">(C43*(1-D43)+(E43*C43))*((1-F43)/18.65)</f>
        <v>0</v>
      </c>
      <c r="H43" s="1020">
        <v>0.28999999999999998</v>
      </c>
      <c r="I43" s="119">
        <f>(L43)*INPUTS!H28</f>
        <v>0</v>
      </c>
      <c r="J43" s="119">
        <f>(M43)*INPUTS!I28</f>
        <v>0</v>
      </c>
      <c r="K43" s="119">
        <f>(N43)*INPUTS!J28</f>
        <v>0</v>
      </c>
      <c r="L43" s="45">
        <f>INDEX('GHG Parameters'!$B$91:$B$93,MATCH(INPUTS!$D$33,'GHG Parameters'!$A$91:$A$93,0))</f>
        <v>0.04</v>
      </c>
      <c r="M43" s="45">
        <f>INDEX('GHG Parameters'!$B$91:$B$93,MATCH(INPUTS!$D$34,'GHG Parameters'!$A$91:$A$93,0))</f>
        <v>1.4999999999999999E-2</v>
      </c>
      <c r="N43" s="45">
        <f>INDEX('GHG Parameters'!$B$91:$B$93,MATCH(INPUTS!$D$35,'GHG Parameters'!$A$91:$A$93,0))</f>
        <v>1.4999999999999999E-2</v>
      </c>
      <c r="O43" s="45">
        <f t="shared" ref="O43:O45" si="8">(G43*365)*(H43*0.67*(SUM(I43:K43)))</f>
        <v>0</v>
      </c>
      <c r="P43" s="47">
        <f t="shared" ref="P43:P45" si="9">O43</f>
        <v>0</v>
      </c>
    </row>
    <row r="44" spans="1:16" s="1105" customFormat="1">
      <c r="B44" s="1200">
        <f>INPUTS!C29</f>
        <v>0</v>
      </c>
      <c r="C44" s="45">
        <f>Feed!P155/365</f>
        <v>0</v>
      </c>
      <c r="D44" s="566">
        <f>Feed!AE93</f>
        <v>0</v>
      </c>
      <c r="E44" s="45">
        <v>0.04</v>
      </c>
      <c r="F44" s="45">
        <v>0.08</v>
      </c>
      <c r="G44" s="47">
        <f t="shared" si="7"/>
        <v>0</v>
      </c>
      <c r="H44" s="1020">
        <v>0.28999999999999998</v>
      </c>
      <c r="I44" s="119">
        <f>(L44)*INPUTS!H29</f>
        <v>0</v>
      </c>
      <c r="J44" s="119">
        <f>(M44)*INPUTS!I29</f>
        <v>0</v>
      </c>
      <c r="K44" s="119">
        <f>(N44)*INPUTS!J29</f>
        <v>0</v>
      </c>
      <c r="L44" s="45">
        <f>INDEX('GHG Parameters'!$B$91:$B$93,MATCH(INPUTS!$D$33,'GHG Parameters'!$A$91:$A$93,0))</f>
        <v>0.04</v>
      </c>
      <c r="M44" s="45">
        <f>INDEX('GHG Parameters'!$B$91:$B$93,MATCH(INPUTS!$D$34,'GHG Parameters'!$A$91:$A$93,0))</f>
        <v>1.4999999999999999E-2</v>
      </c>
      <c r="N44" s="45">
        <f>INDEX('GHG Parameters'!$B$91:$B$93,MATCH(INPUTS!$D$35,'GHG Parameters'!$A$91:$A$93,0))</f>
        <v>1.4999999999999999E-2</v>
      </c>
      <c r="O44" s="45">
        <f t="shared" si="8"/>
        <v>0</v>
      </c>
      <c r="P44" s="47">
        <f t="shared" si="9"/>
        <v>0</v>
      </c>
    </row>
    <row r="45" spans="1:16">
      <c r="B45" s="1200">
        <f>INPUTS!C30</f>
        <v>0</v>
      </c>
      <c r="C45" s="45">
        <f>Feed!P156/365</f>
        <v>0</v>
      </c>
      <c r="D45" s="566">
        <f>Feed!AE100</f>
        <v>0</v>
      </c>
      <c r="E45" s="45">
        <v>0.04</v>
      </c>
      <c r="F45" s="45">
        <v>0.08</v>
      </c>
      <c r="G45" s="47">
        <f t="shared" si="7"/>
        <v>0</v>
      </c>
      <c r="H45" s="1020">
        <v>0.28999999999999998</v>
      </c>
      <c r="I45" s="119">
        <f>(L45)*INPUTS!H30</f>
        <v>0</v>
      </c>
      <c r="J45" s="119">
        <f>(M45)*INPUTS!I30</f>
        <v>0</v>
      </c>
      <c r="K45" s="119">
        <f>(N45)*INPUTS!J30</f>
        <v>0</v>
      </c>
      <c r="L45" s="45">
        <f>INDEX('GHG Parameters'!$B$91:$B$93,MATCH(INPUTS!$D$33,'GHG Parameters'!$A$91:$A$93,0))</f>
        <v>0.04</v>
      </c>
      <c r="M45" s="45">
        <f>INDEX('GHG Parameters'!$B$91:$B$93,MATCH(INPUTS!$D$34,'GHG Parameters'!$A$91:$A$93,0))</f>
        <v>1.4999999999999999E-2</v>
      </c>
      <c r="N45" s="45">
        <f>INDEX('GHG Parameters'!$B$91:$B$93,MATCH(INPUTS!$D$35,'GHG Parameters'!$A$91:$A$93,0))</f>
        <v>1.4999999999999999E-2</v>
      </c>
      <c r="O45" s="45">
        <f t="shared" si="8"/>
        <v>0</v>
      </c>
      <c r="P45" s="47">
        <f t="shared" si="9"/>
        <v>0</v>
      </c>
    </row>
    <row r="46" spans="1:16">
      <c r="A46" s="30"/>
      <c r="B46" s="1644" t="s">
        <v>2</v>
      </c>
      <c r="C46" s="1644"/>
      <c r="D46" s="1644"/>
      <c r="E46" s="1644"/>
      <c r="F46" s="1644"/>
      <c r="G46" s="1644"/>
      <c r="H46" s="1644"/>
      <c r="I46" s="1644"/>
      <c r="J46" s="1644"/>
      <c r="K46" s="1644"/>
      <c r="L46" s="1644"/>
      <c r="M46" s="1644"/>
      <c r="N46" s="1644"/>
      <c r="O46" s="1644"/>
      <c r="P46" s="47">
        <f>SUM(P32:P45)</f>
        <v>14.383958357119935</v>
      </c>
    </row>
    <row r="48" spans="1:16" s="41" customFormat="1" ht="16.5" thickBot="1"/>
    <row r="49" spans="1:19" s="41" customFormat="1" ht="17.25" thickTop="1" thickBot="1"/>
    <row r="50" spans="1:19" ht="16.5" thickTop="1">
      <c r="A50" s="1" t="s">
        <v>101</v>
      </c>
    </row>
    <row r="51" spans="1:19">
      <c r="A51" s="5" t="s">
        <v>102</v>
      </c>
    </row>
    <row r="52" spans="1:19">
      <c r="A52" s="1"/>
    </row>
    <row r="53" spans="1:19">
      <c r="A53" s="1"/>
      <c r="B53" s="23" t="s">
        <v>171</v>
      </c>
      <c r="C53" s="23"/>
      <c r="D53" s="1219" t="s">
        <v>1796</v>
      </c>
      <c r="E53" s="23" t="s">
        <v>290</v>
      </c>
    </row>
    <row r="54" spans="1:19" ht="31.5">
      <c r="A54" s="1"/>
      <c r="B54" s="1641" t="s">
        <v>257</v>
      </c>
      <c r="C54" s="24" t="s">
        <v>281</v>
      </c>
      <c r="D54" s="24" t="s">
        <v>282</v>
      </c>
      <c r="E54" s="31" t="s">
        <v>283</v>
      </c>
      <c r="F54" s="31" t="s">
        <v>283</v>
      </c>
    </row>
    <row r="55" spans="1:19" ht="31.5">
      <c r="A55" s="1"/>
      <c r="B55" s="1641"/>
      <c r="C55" s="24" t="s">
        <v>651</v>
      </c>
      <c r="D55" s="24" t="s">
        <v>652</v>
      </c>
      <c r="E55" s="31" t="s">
        <v>287</v>
      </c>
      <c r="F55" s="31" t="s">
        <v>213</v>
      </c>
    </row>
    <row r="56" spans="1:19">
      <c r="B56" s="1641"/>
      <c r="C56" s="24"/>
      <c r="D56" s="24" t="s">
        <v>289</v>
      </c>
      <c r="E56" s="31" t="s">
        <v>291</v>
      </c>
      <c r="F56" s="44"/>
    </row>
    <row r="57" spans="1:19">
      <c r="B57" s="26" t="s">
        <v>142</v>
      </c>
      <c r="C57" s="24" t="s">
        <v>286</v>
      </c>
      <c r="D57" s="24" t="s">
        <v>285</v>
      </c>
      <c r="E57" s="47" t="s">
        <v>284</v>
      </c>
      <c r="F57" s="44"/>
      <c r="M57" s="7"/>
      <c r="N57" s="7"/>
      <c r="O57" s="7"/>
      <c r="P57" s="7"/>
      <c r="Q57" s="7"/>
      <c r="R57" s="7"/>
      <c r="S57" s="7"/>
    </row>
    <row r="58" spans="1:19">
      <c r="B58" s="113" t="str">
        <f>INPUTS!C17</f>
        <v>Cows (improved)</v>
      </c>
      <c r="C58" s="45">
        <f>'Livestock parameters'!B2</f>
        <v>381</v>
      </c>
      <c r="D58" s="82">
        <f>VLOOKUP(VLOOKUP(B58,'Livestock parameters'!$A$20:$AR$37,44,FALSE),'GHG Parameters'!$A$99:$D$103,MATCH(INPUTS!$E$3,'GHG Parameters'!$A$99:$D$99,0),FALSE)</f>
        <v>0.6</v>
      </c>
      <c r="E58" s="47">
        <f>D58*(C58/1000)*365</f>
        <v>83.438999999999993</v>
      </c>
      <c r="F58" s="44">
        <f>E58*INPUTS!D17</f>
        <v>83.438999999999993</v>
      </c>
    </row>
    <row r="59" spans="1:19">
      <c r="B59" s="1200" t="str">
        <f>INPUTS!C18</f>
        <v>Steers/heifers (improved)</v>
      </c>
      <c r="C59" s="45">
        <f>'Livestock parameters'!B3</f>
        <v>290</v>
      </c>
      <c r="D59" s="82">
        <f>VLOOKUP(VLOOKUP(B59,'Livestock parameters'!$A$20:$AR$37,44,FALSE),'GHG Parameters'!$A$99:$D$103,MATCH(INPUTS!$E$3,'GHG Parameters'!$A$99:$D$99,0),FALSE)</f>
        <v>0.63</v>
      </c>
      <c r="E59" s="47">
        <f t="shared" ref="E59:E71" si="10">D59*(C59/1000)*365</f>
        <v>66.685500000000005</v>
      </c>
      <c r="F59" s="44">
        <f>E59*INPUTS!D18</f>
        <v>66.685500000000005</v>
      </c>
      <c r="G59" s="1654"/>
    </row>
    <row r="60" spans="1:19">
      <c r="B60" s="1200">
        <f>INPUTS!C19</f>
        <v>0</v>
      </c>
      <c r="C60" s="45">
        <f>'Livestock parameters'!B4</f>
        <v>0</v>
      </c>
      <c r="D60" s="82" t="e">
        <f>VLOOKUP(VLOOKUP(B60,'Livestock parameters'!$A$20:$AR$37,44,FALSE),'GHG Parameters'!$A$99:$D$103,MATCH(INPUTS!$E$3,'GHG Parameters'!$A$99:$D$99,0),FALSE)</f>
        <v>#N/A</v>
      </c>
      <c r="E60" s="47" t="e">
        <f t="shared" si="10"/>
        <v>#N/A</v>
      </c>
      <c r="F60" s="44" t="e">
        <f>E60*INPUTS!D19</f>
        <v>#N/A</v>
      </c>
      <c r="G60" s="1654"/>
    </row>
    <row r="61" spans="1:19">
      <c r="B61" s="1200">
        <f>INPUTS!C20</f>
        <v>0</v>
      </c>
      <c r="C61" s="45">
        <f>'Livestock parameters'!B5</f>
        <v>0</v>
      </c>
      <c r="D61" s="82" t="e">
        <f>VLOOKUP(VLOOKUP(B61,'Livestock parameters'!$A$20:$AR$37,44,FALSE),'GHG Parameters'!$A$99:$D$103,MATCH(INPUTS!$E$3,'GHG Parameters'!$A$99:$D$99,0),FALSE)</f>
        <v>#N/A</v>
      </c>
      <c r="E61" s="47" t="e">
        <f t="shared" si="10"/>
        <v>#N/A</v>
      </c>
      <c r="F61" s="44" t="e">
        <f>E61*INPUTS!D20</f>
        <v>#N/A</v>
      </c>
      <c r="G61" s="1654"/>
    </row>
    <row r="62" spans="1:19">
      <c r="B62" s="1200">
        <f>INPUTS!C21</f>
        <v>0</v>
      </c>
      <c r="C62" s="45">
        <f>'Livestock parameters'!B6</f>
        <v>0</v>
      </c>
      <c r="D62" s="82" t="e">
        <f>VLOOKUP(VLOOKUP(B62,'Livestock parameters'!$A$20:$AR$37,44,FALSE),'GHG Parameters'!$A$99:$D$103,MATCH(INPUTS!$E$3,'GHG Parameters'!$A$99:$D$99,0),FALSE)</f>
        <v>#N/A</v>
      </c>
      <c r="E62" s="47" t="e">
        <f t="shared" si="10"/>
        <v>#N/A</v>
      </c>
      <c r="F62" s="44" t="e">
        <f>E62*INPUTS!D21</f>
        <v>#N/A</v>
      </c>
      <c r="G62" s="1654"/>
    </row>
    <row r="63" spans="1:19">
      <c r="B63" s="1200">
        <f>INPUTS!C22</f>
        <v>0</v>
      </c>
      <c r="C63" s="45">
        <f>'Livestock parameters'!B7</f>
        <v>0</v>
      </c>
      <c r="D63" s="82" t="e">
        <f>VLOOKUP(VLOOKUP(B63,'Livestock parameters'!$A$20:$AR$37,44,FALSE),'GHG Parameters'!$A$99:$D$103,MATCH(INPUTS!$E$3,'GHG Parameters'!$A$99:$D$99,0),FALSE)</f>
        <v>#N/A</v>
      </c>
      <c r="E63" s="47" t="e">
        <f t="shared" si="10"/>
        <v>#N/A</v>
      </c>
      <c r="F63" s="44" t="e">
        <f>E63*INPUTS!D22</f>
        <v>#N/A</v>
      </c>
    </row>
    <row r="64" spans="1:19">
      <c r="B64" s="1200">
        <f>INPUTS!C23</f>
        <v>0</v>
      </c>
      <c r="C64" s="45">
        <f>'Livestock parameters'!B8</f>
        <v>0</v>
      </c>
      <c r="D64" s="82" t="e">
        <f>VLOOKUP(VLOOKUP(B64,'Livestock parameters'!$A$20:$AR$37,44,FALSE),'GHG Parameters'!$A$99:$D$103,MATCH(INPUTS!$E$3,'GHG Parameters'!$A$99:$D$99,0),FALSE)</f>
        <v>#N/A</v>
      </c>
      <c r="E64" s="47" t="e">
        <f t="shared" si="10"/>
        <v>#N/A</v>
      </c>
      <c r="F64" s="44" t="e">
        <f>E64*INPUTS!D23</f>
        <v>#N/A</v>
      </c>
    </row>
    <row r="65" spans="1:12">
      <c r="B65" s="1200">
        <f>INPUTS!C24</f>
        <v>0</v>
      </c>
      <c r="C65" s="45">
        <f>'Livestock parameters'!B9</f>
        <v>0</v>
      </c>
      <c r="D65" s="82" t="e">
        <f>VLOOKUP(VLOOKUP(B65,'Livestock parameters'!$A$20:$AR$37,44,FALSE),'GHG Parameters'!$A$99:$D$103,MATCH(INPUTS!$E$3,'GHG Parameters'!$A$99:$D$99,0),FALSE)</f>
        <v>#N/A</v>
      </c>
      <c r="E65" s="47" t="e">
        <f t="shared" si="10"/>
        <v>#N/A</v>
      </c>
      <c r="F65" s="44" t="e">
        <f>E65*INPUTS!D24</f>
        <v>#N/A</v>
      </c>
    </row>
    <row r="66" spans="1:12" s="1096" customFormat="1">
      <c r="B66" s="1200">
        <f>INPUTS!C25</f>
        <v>0</v>
      </c>
      <c r="C66" s="45">
        <f>'Livestock parameters'!B10</f>
        <v>0</v>
      </c>
      <c r="D66" s="82" t="e">
        <f>VLOOKUP(VLOOKUP(B66,'Livestock parameters'!$A$20:$AR$37,44,FALSE),'GHG Parameters'!$A$99:$D$103,MATCH(INPUTS!$E$3,'GHG Parameters'!$A$99:$D$99,0),FALSE)</f>
        <v>#N/A</v>
      </c>
      <c r="E66" s="47" t="e">
        <f t="shared" si="10"/>
        <v>#N/A</v>
      </c>
      <c r="F66" s="44" t="e">
        <f>E66*INPUTS!D25</f>
        <v>#N/A</v>
      </c>
    </row>
    <row r="67" spans="1:12" s="1167" customFormat="1">
      <c r="B67" s="1200">
        <f>INPUTS!C26</f>
        <v>0</v>
      </c>
      <c r="C67" s="45">
        <f>'Livestock parameters'!B11</f>
        <v>0</v>
      </c>
      <c r="D67" s="82" t="e">
        <f>VLOOKUP(VLOOKUP(B67,'Livestock parameters'!$A$20:$AR$37,44,FALSE),'GHG Parameters'!$A$99:$D$103,MATCH(INPUTS!$E$3,'GHG Parameters'!$A$99:$D$99,0),FALSE)</f>
        <v>#N/A</v>
      </c>
      <c r="E67" s="47" t="e">
        <f t="shared" ref="E67:E68" si="11">D67*(C67/1000)*365</f>
        <v>#N/A</v>
      </c>
      <c r="F67" s="44" t="e">
        <f>E67*INPUTS!D26</f>
        <v>#N/A</v>
      </c>
    </row>
    <row r="68" spans="1:12" s="1167" customFormat="1">
      <c r="B68" s="1200">
        <f>INPUTS!C27</f>
        <v>0</v>
      </c>
      <c r="C68" s="45">
        <f>'Livestock parameters'!B12</f>
        <v>0</v>
      </c>
      <c r="D68" s="82" t="e">
        <f>VLOOKUP(VLOOKUP(B68,'Livestock parameters'!$A$20:$AR$37,44,FALSE),'GHG Parameters'!$A$99:$D$103,MATCH(INPUTS!$E$3,'GHG Parameters'!$A$99:$D$99,0),FALSE)</f>
        <v>#N/A</v>
      </c>
      <c r="E68" s="47" t="e">
        <f t="shared" si="11"/>
        <v>#N/A</v>
      </c>
      <c r="F68" s="44" t="e">
        <f>E68*INPUTS!D27</f>
        <v>#N/A</v>
      </c>
    </row>
    <row r="69" spans="1:12" s="1105" customFormat="1">
      <c r="B69" s="1200">
        <f>INPUTS!C28</f>
        <v>0</v>
      </c>
      <c r="C69" s="45">
        <f>'Livestock parameters'!B13</f>
        <v>0</v>
      </c>
      <c r="D69" s="82" t="e">
        <f>VLOOKUP(VLOOKUP(B69,'Livestock parameters'!$A$20:$AR$37,44,FALSE),'GHG Parameters'!$A$99:$D$103,MATCH(INPUTS!$E$3,'GHG Parameters'!$A$99:$D$99,0),FALSE)</f>
        <v>#N/A</v>
      </c>
      <c r="E69" s="47" t="e">
        <f t="shared" si="10"/>
        <v>#N/A</v>
      </c>
      <c r="F69" s="44" t="e">
        <f>E69*INPUTS!D28</f>
        <v>#N/A</v>
      </c>
    </row>
    <row r="70" spans="1:12" s="1105" customFormat="1">
      <c r="B70" s="1200">
        <f>INPUTS!C29</f>
        <v>0</v>
      </c>
      <c r="C70" s="45">
        <f>'Livestock parameters'!B14</f>
        <v>0</v>
      </c>
      <c r="D70" s="82" t="e">
        <f>VLOOKUP(VLOOKUP(B70,'Livestock parameters'!$A$20:$AR$37,44,FALSE),'GHG Parameters'!$A$99:$D$103,MATCH(INPUTS!$E$3,'GHG Parameters'!$A$99:$D$99,0),FALSE)</f>
        <v>#N/A</v>
      </c>
      <c r="E70" s="47" t="e">
        <f t="shared" si="10"/>
        <v>#N/A</v>
      </c>
      <c r="F70" s="44" t="e">
        <f>E70*INPUTS!D29</f>
        <v>#N/A</v>
      </c>
    </row>
    <row r="71" spans="1:12">
      <c r="B71" s="1200">
        <f>INPUTS!C30</f>
        <v>0</v>
      </c>
      <c r="C71" s="45">
        <f>'Livestock parameters'!B15</f>
        <v>0</v>
      </c>
      <c r="D71" s="82" t="e">
        <f>VLOOKUP(VLOOKUP(B71,'Livestock parameters'!$A$20:$AR$37,44,FALSE),'GHG Parameters'!$A$99:$D$103,MATCH(INPUTS!$E$3,'GHG Parameters'!$A$99:$D$99,0),FALSE)</f>
        <v>#N/A</v>
      </c>
      <c r="E71" s="47" t="e">
        <f t="shared" si="10"/>
        <v>#N/A</v>
      </c>
      <c r="F71" s="44" t="e">
        <f>E71*INPUTS!D30</f>
        <v>#N/A</v>
      </c>
    </row>
    <row r="73" spans="1:12">
      <c r="A73" s="1" t="s">
        <v>104</v>
      </c>
    </row>
    <row r="74" spans="1:12">
      <c r="A74" s="5" t="s">
        <v>102</v>
      </c>
    </row>
    <row r="75" spans="1:12">
      <c r="B75" s="26" t="s">
        <v>171</v>
      </c>
      <c r="C75" s="21"/>
      <c r="D75" s="21"/>
      <c r="E75" s="21" t="s">
        <v>363</v>
      </c>
      <c r="F75" s="1052" t="s">
        <v>1632</v>
      </c>
      <c r="G75" s="21" t="s">
        <v>361</v>
      </c>
    </row>
    <row r="76" spans="1:12" s="10" customFormat="1" ht="47.25">
      <c r="B76" s="36" t="s">
        <v>257</v>
      </c>
      <c r="C76" s="24" t="s">
        <v>1311</v>
      </c>
      <c r="D76" s="24" t="s">
        <v>358</v>
      </c>
      <c r="E76" s="24" t="s">
        <v>1313</v>
      </c>
      <c r="F76" s="24" t="s">
        <v>423</v>
      </c>
      <c r="G76" s="31" t="s">
        <v>362</v>
      </c>
    </row>
    <row r="77" spans="1:12" ht="31.5">
      <c r="B77" s="36"/>
      <c r="C77" s="24" t="s">
        <v>1303</v>
      </c>
      <c r="D77" s="24" t="s">
        <v>357</v>
      </c>
      <c r="E77" s="24" t="s">
        <v>1312</v>
      </c>
      <c r="F77" s="24" t="s">
        <v>422</v>
      </c>
      <c r="G77" s="31" t="s">
        <v>1304</v>
      </c>
    </row>
    <row r="78" spans="1:12" ht="28.5" customHeight="1">
      <c r="B78" s="36"/>
      <c r="C78" s="24"/>
      <c r="D78" s="24"/>
      <c r="E78" s="24" t="s">
        <v>356</v>
      </c>
      <c r="F78" s="24" t="s">
        <v>1631</v>
      </c>
      <c r="G78" s="28" t="s">
        <v>424</v>
      </c>
    </row>
    <row r="79" spans="1:12">
      <c r="B79" s="26" t="s">
        <v>142</v>
      </c>
      <c r="C79" s="24" t="s">
        <v>88</v>
      </c>
      <c r="D79" s="24" t="s">
        <v>355</v>
      </c>
      <c r="E79" s="24" t="s">
        <v>360</v>
      </c>
      <c r="F79" s="24" t="s">
        <v>1306</v>
      </c>
      <c r="G79" s="31" t="s">
        <v>359</v>
      </c>
    </row>
    <row r="80" spans="1:12">
      <c r="B80" s="156" t="str">
        <f>INPUTS!C17</f>
        <v>Cows (improved)</v>
      </c>
      <c r="C80" s="68">
        <f>'GHG Ent fermentation'!C31</f>
        <v>249.30285891123202</v>
      </c>
      <c r="D80" s="68">
        <f>Feed!AF8</f>
        <v>5.8087905149431753</v>
      </c>
      <c r="E80" s="1051">
        <f t="shared" ref="E80:E93" si="12">IFERROR((C80/18.45)*((D80/100)/6.25),"")</f>
        <v>0.12558465753424664</v>
      </c>
      <c r="F80" s="1051">
        <f>IFERROR(((((INPUTS!E17*0.034/6.38)+(INPUTS!F17*(268-(7*16))/6250))*INPUTS!D17/365)/E80),"")</f>
        <v>0.17729587524104026</v>
      </c>
      <c r="G80" s="69">
        <f t="shared" ref="G80:G93" si="13">IFERROR(E80*(1-(F80))*365,"")</f>
        <v>37.711440752351116</v>
      </c>
      <c r="I80" s="1042"/>
      <c r="J80" s="1042"/>
      <c r="K80" s="1042"/>
      <c r="L80" s="1042"/>
    </row>
    <row r="81" spans="1:19">
      <c r="B81" s="156" t="str">
        <f>INPUTS!C18</f>
        <v>Steers/heifers (improved)</v>
      </c>
      <c r="C81" s="68">
        <f>'GHG Ent fermentation'!C32</f>
        <v>146.41071594755414</v>
      </c>
      <c r="D81" s="68">
        <f>Feed!AF15</f>
        <v>5.8087905149431753</v>
      </c>
      <c r="E81" s="1051">
        <f t="shared" si="12"/>
        <v>7.3753424657534275E-2</v>
      </c>
      <c r="F81" s="1051">
        <f>IFERROR(((((INPUTS!E18*0.034/6.38)+(INPUTS!F18*(268-(7*16))/6250))*INPUTS!D18/365)/E81),"")</f>
        <v>0.14464190193164927</v>
      </c>
      <c r="G81" s="69">
        <f t="shared" si="13"/>
        <v>23.026240000000008</v>
      </c>
      <c r="I81" s="1042"/>
      <c r="J81" s="1042"/>
      <c r="K81" s="1042"/>
      <c r="L81" s="1042"/>
    </row>
    <row r="82" spans="1:19">
      <c r="B82" s="156">
        <f>INPUTS!C19</f>
        <v>0</v>
      </c>
      <c r="C82" s="68">
        <f>'GHG Ent fermentation'!C33</f>
        <v>0</v>
      </c>
      <c r="D82" s="68">
        <f>Feed!AF22</f>
        <v>3.1521367970647289</v>
      </c>
      <c r="E82" s="1051">
        <f t="shared" si="12"/>
        <v>0</v>
      </c>
      <c r="F82" s="1051" t="str">
        <f>IFERROR(((((INPUTS!E19*0.034/6.38)+(INPUTS!F19*(268-(7*16))/6250))*INPUTS!D19/365)/E82),"")</f>
        <v/>
      </c>
      <c r="G82" s="69" t="str">
        <f t="shared" si="13"/>
        <v/>
      </c>
      <c r="I82" s="1042"/>
      <c r="J82" s="1042"/>
      <c r="K82" s="1042"/>
      <c r="L82" s="1042"/>
    </row>
    <row r="83" spans="1:19">
      <c r="B83" s="156">
        <f>INPUTS!C20</f>
        <v>0</v>
      </c>
      <c r="C83" s="68">
        <f>'GHG Ent fermentation'!C34</f>
        <v>0</v>
      </c>
      <c r="D83" s="68">
        <f>Feed!AF29</f>
        <v>0</v>
      </c>
      <c r="E83" s="1051">
        <f t="shared" si="12"/>
        <v>0</v>
      </c>
      <c r="F83" s="1051" t="str">
        <f>IFERROR(((((INPUTS!E20*0.034/6.38)+(INPUTS!F20*(268-(7*16))/6250))*INPUTS!D20/365)/E83),"")</f>
        <v/>
      </c>
      <c r="G83" s="69" t="str">
        <f t="shared" si="13"/>
        <v/>
      </c>
      <c r="I83" s="1042"/>
      <c r="J83" s="1042"/>
      <c r="K83" s="1042"/>
      <c r="L83" s="1042"/>
    </row>
    <row r="84" spans="1:19">
      <c r="B84" s="156">
        <f>INPUTS!C21</f>
        <v>0</v>
      </c>
      <c r="C84" s="68">
        <f>'GHG Ent fermentation'!C35</f>
        <v>0</v>
      </c>
      <c r="D84" s="68">
        <f>Feed!AF36</f>
        <v>0</v>
      </c>
      <c r="E84" s="1051">
        <f t="shared" si="12"/>
        <v>0</v>
      </c>
      <c r="F84" s="1051" t="str">
        <f>IFERROR(((((INPUTS!E21*0.034/6.38)+(INPUTS!F21*(268-(7*16))/6250))*INPUTS!D21/365)/E84),"")</f>
        <v/>
      </c>
      <c r="G84" s="69" t="str">
        <f t="shared" si="13"/>
        <v/>
      </c>
      <c r="I84" s="1042"/>
      <c r="J84" s="1042"/>
      <c r="K84" s="1042"/>
      <c r="L84" s="1042"/>
    </row>
    <row r="85" spans="1:19">
      <c r="B85" s="156">
        <f>INPUTS!C22</f>
        <v>0</v>
      </c>
      <c r="C85" s="68">
        <f>'GHG Ent fermentation'!C36</f>
        <v>0</v>
      </c>
      <c r="D85" s="68">
        <f>Feed!AF43</f>
        <v>0</v>
      </c>
      <c r="E85" s="1051">
        <f t="shared" si="12"/>
        <v>0</v>
      </c>
      <c r="F85" s="1051" t="str">
        <f>IFERROR(((((INPUTS!E22*0.034/6.38)+(INPUTS!F22*(268-(7*16))/6250))*INPUTS!D22/365)/E85),"")</f>
        <v/>
      </c>
      <c r="G85" s="69" t="str">
        <f t="shared" si="13"/>
        <v/>
      </c>
      <c r="I85" s="1042"/>
      <c r="J85" s="1042"/>
      <c r="K85" s="1042"/>
      <c r="L85" s="1042"/>
    </row>
    <row r="86" spans="1:19">
      <c r="B86" s="156">
        <f>INPUTS!C23</f>
        <v>0</v>
      </c>
      <c r="C86" s="68">
        <f>'GHG Ent fermentation'!C37</f>
        <v>0</v>
      </c>
      <c r="D86" s="68">
        <f>Feed!AF50</f>
        <v>0</v>
      </c>
      <c r="E86" s="1051">
        <f t="shared" si="12"/>
        <v>0</v>
      </c>
      <c r="F86" s="1051" t="str">
        <f>IFERROR(((((INPUTS!E23*0.034/6.38)+(INPUTS!F23*(268-(7*16))/6250))*INPUTS!D23/365)/E86),"")</f>
        <v/>
      </c>
      <c r="G86" s="69" t="str">
        <f t="shared" si="13"/>
        <v/>
      </c>
      <c r="I86" s="1042"/>
      <c r="J86" s="1042"/>
      <c r="K86" s="1042"/>
      <c r="L86" s="1042"/>
    </row>
    <row r="87" spans="1:19">
      <c r="B87" s="156">
        <f>INPUTS!C24</f>
        <v>0</v>
      </c>
      <c r="C87" s="68">
        <f>'GHG Ent fermentation'!C38</f>
        <v>0</v>
      </c>
      <c r="D87" s="68">
        <f>Feed!AF57</f>
        <v>0</v>
      </c>
      <c r="E87" s="1051">
        <f t="shared" si="12"/>
        <v>0</v>
      </c>
      <c r="F87" s="1051" t="str">
        <f>IFERROR(((((INPUTS!E24*0.034/6.38)+(INPUTS!F24*(268-(7*16))/6250))*INPUTS!D24/365)/E87),"")</f>
        <v/>
      </c>
      <c r="G87" s="69" t="str">
        <f t="shared" si="13"/>
        <v/>
      </c>
      <c r="H87" s="63"/>
      <c r="I87" s="1042"/>
      <c r="J87" s="1042"/>
      <c r="K87" s="1042"/>
      <c r="L87" s="1042"/>
    </row>
    <row r="88" spans="1:19" s="1096" customFormat="1">
      <c r="B88" s="156">
        <f>INPUTS!C25</f>
        <v>0</v>
      </c>
      <c r="C88" s="68">
        <f>'GHG Ent fermentation'!C39</f>
        <v>0</v>
      </c>
      <c r="D88" s="68">
        <f>Feed!AF64</f>
        <v>0</v>
      </c>
      <c r="E88" s="1051">
        <f t="shared" si="12"/>
        <v>0</v>
      </c>
      <c r="F88" s="1051" t="str">
        <f>IFERROR(((((INPUTS!E25*0.034/6.38)+(INPUTS!F25*(268-(7*16))/6250))*INPUTS!D25/365)/E88),"")</f>
        <v/>
      </c>
      <c r="G88" s="69" t="str">
        <f t="shared" si="13"/>
        <v/>
      </c>
      <c r="H88" s="63"/>
      <c r="I88" s="1042"/>
      <c r="J88" s="1042"/>
      <c r="K88" s="1042"/>
      <c r="L88" s="1042"/>
    </row>
    <row r="89" spans="1:19" s="1167" customFormat="1">
      <c r="B89" s="156">
        <f>INPUTS!C26</f>
        <v>0</v>
      </c>
      <c r="C89" s="68">
        <f>'GHG Ent fermentation'!C40</f>
        <v>0</v>
      </c>
      <c r="D89" s="68">
        <f>Feed!AF71</f>
        <v>0</v>
      </c>
      <c r="E89" s="1051">
        <f t="shared" si="12"/>
        <v>0</v>
      </c>
      <c r="F89" s="1051" t="str">
        <f>IFERROR(((((INPUTS!E26*0.034/6.38)+(INPUTS!F26*(268-(7*16))/6250))*INPUTS!D26/365)/E89),"")</f>
        <v/>
      </c>
      <c r="G89" s="69" t="str">
        <f t="shared" si="13"/>
        <v/>
      </c>
      <c r="H89" s="1166"/>
      <c r="I89" s="1042"/>
      <c r="J89" s="1042"/>
      <c r="K89" s="1042"/>
      <c r="L89" s="1042"/>
    </row>
    <row r="90" spans="1:19" s="1167" customFormat="1">
      <c r="B90" s="156">
        <f>INPUTS!C27</f>
        <v>0</v>
      </c>
      <c r="C90" s="68">
        <f>'GHG Ent fermentation'!C41</f>
        <v>0</v>
      </c>
      <c r="D90" s="68">
        <f>Feed!AF78</f>
        <v>0</v>
      </c>
      <c r="E90" s="1051">
        <f t="shared" si="12"/>
        <v>0</v>
      </c>
      <c r="F90" s="1051" t="str">
        <f>IFERROR(((((INPUTS!E27*0.034/6.38)+(INPUTS!F27*(268-(7*16))/6250))*INPUTS!D27/365)/E90),"")</f>
        <v/>
      </c>
      <c r="G90" s="69" t="str">
        <f t="shared" si="13"/>
        <v/>
      </c>
      <c r="H90" s="1166"/>
      <c r="I90" s="1042"/>
      <c r="J90" s="1042"/>
      <c r="K90" s="1042"/>
      <c r="L90" s="1042"/>
    </row>
    <row r="91" spans="1:19" s="1105" customFormat="1">
      <c r="B91" s="156">
        <f>INPUTS!C28</f>
        <v>0</v>
      </c>
      <c r="C91" s="68">
        <f>'GHG Ent fermentation'!C42</f>
        <v>0</v>
      </c>
      <c r="D91" s="68">
        <f>Feed!AF85</f>
        <v>0</v>
      </c>
      <c r="E91" s="1051">
        <f t="shared" si="12"/>
        <v>0</v>
      </c>
      <c r="F91" s="1051" t="str">
        <f>IFERROR(((((INPUTS!E28*0.034/6.38)+(INPUTS!F28*(268-(7*16))/6250))*INPUTS!D28/365)/E91),"")</f>
        <v/>
      </c>
      <c r="G91" s="69" t="str">
        <f t="shared" si="13"/>
        <v/>
      </c>
      <c r="H91" s="63"/>
      <c r="I91" s="1042"/>
      <c r="J91" s="1042"/>
      <c r="K91" s="1042"/>
      <c r="L91" s="1042"/>
    </row>
    <row r="92" spans="1:19" s="1105" customFormat="1">
      <c r="B92" s="156">
        <f>INPUTS!C29</f>
        <v>0</v>
      </c>
      <c r="C92" s="68">
        <f>'GHG Ent fermentation'!C43</f>
        <v>0</v>
      </c>
      <c r="D92" s="68">
        <f>Feed!AF92</f>
        <v>0</v>
      </c>
      <c r="E92" s="1051">
        <f t="shared" si="12"/>
        <v>0</v>
      </c>
      <c r="F92" s="1051" t="str">
        <f>IFERROR(((((INPUTS!E29*0.034/6.38)+(INPUTS!F29*(268-(7*16))/6250))*INPUTS!D29/365)/E92),"")</f>
        <v/>
      </c>
      <c r="G92" s="69" t="str">
        <f t="shared" si="13"/>
        <v/>
      </c>
      <c r="H92" s="63"/>
      <c r="I92" s="1042"/>
      <c r="J92" s="1042"/>
      <c r="K92" s="1042"/>
      <c r="L92" s="1042"/>
    </row>
    <row r="93" spans="1:19">
      <c r="B93" s="156">
        <f>INPUTS!C30</f>
        <v>0</v>
      </c>
      <c r="C93" s="68">
        <f>'GHG Ent fermentation'!C44</f>
        <v>0</v>
      </c>
      <c r="D93" s="68">
        <f>Feed!AF99</f>
        <v>0</v>
      </c>
      <c r="E93" s="1051">
        <f t="shared" si="12"/>
        <v>0</v>
      </c>
      <c r="F93" s="1051" t="str">
        <f>IFERROR(((((INPUTS!E30*0.034/6.38)+(INPUTS!F30*(268-(7*16))/6250))*INPUTS!D30/365)/E93),"")</f>
        <v/>
      </c>
      <c r="G93" s="69" t="str">
        <f t="shared" si="13"/>
        <v/>
      </c>
      <c r="I93" s="1042"/>
      <c r="J93" s="1042"/>
      <c r="K93" s="1042"/>
      <c r="L93" s="1042"/>
    </row>
    <row r="95" spans="1:19">
      <c r="A95" s="6" t="s">
        <v>107</v>
      </c>
      <c r="P95" s="8"/>
      <c r="Q95" s="7"/>
      <c r="R95" s="8"/>
      <c r="S95" s="7"/>
    </row>
    <row r="96" spans="1:19">
      <c r="A96" s="1" t="s">
        <v>108</v>
      </c>
      <c r="F96" t="s">
        <v>105</v>
      </c>
      <c r="P96" s="8"/>
      <c r="Q96" s="7"/>
      <c r="R96" s="8"/>
      <c r="S96" s="7"/>
    </row>
    <row r="97" spans="1:19">
      <c r="A97" t="s">
        <v>109</v>
      </c>
      <c r="F97" t="s">
        <v>106</v>
      </c>
      <c r="P97" s="8"/>
      <c r="Q97" s="7"/>
      <c r="R97" s="8"/>
      <c r="S97" s="7"/>
    </row>
    <row r="98" spans="1:19">
      <c r="A98" t="s">
        <v>110</v>
      </c>
    </row>
    <row r="99" spans="1:19">
      <c r="A99" t="s">
        <v>111</v>
      </c>
    </row>
    <row r="100" spans="1:19">
      <c r="A100" t="s">
        <v>112</v>
      </c>
      <c r="G100" s="51"/>
    </row>
    <row r="101" spans="1:19">
      <c r="A101" s="5"/>
    </row>
    <row r="102" spans="1:19">
      <c r="A102" s="5"/>
      <c r="B102" s="23" t="s">
        <v>253</v>
      </c>
      <c r="C102" s="67"/>
      <c r="D102" s="67"/>
      <c r="E102" s="67" t="s">
        <v>406</v>
      </c>
      <c r="F102" s="67"/>
      <c r="G102" s="67" t="s">
        <v>405</v>
      </c>
      <c r="H102" s="67"/>
      <c r="I102" s="46" t="s">
        <v>813</v>
      </c>
      <c r="J102" s="67" t="s">
        <v>814</v>
      </c>
      <c r="L102" s="171" t="s">
        <v>903</v>
      </c>
    </row>
    <row r="103" spans="1:19">
      <c r="A103" s="11"/>
      <c r="B103" s="1609" t="s">
        <v>257</v>
      </c>
      <c r="C103" s="1546" t="s">
        <v>1309</v>
      </c>
      <c r="D103" s="1548"/>
      <c r="E103" s="1624" t="s">
        <v>950</v>
      </c>
      <c r="F103" s="1626"/>
      <c r="G103" s="1624" t="s">
        <v>950</v>
      </c>
      <c r="H103" s="1626"/>
      <c r="I103" s="24" t="s">
        <v>395</v>
      </c>
      <c r="J103" s="31" t="s">
        <v>395</v>
      </c>
      <c r="L103" s="209" t="s">
        <v>397</v>
      </c>
      <c r="M103" s="1030"/>
    </row>
    <row r="104" spans="1:19">
      <c r="B104" s="1642"/>
      <c r="C104" s="1652" t="s">
        <v>393</v>
      </c>
      <c r="D104" s="1653"/>
      <c r="E104" s="1624" t="s">
        <v>398</v>
      </c>
      <c r="F104" s="1626"/>
      <c r="G104" s="1624" t="s">
        <v>398</v>
      </c>
      <c r="H104" s="1626"/>
      <c r="I104" s="24" t="s">
        <v>256</v>
      </c>
      <c r="J104" s="31" t="s">
        <v>256</v>
      </c>
      <c r="L104" s="209" t="s">
        <v>398</v>
      </c>
      <c r="M104" s="1030"/>
    </row>
    <row r="105" spans="1:19" ht="47.25" customHeight="1">
      <c r="B105" s="1643"/>
      <c r="C105" s="92" t="s">
        <v>392</v>
      </c>
      <c r="D105" s="27" t="s">
        <v>392</v>
      </c>
      <c r="E105" s="1638" t="s">
        <v>408</v>
      </c>
      <c r="F105" s="1639"/>
      <c r="G105" s="1638" t="s">
        <v>407</v>
      </c>
      <c r="H105" s="1639"/>
      <c r="I105" s="24" t="s">
        <v>396</v>
      </c>
      <c r="J105" s="31" t="s">
        <v>396</v>
      </c>
      <c r="L105" s="1031" t="s">
        <v>407</v>
      </c>
      <c r="M105" s="1032"/>
    </row>
    <row r="106" spans="1:19" ht="15.75" customHeight="1">
      <c r="B106" s="49" t="s">
        <v>142</v>
      </c>
      <c r="C106" s="14" t="str">
        <f>INPUTS!D33</f>
        <v>solid storage</v>
      </c>
      <c r="D106" s="14" t="str">
        <f>INPUTS!D34</f>
        <v xml:space="preserve">dry lot </v>
      </c>
      <c r="E106" s="14" t="str">
        <f>INPUTS!D33</f>
        <v>solid storage</v>
      </c>
      <c r="F106" s="14" t="str">
        <f>INPUTS!D34</f>
        <v xml:space="preserve">dry lot </v>
      </c>
      <c r="G106" s="14" t="str">
        <f>INPUTS!D33</f>
        <v>solid storage</v>
      </c>
      <c r="H106" s="14" t="str">
        <f>INPUTS!D34</f>
        <v xml:space="preserve">dry lot </v>
      </c>
      <c r="I106" s="52" t="s">
        <v>394</v>
      </c>
      <c r="J106" s="48" t="s">
        <v>394</v>
      </c>
    </row>
    <row r="107" spans="1:19">
      <c r="B107" s="156" t="str">
        <f>INPUTS!C17</f>
        <v>Cows (improved)</v>
      </c>
      <c r="C107" s="131">
        <f>VLOOKUP(C$106,'GHG Parameters'!A$110:B$112, 2,FALSE)</f>
        <v>5.0000000000000001E-3</v>
      </c>
      <c r="D107" s="131">
        <f>VLOOKUP(D$106,'GHG Parameters'!A$110:B$112,2,FALSE)</f>
        <v>0.02</v>
      </c>
      <c r="E107" s="68">
        <f>'GHG Manure'!E58*INPUTS!H17*C107</f>
        <v>0.41719499999999998</v>
      </c>
      <c r="F107" s="68">
        <f>'GHG Manure'!E58*INPUTS!I17*D107</f>
        <v>0</v>
      </c>
      <c r="G107" s="61">
        <f>IFERROR('GHG Manure'!G80*INPUTS!H17*C107,"")</f>
        <v>0.18855720376175558</v>
      </c>
      <c r="H107" s="61">
        <f>IFERROR(IFERROR('GHG Manure'!G80*INPUTS!I17*D107,"")/INPUTS!D17,0)</f>
        <v>0</v>
      </c>
      <c r="I107" s="68">
        <f>SUM(E107:F107)*(44/28)*INPUTS!D17</f>
        <v>0.65559214285714285</v>
      </c>
      <c r="J107" s="66">
        <f>SUM(G107:H107)*(44/28)*INPUTS!D17</f>
        <v>0.29630417733990161</v>
      </c>
    </row>
    <row r="108" spans="1:19">
      <c r="B108" s="156" t="str">
        <f>INPUTS!C18</f>
        <v>Steers/heifers (improved)</v>
      </c>
      <c r="C108" s="131">
        <f>VLOOKUP(C$106,'GHG Parameters'!A$110:B$112, 2,FALSE)</f>
        <v>5.0000000000000001E-3</v>
      </c>
      <c r="D108" s="131">
        <f>VLOOKUP(D$106,'GHG Parameters'!A$110:B$112,2,FALSE)</f>
        <v>0.02</v>
      </c>
      <c r="E108" s="68">
        <f>'GHG Manure'!E59*INPUTS!H18*C108</f>
        <v>0.33342750000000004</v>
      </c>
      <c r="F108" s="68">
        <f>'GHG Manure'!E59*INPUTS!I18*D108</f>
        <v>0</v>
      </c>
      <c r="G108" s="61">
        <f>IFERROR('GHG Manure'!G81*INPUTS!H18*C108,"")</f>
        <v>0.11513120000000004</v>
      </c>
      <c r="H108" s="61">
        <f>IFERROR(IFERROR('GHG Manure'!G81*INPUTS!I18*D108,"")/INPUTS!D18,0)</f>
        <v>0</v>
      </c>
      <c r="I108" s="68">
        <f>SUM(E108:F108)*(44/28)*INPUTS!D18</f>
        <v>0.52395750000000008</v>
      </c>
      <c r="J108" s="66">
        <f>SUM(G108:H108)*(44/28)*INPUTS!D18</f>
        <v>0.18092045714285721</v>
      </c>
    </row>
    <row r="109" spans="1:19">
      <c r="B109" s="156">
        <f>INPUTS!C19</f>
        <v>0</v>
      </c>
      <c r="C109" s="131">
        <f>VLOOKUP(C$106,'GHG Parameters'!A$110:B$112, 2,FALSE)</f>
        <v>5.0000000000000001E-3</v>
      </c>
      <c r="D109" s="131">
        <f>VLOOKUP(D$106,'GHG Parameters'!A$110:B$112,2,FALSE)</f>
        <v>0.02</v>
      </c>
      <c r="E109" s="68" t="e">
        <f>'GHG Manure'!E60*INPUTS!H19*C109</f>
        <v>#N/A</v>
      </c>
      <c r="F109" s="68" t="e">
        <f>'GHG Manure'!E60*INPUTS!I19*D109</f>
        <v>#N/A</v>
      </c>
      <c r="G109" s="61" t="str">
        <f>IFERROR('GHG Manure'!G82*INPUTS!H19*C109,"")</f>
        <v/>
      </c>
      <c r="H109" s="61">
        <f>IFERROR(IFERROR('GHG Manure'!G82*INPUTS!I19*D109,"")/INPUTS!D19,0)</f>
        <v>0</v>
      </c>
      <c r="I109" s="68" t="e">
        <f>SUM(E109:F109)*(44/28)*INPUTS!D19</f>
        <v>#N/A</v>
      </c>
      <c r="J109" s="66">
        <f>SUM(G109:H109)*(44/28)*INPUTS!D19</f>
        <v>0</v>
      </c>
    </row>
    <row r="110" spans="1:19">
      <c r="B110" s="156">
        <f>INPUTS!C20</f>
        <v>0</v>
      </c>
      <c r="C110" s="131">
        <f>VLOOKUP(C$106,'GHG Parameters'!A$110:B$112, 2,FALSE)</f>
        <v>5.0000000000000001E-3</v>
      </c>
      <c r="D110" s="131">
        <f>VLOOKUP(D$106,'GHG Parameters'!A$110:B$112,2,FALSE)</f>
        <v>0.02</v>
      </c>
      <c r="E110" s="68" t="e">
        <f>'GHG Manure'!E61*INPUTS!H20*C110</f>
        <v>#N/A</v>
      </c>
      <c r="F110" s="68" t="e">
        <f>'GHG Manure'!E61*INPUTS!I20*D110</f>
        <v>#N/A</v>
      </c>
      <c r="G110" s="61" t="str">
        <f>IFERROR('GHG Manure'!G83*INPUTS!H20*C110,"")</f>
        <v/>
      </c>
      <c r="H110" s="61">
        <f>IFERROR(IFERROR('GHG Manure'!G83*INPUTS!I20*D110,"")/INPUTS!D20,0)</f>
        <v>0</v>
      </c>
      <c r="I110" s="68" t="e">
        <f>SUM(E110:F110)*(44/28)*INPUTS!D20</f>
        <v>#N/A</v>
      </c>
      <c r="J110" s="66">
        <f>SUM(G110:H110)*(44/28)*INPUTS!D20</f>
        <v>0</v>
      </c>
    </row>
    <row r="111" spans="1:19">
      <c r="B111" s="156">
        <f>INPUTS!C21</f>
        <v>0</v>
      </c>
      <c r="C111" s="131">
        <f>VLOOKUP(C$106,'GHG Parameters'!A$110:B$112, 2,FALSE)</f>
        <v>5.0000000000000001E-3</v>
      </c>
      <c r="D111" s="131">
        <f>VLOOKUP(D$106,'GHG Parameters'!A$110:B$112,2,FALSE)</f>
        <v>0.02</v>
      </c>
      <c r="E111" s="68" t="e">
        <f>'GHG Manure'!E62*INPUTS!H21*C111</f>
        <v>#N/A</v>
      </c>
      <c r="F111" s="68" t="e">
        <f>'GHG Manure'!E62*INPUTS!I21*D111</f>
        <v>#N/A</v>
      </c>
      <c r="G111" s="61" t="str">
        <f>IFERROR('GHG Manure'!G84*INPUTS!H21*C111,"")</f>
        <v/>
      </c>
      <c r="H111" s="61">
        <f>IFERROR(IFERROR('GHG Manure'!G84*INPUTS!I21*D111,"")/INPUTS!D21,0)</f>
        <v>0</v>
      </c>
      <c r="I111" s="68" t="e">
        <f>SUM(E111:F111)*(44/28)*INPUTS!D21</f>
        <v>#N/A</v>
      </c>
      <c r="J111" s="66">
        <f>SUM(G111:H111)*(44/28)*INPUTS!D21</f>
        <v>0</v>
      </c>
    </row>
    <row r="112" spans="1:19">
      <c r="B112" s="156">
        <f>INPUTS!C22</f>
        <v>0</v>
      </c>
      <c r="C112" s="131">
        <f>VLOOKUP(C$106,'GHG Parameters'!A$110:B$112, 2,FALSE)</f>
        <v>5.0000000000000001E-3</v>
      </c>
      <c r="D112" s="131">
        <f>VLOOKUP(D$106,'GHG Parameters'!A$110:B$112,2,FALSE)</f>
        <v>0.02</v>
      </c>
      <c r="E112" s="68" t="e">
        <f>'GHG Manure'!E63*INPUTS!H22*C112</f>
        <v>#N/A</v>
      </c>
      <c r="F112" s="68" t="e">
        <f>'GHG Manure'!E63*INPUTS!I22*D112</f>
        <v>#N/A</v>
      </c>
      <c r="G112" s="61" t="str">
        <f>IFERROR('GHG Manure'!G85*INPUTS!H22*C112,"")</f>
        <v/>
      </c>
      <c r="H112" s="61">
        <f>IFERROR(IFERROR('GHG Manure'!G85*INPUTS!I22*D112,"")/INPUTS!D22,0)</f>
        <v>0</v>
      </c>
      <c r="I112" s="68" t="e">
        <f>SUM(E112:F112)*(44/28)*INPUTS!D22</f>
        <v>#N/A</v>
      </c>
      <c r="J112" s="66">
        <f>SUM(G112:H112)*(44/28)*INPUTS!D22</f>
        <v>0</v>
      </c>
    </row>
    <row r="113" spans="1:13">
      <c r="B113" s="156">
        <f>INPUTS!C23</f>
        <v>0</v>
      </c>
      <c r="C113" s="131">
        <f>VLOOKUP(C$106,'GHG Parameters'!A$110:B$112, 2,FALSE)</f>
        <v>5.0000000000000001E-3</v>
      </c>
      <c r="D113" s="131">
        <f>VLOOKUP(D$106,'GHG Parameters'!A$110:B$112,2,FALSE)</f>
        <v>0.02</v>
      </c>
      <c r="E113" s="68" t="e">
        <f>'GHG Manure'!E64*INPUTS!H23*C113</f>
        <v>#N/A</v>
      </c>
      <c r="F113" s="68" t="e">
        <f>'GHG Manure'!E64*INPUTS!I23*D113</f>
        <v>#N/A</v>
      </c>
      <c r="G113" s="61" t="str">
        <f>IFERROR('GHG Manure'!G86*INPUTS!H23*C113,"")</f>
        <v/>
      </c>
      <c r="H113" s="61">
        <f>IFERROR(IFERROR('GHG Manure'!G86*INPUTS!I23*D113,"")/INPUTS!D23,0)</f>
        <v>0</v>
      </c>
      <c r="I113" s="68" t="e">
        <f>SUM(E113:F113)*(44/28)*INPUTS!D23</f>
        <v>#N/A</v>
      </c>
      <c r="J113" s="66">
        <f>SUM(G113:H113)*(44/28)*INPUTS!D23</f>
        <v>0</v>
      </c>
    </row>
    <row r="114" spans="1:13">
      <c r="B114" s="156">
        <f>INPUTS!C24</f>
        <v>0</v>
      </c>
      <c r="C114" s="131">
        <f>VLOOKUP(C$106,'GHG Parameters'!A$110:B$112, 2,FALSE)</f>
        <v>5.0000000000000001E-3</v>
      </c>
      <c r="D114" s="131">
        <f>VLOOKUP(D$106,'GHG Parameters'!A$110:B$112,2,FALSE)</f>
        <v>0.02</v>
      </c>
      <c r="E114" s="68" t="e">
        <f>'GHG Manure'!E65*INPUTS!H24*C114</f>
        <v>#N/A</v>
      </c>
      <c r="F114" s="68" t="e">
        <f>'GHG Manure'!E65*INPUTS!I24*D114</f>
        <v>#N/A</v>
      </c>
      <c r="G114" s="61" t="str">
        <f>IFERROR('GHG Manure'!G87*INPUTS!H24*C114,"")</f>
        <v/>
      </c>
      <c r="H114" s="61">
        <f>IFERROR(IFERROR('GHG Manure'!G87*INPUTS!I24*D114,"")/INPUTS!D24,0)</f>
        <v>0</v>
      </c>
      <c r="I114" s="68" t="e">
        <f>SUM(E114:F114)*(44/28)*INPUTS!D24</f>
        <v>#N/A</v>
      </c>
      <c r="J114" s="66">
        <f>SUM(G114:H114)*(44/28)*INPUTS!D24</f>
        <v>0</v>
      </c>
    </row>
    <row r="115" spans="1:13" s="1096" customFormat="1">
      <c r="B115" s="156">
        <f>INPUTS!C25</f>
        <v>0</v>
      </c>
      <c r="C115" s="131">
        <f>VLOOKUP(C$106,'GHG Parameters'!A$110:B$112, 2,FALSE)</f>
        <v>5.0000000000000001E-3</v>
      </c>
      <c r="D115" s="131">
        <f>VLOOKUP(D$106,'GHG Parameters'!A$110:B$112,2,FALSE)</f>
        <v>0.02</v>
      </c>
      <c r="E115" s="68" t="e">
        <f>'GHG Manure'!E66*INPUTS!H25*C115</f>
        <v>#N/A</v>
      </c>
      <c r="F115" s="68" t="e">
        <f>'GHG Manure'!E66*INPUTS!I25*D115</f>
        <v>#N/A</v>
      </c>
      <c r="G115" s="61" t="str">
        <f>IFERROR('GHG Manure'!G88*INPUTS!H25*C115,"")</f>
        <v/>
      </c>
      <c r="H115" s="61">
        <f>IFERROR(IFERROR('GHG Manure'!G88*INPUTS!I25*D115,"")/INPUTS!D25,0)</f>
        <v>0</v>
      </c>
      <c r="I115" s="68" t="e">
        <f>SUM(E115:F115)*(44/28)*INPUTS!D25</f>
        <v>#N/A</v>
      </c>
      <c r="J115" s="66">
        <f>SUM(G115:H115)*(44/28)*INPUTS!D25</f>
        <v>0</v>
      </c>
    </row>
    <row r="116" spans="1:13" s="1167" customFormat="1">
      <c r="B116" s="156">
        <f>INPUTS!C26</f>
        <v>0</v>
      </c>
      <c r="C116" s="131">
        <f>VLOOKUP(C$106,'GHG Parameters'!A$110:B$112, 2,FALSE)</f>
        <v>5.0000000000000001E-3</v>
      </c>
      <c r="D116" s="131">
        <f>VLOOKUP(D$106,'GHG Parameters'!A$110:B$112,2,FALSE)</f>
        <v>0.02</v>
      </c>
      <c r="E116" s="68" t="e">
        <f>'GHG Manure'!E67*INPUTS!H26*C116</f>
        <v>#N/A</v>
      </c>
      <c r="F116" s="68" t="e">
        <f>'GHG Manure'!E67*INPUTS!I26*D116</f>
        <v>#N/A</v>
      </c>
      <c r="G116" s="61" t="str">
        <f>IFERROR('GHG Manure'!G89*INPUTS!H26*C116,"")</f>
        <v/>
      </c>
      <c r="H116" s="61">
        <f>IFERROR(IFERROR('GHG Manure'!G89*INPUTS!I26*D116,"")/INPUTS!D26,0)</f>
        <v>0</v>
      </c>
      <c r="I116" s="68" t="e">
        <f>SUM(E116:F116)*(44/28)*INPUTS!D26</f>
        <v>#N/A</v>
      </c>
      <c r="J116" s="66">
        <f>SUM(G116:H116)*(44/28)*INPUTS!D26</f>
        <v>0</v>
      </c>
    </row>
    <row r="117" spans="1:13" s="1167" customFormat="1">
      <c r="B117" s="156">
        <f>INPUTS!C27</f>
        <v>0</v>
      </c>
      <c r="C117" s="131">
        <f>VLOOKUP(C$106,'GHG Parameters'!A$110:B$112, 2,FALSE)</f>
        <v>5.0000000000000001E-3</v>
      </c>
      <c r="D117" s="131">
        <f>VLOOKUP(D$106,'GHG Parameters'!A$110:B$112,2,FALSE)</f>
        <v>0.02</v>
      </c>
      <c r="E117" s="68" t="e">
        <f>'GHG Manure'!E68*INPUTS!H27*C117</f>
        <v>#N/A</v>
      </c>
      <c r="F117" s="68" t="e">
        <f>'GHG Manure'!E68*INPUTS!I27*D117</f>
        <v>#N/A</v>
      </c>
      <c r="G117" s="61" t="str">
        <f>IFERROR('GHG Manure'!G90*INPUTS!H27*C117,"")</f>
        <v/>
      </c>
      <c r="H117" s="61">
        <f>IFERROR(IFERROR('GHG Manure'!G90*INPUTS!I27*D117,"")/INPUTS!D27,0)</f>
        <v>0</v>
      </c>
      <c r="I117" s="68" t="e">
        <f>SUM(E117:F117)*(44/28)*INPUTS!D27</f>
        <v>#N/A</v>
      </c>
      <c r="J117" s="66">
        <f>SUM(G117:H117)*(44/28)*INPUTS!D27</f>
        <v>0</v>
      </c>
    </row>
    <row r="118" spans="1:13" s="1105" customFormat="1">
      <c r="B118" s="156">
        <f>INPUTS!C28</f>
        <v>0</v>
      </c>
      <c r="C118" s="131">
        <f>VLOOKUP(C$106,'GHG Parameters'!A$110:B$112, 2,FALSE)</f>
        <v>5.0000000000000001E-3</v>
      </c>
      <c r="D118" s="131">
        <f>VLOOKUP(D$106,'GHG Parameters'!A$110:B$112,2,FALSE)</f>
        <v>0.02</v>
      </c>
      <c r="E118" s="68" t="e">
        <f>'GHG Manure'!E69*INPUTS!H28*C118</f>
        <v>#N/A</v>
      </c>
      <c r="F118" s="68" t="e">
        <f>'GHG Manure'!E69*INPUTS!I28*D118</f>
        <v>#N/A</v>
      </c>
      <c r="G118" s="61" t="str">
        <f>IFERROR('GHG Manure'!G91*INPUTS!H28*C118,"")</f>
        <v/>
      </c>
      <c r="H118" s="61">
        <f>IFERROR(IFERROR('GHG Manure'!G91*INPUTS!I28*D118,"")/INPUTS!D28,0)</f>
        <v>0</v>
      </c>
      <c r="I118" s="68" t="e">
        <f>SUM(E118:F118)*(44/28)*INPUTS!D28</f>
        <v>#N/A</v>
      </c>
      <c r="J118" s="66">
        <f>SUM(G118:H118)*(44/28)*INPUTS!D28</f>
        <v>0</v>
      </c>
    </row>
    <row r="119" spans="1:13" s="1105" customFormat="1">
      <c r="B119" s="156">
        <f>INPUTS!C29</f>
        <v>0</v>
      </c>
      <c r="C119" s="131">
        <f>VLOOKUP(C$106,'GHG Parameters'!A$110:B$112, 2,FALSE)</f>
        <v>5.0000000000000001E-3</v>
      </c>
      <c r="D119" s="131">
        <f>VLOOKUP(D$106,'GHG Parameters'!A$110:B$112,2,FALSE)</f>
        <v>0.02</v>
      </c>
      <c r="E119" s="68" t="e">
        <f>'GHG Manure'!E70*INPUTS!H29*C119</f>
        <v>#N/A</v>
      </c>
      <c r="F119" s="68" t="e">
        <f>'GHG Manure'!E70*INPUTS!I29*D119</f>
        <v>#N/A</v>
      </c>
      <c r="G119" s="61" t="str">
        <f>IFERROR('GHG Manure'!G92*INPUTS!H29*C119,"")</f>
        <v/>
      </c>
      <c r="H119" s="61">
        <f>IFERROR(IFERROR('GHG Manure'!G92*INPUTS!I29*D119,"")/INPUTS!D29,0)</f>
        <v>0</v>
      </c>
      <c r="I119" s="68" t="e">
        <f>SUM(E119:F119)*(44/28)*INPUTS!D29</f>
        <v>#N/A</v>
      </c>
      <c r="J119" s="66">
        <f>SUM(G119:H119)*(44/28)*INPUTS!D29</f>
        <v>0</v>
      </c>
    </row>
    <row r="120" spans="1:13">
      <c r="B120" s="156">
        <f>INPUTS!C30</f>
        <v>0</v>
      </c>
      <c r="C120" s="131">
        <f>VLOOKUP(C$106,'GHG Parameters'!A$110:B$112, 2,FALSE)</f>
        <v>5.0000000000000001E-3</v>
      </c>
      <c r="D120" s="131">
        <f>VLOOKUP(D$106,'GHG Parameters'!A$110:B$112,2,FALSE)</f>
        <v>0.02</v>
      </c>
      <c r="E120" s="68" t="e">
        <f>'GHG Manure'!E71*INPUTS!H30*C120</f>
        <v>#N/A</v>
      </c>
      <c r="F120" s="68" t="e">
        <f>'GHG Manure'!E71*INPUTS!I30*D120</f>
        <v>#N/A</v>
      </c>
      <c r="G120" s="61" t="str">
        <f>IFERROR('GHG Manure'!G93*INPUTS!H30*C120,"")</f>
        <v/>
      </c>
      <c r="H120" s="61">
        <f>IFERROR(IFERROR('GHG Manure'!G93*INPUTS!I30*D120,"")/INPUTS!D30,0)</f>
        <v>0</v>
      </c>
      <c r="I120" s="68" t="e">
        <f>SUM(E120:F120)*(44/28)*INPUTS!D30</f>
        <v>#N/A</v>
      </c>
      <c r="J120" s="66">
        <f>SUM(G120:H120)*(44/28)*INPUTS!D30</f>
        <v>0</v>
      </c>
    </row>
    <row r="121" spans="1:13">
      <c r="H121" s="50" t="s">
        <v>121</v>
      </c>
      <c r="I121" s="47">
        <f>SUMIF(I107:I120,"&lt;&gt;#N/A")</f>
        <v>1.1795496428571428</v>
      </c>
      <c r="J121" s="66">
        <f>SUM(J107:J120)</f>
        <v>0.47722463448275881</v>
      </c>
    </row>
    <row r="124" spans="1:13">
      <c r="A124" s="5" t="s">
        <v>421</v>
      </c>
    </row>
    <row r="125" spans="1:13">
      <c r="B125" s="23"/>
      <c r="C125" s="23"/>
      <c r="D125" s="23"/>
      <c r="E125" s="23"/>
      <c r="F125" s="23"/>
      <c r="G125" s="23"/>
      <c r="H125" s="23"/>
      <c r="I125" s="23" t="s">
        <v>420</v>
      </c>
      <c r="J125" s="23" t="s">
        <v>420</v>
      </c>
      <c r="K125" s="23"/>
      <c r="L125" s="23" t="s">
        <v>419</v>
      </c>
      <c r="M125" s="67" t="s">
        <v>419</v>
      </c>
    </row>
    <row r="126" spans="1:13" ht="47.25" customHeight="1">
      <c r="A126" s="10"/>
      <c r="B126" s="1663" t="s">
        <v>257</v>
      </c>
      <c r="C126" s="1640" t="s">
        <v>415</v>
      </c>
      <c r="D126" s="1573"/>
      <c r="E126" s="1546" t="s">
        <v>416</v>
      </c>
      <c r="F126" s="1548"/>
      <c r="G126" s="1546" t="s">
        <v>416</v>
      </c>
      <c r="H126" s="1548"/>
      <c r="I126" s="56" t="s">
        <v>414</v>
      </c>
      <c r="J126" s="56" t="s">
        <v>414</v>
      </c>
      <c r="K126" s="58" t="s">
        <v>400</v>
      </c>
      <c r="L126" s="24" t="s">
        <v>417</v>
      </c>
      <c r="M126" s="31" t="s">
        <v>417</v>
      </c>
    </row>
    <row r="127" spans="1:13" ht="31.5">
      <c r="B127" s="1664"/>
      <c r="C127" s="1666" t="s">
        <v>357</v>
      </c>
      <c r="D127" s="1667"/>
      <c r="E127" s="1638" t="s">
        <v>399</v>
      </c>
      <c r="F127" s="1639"/>
      <c r="G127" s="1638" t="s">
        <v>399</v>
      </c>
      <c r="H127" s="1639"/>
      <c r="I127" s="56" t="s">
        <v>213</v>
      </c>
      <c r="J127" s="56" t="s">
        <v>213</v>
      </c>
      <c r="K127" s="52" t="s">
        <v>402</v>
      </c>
      <c r="L127" s="60" t="s">
        <v>403</v>
      </c>
      <c r="M127" s="60" t="s">
        <v>403</v>
      </c>
    </row>
    <row r="128" spans="1:13" ht="47.25">
      <c r="B128" s="1665"/>
      <c r="C128" s="1638" t="s">
        <v>122</v>
      </c>
      <c r="D128" s="1639"/>
      <c r="E128" s="1638" t="s">
        <v>409</v>
      </c>
      <c r="F128" s="1639"/>
      <c r="G128" s="1638" t="s">
        <v>410</v>
      </c>
      <c r="H128" s="1639"/>
      <c r="I128" s="56"/>
      <c r="J128" s="56"/>
      <c r="K128" s="59" t="s">
        <v>401</v>
      </c>
      <c r="L128" s="54" t="s">
        <v>404</v>
      </c>
      <c r="M128" s="54" t="s">
        <v>404</v>
      </c>
    </row>
    <row r="129" spans="1:13" s="10" customFormat="1" ht="78.75" customHeight="1">
      <c r="A129"/>
      <c r="B129" s="62" t="s">
        <v>382</v>
      </c>
      <c r="C129" s="162" t="str">
        <f>INPUTS!D33</f>
        <v>solid storage</v>
      </c>
      <c r="D129" s="162" t="str">
        <f>INPUTS!D34</f>
        <v xml:space="preserve">dry lot </v>
      </c>
      <c r="E129" s="52" t="str">
        <f>INPUTS!D33</f>
        <v>solid storage</v>
      </c>
      <c r="F129" s="52" t="str">
        <f>INPUTS!D34</f>
        <v xml:space="preserve">dry lot </v>
      </c>
      <c r="G129" s="52" t="str">
        <f>INPUTS!D33</f>
        <v>solid storage</v>
      </c>
      <c r="H129" s="52" t="str">
        <f>INPUTS!D34</f>
        <v xml:space="preserve">dry lot </v>
      </c>
      <c r="I129" s="56" t="s">
        <v>411</v>
      </c>
      <c r="J129" s="56" t="s">
        <v>412</v>
      </c>
      <c r="K129" s="59" t="s">
        <v>124</v>
      </c>
      <c r="L129" s="54" t="s">
        <v>413</v>
      </c>
      <c r="M129" s="54" t="s">
        <v>418</v>
      </c>
    </row>
    <row r="130" spans="1:13" ht="17.100000000000001" customHeight="1">
      <c r="B130" s="156" t="str">
        <f>INPUTS!C17</f>
        <v>Cows (improved)</v>
      </c>
      <c r="C130" s="161">
        <f>VLOOKUP($C$129,'GHG Parameters'!$B$58:$C$62,2,FALSE)</f>
        <v>0.3</v>
      </c>
      <c r="D130" s="161">
        <f>VLOOKUP($D$129,'GHG Parameters'!$B$57:$C$58,2,FALSE)</f>
        <v>0.2</v>
      </c>
      <c r="E130" s="53">
        <f>'GHG Manure'!E58*INPUTS!H17*C130</f>
        <v>25.031699999999997</v>
      </c>
      <c r="F130" s="53">
        <f>'GHG Manure'!E58*INPUTS!I17*D130</f>
        <v>0</v>
      </c>
      <c r="G130" s="53">
        <f>IFERROR((('GHG Manure'!G80*INPUTS!H17)*'GHG Manure'!C130),"")</f>
        <v>11.313432225705334</v>
      </c>
      <c r="H130" s="53">
        <f>IFERROR(IFERROR('GHG Manure'!G80*INPUTS!I17*'GHG Manure'!D130,"")/INPUTS!D17,0)</f>
        <v>0</v>
      </c>
      <c r="I130" s="57">
        <f>(SUM(E130:F130))*INPUTS!D17</f>
        <v>25.031699999999997</v>
      </c>
      <c r="J130" s="57">
        <f>(SUM(G130:H130))*INPUTS!D17</f>
        <v>11.313432225705334</v>
      </c>
      <c r="K130" s="52">
        <f>'GHG Parameters'!D$124</f>
        <v>0.01</v>
      </c>
      <c r="L130" s="68">
        <f t="shared" ref="L130:L143" si="14">(I130*K130)*(44/28)</f>
        <v>0.39335528571428563</v>
      </c>
      <c r="M130" s="55">
        <f t="shared" ref="M130:M143" si="15">(J130*K130)*(44/28)</f>
        <v>0.17778250640394097</v>
      </c>
    </row>
    <row r="131" spans="1:13">
      <c r="B131" s="156" t="str">
        <f>INPUTS!C18</f>
        <v>Steers/heifers (improved)</v>
      </c>
      <c r="C131" s="161">
        <f>VLOOKUP($C$129,'GHG Parameters'!$B$58:$C$62,2,FALSE)</f>
        <v>0.3</v>
      </c>
      <c r="D131" s="161">
        <f>VLOOKUP($D$129,'GHG Parameters'!$B$57:$C$58,2,FALSE)</f>
        <v>0.2</v>
      </c>
      <c r="E131" s="53">
        <f>'GHG Manure'!E59*INPUTS!H18*C131</f>
        <v>20.005649999999999</v>
      </c>
      <c r="F131" s="53">
        <f>'GHG Manure'!E59*INPUTS!I18*D131</f>
        <v>0</v>
      </c>
      <c r="G131" s="53">
        <f>IFERROR((('GHG Manure'!G81*INPUTS!H18)*'GHG Manure'!C131),"")</f>
        <v>6.907872000000002</v>
      </c>
      <c r="H131" s="53">
        <f>IFERROR(IFERROR('GHG Manure'!G81*INPUTS!I18*'GHG Manure'!D131,"")/INPUTS!D18,0)</f>
        <v>0</v>
      </c>
      <c r="I131" s="57">
        <f>(SUM(E131:F131))*INPUTS!D18</f>
        <v>20.005649999999999</v>
      </c>
      <c r="J131" s="57">
        <f>(SUM(G131:H131))*INPUTS!D18</f>
        <v>6.907872000000002</v>
      </c>
      <c r="K131" s="52">
        <f>'GHG Parameters'!D$124</f>
        <v>0.01</v>
      </c>
      <c r="L131" s="68">
        <f t="shared" si="14"/>
        <v>0.3143745</v>
      </c>
      <c r="M131" s="55">
        <f t="shared" si="15"/>
        <v>0.10855227428571432</v>
      </c>
    </row>
    <row r="132" spans="1:13">
      <c r="B132" s="156">
        <f>INPUTS!C19</f>
        <v>0</v>
      </c>
      <c r="C132" s="161">
        <f>VLOOKUP($C$129,'GHG Parameters'!$B$58:$C$62,2,FALSE)</f>
        <v>0.3</v>
      </c>
      <c r="D132" s="161">
        <f>VLOOKUP($D$129,'GHG Parameters'!$B$57:$C$58,2,FALSE)</f>
        <v>0.2</v>
      </c>
      <c r="E132" s="53" t="e">
        <f>'GHG Manure'!E60*INPUTS!H19*C132</f>
        <v>#N/A</v>
      </c>
      <c r="F132" s="53" t="e">
        <f>'GHG Manure'!E60*INPUTS!I19*D132</f>
        <v>#N/A</v>
      </c>
      <c r="G132" s="53" t="str">
        <f>IFERROR((('GHG Manure'!G82*INPUTS!H19)*'GHG Manure'!C132),"")</f>
        <v/>
      </c>
      <c r="H132" s="53">
        <f>IFERROR(IFERROR('GHG Manure'!G82*INPUTS!I19*'GHG Manure'!D132,"")/INPUTS!D19,0)</f>
        <v>0</v>
      </c>
      <c r="I132" s="57" t="e">
        <f>(SUM(E132:F132))*INPUTS!D19</f>
        <v>#N/A</v>
      </c>
      <c r="J132" s="57">
        <f>(SUM(G132:H132))*INPUTS!D19</f>
        <v>0</v>
      </c>
      <c r="K132" s="52">
        <f>'GHG Parameters'!D$124</f>
        <v>0.01</v>
      </c>
      <c r="L132" s="68" t="e">
        <f t="shared" si="14"/>
        <v>#N/A</v>
      </c>
      <c r="M132" s="55">
        <f t="shared" si="15"/>
        <v>0</v>
      </c>
    </row>
    <row r="133" spans="1:13">
      <c r="B133" s="156">
        <f>INPUTS!C20</f>
        <v>0</v>
      </c>
      <c r="C133" s="161">
        <f>VLOOKUP($C$129,'GHG Parameters'!$B$58:$C$62,2,FALSE)</f>
        <v>0.3</v>
      </c>
      <c r="D133" s="161">
        <f>VLOOKUP($D$129,'GHG Parameters'!$B$57:$C$58,2,FALSE)</f>
        <v>0.2</v>
      </c>
      <c r="E133" s="53" t="e">
        <f>'GHG Manure'!E61*INPUTS!H20*C133</f>
        <v>#N/A</v>
      </c>
      <c r="F133" s="53" t="e">
        <f>'GHG Manure'!E61*INPUTS!I20*D133</f>
        <v>#N/A</v>
      </c>
      <c r="G133" s="53" t="str">
        <f>IFERROR((('GHG Manure'!G83*INPUTS!H20)*'GHG Manure'!C133),"")</f>
        <v/>
      </c>
      <c r="H133" s="53">
        <f>IFERROR(IFERROR('GHG Manure'!G83*INPUTS!I20*'GHG Manure'!D133,"")/INPUTS!D20,0)</f>
        <v>0</v>
      </c>
      <c r="I133" s="57" t="e">
        <f>(SUM(E133:F133))*INPUTS!D20</f>
        <v>#N/A</v>
      </c>
      <c r="J133" s="57">
        <f>(SUM(G133:H133))*INPUTS!D20</f>
        <v>0</v>
      </c>
      <c r="K133" s="52">
        <f>'GHG Parameters'!D$124</f>
        <v>0.01</v>
      </c>
      <c r="L133" s="68" t="e">
        <f t="shared" si="14"/>
        <v>#N/A</v>
      </c>
      <c r="M133" s="55">
        <f t="shared" si="15"/>
        <v>0</v>
      </c>
    </row>
    <row r="134" spans="1:13">
      <c r="B134" s="156">
        <f>INPUTS!C21</f>
        <v>0</v>
      </c>
      <c r="C134" s="161">
        <f>VLOOKUP($C$129,'GHG Parameters'!$B$58:$C$62,2,FALSE)</f>
        <v>0.3</v>
      </c>
      <c r="D134" s="161">
        <f>VLOOKUP($D$129,'GHG Parameters'!$B$57:$C$58,2,FALSE)</f>
        <v>0.2</v>
      </c>
      <c r="E134" s="53" t="e">
        <f>'GHG Manure'!E62*INPUTS!H21*C134</f>
        <v>#N/A</v>
      </c>
      <c r="F134" s="53" t="e">
        <f>'GHG Manure'!E62*INPUTS!I21*D134</f>
        <v>#N/A</v>
      </c>
      <c r="G134" s="53" t="str">
        <f>IFERROR((('GHG Manure'!G84*INPUTS!H21)*'GHG Manure'!C134),"")</f>
        <v/>
      </c>
      <c r="H134" s="53">
        <f>IFERROR(IFERROR('GHG Manure'!G84*INPUTS!I21*'GHG Manure'!D134,"")/INPUTS!D21,0)</f>
        <v>0</v>
      </c>
      <c r="I134" s="57" t="e">
        <f>(SUM(E134:F134))*INPUTS!D21</f>
        <v>#N/A</v>
      </c>
      <c r="J134" s="57">
        <f>(SUM(G134:H134))*INPUTS!D21</f>
        <v>0</v>
      </c>
      <c r="K134" s="52">
        <f>'GHG Parameters'!D$124</f>
        <v>0.01</v>
      </c>
      <c r="L134" s="68" t="e">
        <f t="shared" si="14"/>
        <v>#N/A</v>
      </c>
      <c r="M134" s="55">
        <f t="shared" si="15"/>
        <v>0</v>
      </c>
    </row>
    <row r="135" spans="1:13">
      <c r="B135" s="156">
        <f>INPUTS!C22</f>
        <v>0</v>
      </c>
      <c r="C135" s="161">
        <f>VLOOKUP($C$129,'GHG Parameters'!$B$58:$C$62,2,FALSE)</f>
        <v>0.3</v>
      </c>
      <c r="D135" s="161">
        <f>VLOOKUP($D$129,'GHG Parameters'!$B$57:$C$58,2,FALSE)</f>
        <v>0.2</v>
      </c>
      <c r="E135" s="53" t="e">
        <f>'GHG Manure'!E63*INPUTS!H22*C135</f>
        <v>#N/A</v>
      </c>
      <c r="F135" s="53" t="e">
        <f>'GHG Manure'!E63*INPUTS!I22*D135</f>
        <v>#N/A</v>
      </c>
      <c r="G135" s="53" t="str">
        <f>IFERROR((('GHG Manure'!G85*INPUTS!H22)*'GHG Manure'!C135),"")</f>
        <v/>
      </c>
      <c r="H135" s="53">
        <f>IFERROR(IFERROR('GHG Manure'!G85*INPUTS!I22*'GHG Manure'!D135,"")/INPUTS!D22,0)</f>
        <v>0</v>
      </c>
      <c r="I135" s="57" t="e">
        <f>(SUM(E135:F135))*INPUTS!D22</f>
        <v>#N/A</v>
      </c>
      <c r="J135" s="57">
        <f>(SUM(G135:H135))*INPUTS!D22</f>
        <v>0</v>
      </c>
      <c r="K135" s="52">
        <f>'GHG Parameters'!D$124</f>
        <v>0.01</v>
      </c>
      <c r="L135" s="68" t="e">
        <f t="shared" si="14"/>
        <v>#N/A</v>
      </c>
      <c r="M135" s="55">
        <f t="shared" si="15"/>
        <v>0</v>
      </c>
    </row>
    <row r="136" spans="1:13">
      <c r="B136" s="156">
        <f>INPUTS!C23</f>
        <v>0</v>
      </c>
      <c r="C136" s="161">
        <f>VLOOKUP($C$129,'GHG Parameters'!$B$58:$C$62,2,FALSE)</f>
        <v>0.3</v>
      </c>
      <c r="D136" s="161">
        <f>VLOOKUP($D$129,'GHG Parameters'!$B$57:$C$58,2,FALSE)</f>
        <v>0.2</v>
      </c>
      <c r="E136" s="53" t="e">
        <f>'GHG Manure'!E64*INPUTS!H23*C136</f>
        <v>#N/A</v>
      </c>
      <c r="F136" s="53" t="e">
        <f>'GHG Manure'!E64*INPUTS!I23*D136</f>
        <v>#N/A</v>
      </c>
      <c r="G136" s="53" t="str">
        <f>IFERROR((('GHG Manure'!G86*INPUTS!H23)*'GHG Manure'!C136),"")</f>
        <v/>
      </c>
      <c r="H136" s="53">
        <f>IFERROR(IFERROR('GHG Manure'!G86*INPUTS!I23*'GHG Manure'!D136,"")/INPUTS!D23,0)</f>
        <v>0</v>
      </c>
      <c r="I136" s="57" t="e">
        <f>(SUM(E136:F136))*INPUTS!D23</f>
        <v>#N/A</v>
      </c>
      <c r="J136" s="57">
        <f>(SUM(G136:H136))*INPUTS!D23</f>
        <v>0</v>
      </c>
      <c r="K136" s="52">
        <f>'GHG Parameters'!D$124</f>
        <v>0.01</v>
      </c>
      <c r="L136" s="68" t="e">
        <f t="shared" si="14"/>
        <v>#N/A</v>
      </c>
      <c r="M136" s="55">
        <f t="shared" si="15"/>
        <v>0</v>
      </c>
    </row>
    <row r="137" spans="1:13" s="1096" customFormat="1">
      <c r="B137" s="156">
        <f>INPUTS!C24</f>
        <v>0</v>
      </c>
      <c r="C137" s="161">
        <f>VLOOKUP($C$129,'GHG Parameters'!$B$58:$C$62,2,FALSE)</f>
        <v>0.3</v>
      </c>
      <c r="D137" s="161">
        <f>VLOOKUP($D$129,'GHG Parameters'!$B$57:$C$58,2,FALSE)</f>
        <v>0.2</v>
      </c>
      <c r="E137" s="53" t="e">
        <f>'GHG Manure'!E65*INPUTS!H24*C137</f>
        <v>#N/A</v>
      </c>
      <c r="F137" s="53" t="e">
        <f>'GHG Manure'!E65*INPUTS!I24*D137</f>
        <v>#N/A</v>
      </c>
      <c r="G137" s="53" t="str">
        <f>IFERROR((('GHG Manure'!G87*INPUTS!H24)*'GHG Manure'!C137),"")</f>
        <v/>
      </c>
      <c r="H137" s="53">
        <f>IFERROR(IFERROR('GHG Manure'!G87*INPUTS!I24*'GHG Manure'!D137,"")/INPUTS!D24,0)</f>
        <v>0</v>
      </c>
      <c r="I137" s="57" t="e">
        <f>(SUM(E137:F137))*INPUTS!D24</f>
        <v>#N/A</v>
      </c>
      <c r="J137" s="57">
        <f>(SUM(G137:H137))*INPUTS!D24</f>
        <v>0</v>
      </c>
      <c r="K137" s="52">
        <f>'GHG Parameters'!D$124</f>
        <v>0.01</v>
      </c>
      <c r="L137" s="68" t="e">
        <f t="shared" si="14"/>
        <v>#N/A</v>
      </c>
      <c r="M137" s="55">
        <f t="shared" si="15"/>
        <v>0</v>
      </c>
    </row>
    <row r="138" spans="1:13" s="1167" customFormat="1">
      <c r="B138" s="156">
        <f>INPUTS!C25</f>
        <v>0</v>
      </c>
      <c r="C138" s="161">
        <f>VLOOKUP($C$129,'GHG Parameters'!$B$58:$C$62,2,FALSE)</f>
        <v>0.3</v>
      </c>
      <c r="D138" s="161">
        <f>VLOOKUP($D$129,'GHG Parameters'!$B$57:$C$58,2,FALSE)</f>
        <v>0.2</v>
      </c>
      <c r="E138" s="53" t="e">
        <f>'GHG Manure'!E66*INPUTS!H25*C138</f>
        <v>#N/A</v>
      </c>
      <c r="F138" s="53" t="e">
        <f>'GHG Manure'!E66*INPUTS!I25*D138</f>
        <v>#N/A</v>
      </c>
      <c r="G138" s="53" t="str">
        <f>IFERROR((('GHG Manure'!G88*INPUTS!H25)*'GHG Manure'!C138),"")</f>
        <v/>
      </c>
      <c r="H138" s="53">
        <f>IFERROR(IFERROR('GHG Manure'!G88*INPUTS!I25*'GHG Manure'!D138,"")/INPUTS!D25,0)</f>
        <v>0</v>
      </c>
      <c r="I138" s="57" t="e">
        <f>(SUM(E138:F138))*INPUTS!D25</f>
        <v>#N/A</v>
      </c>
      <c r="J138" s="57">
        <f>(SUM(G138:H138))*INPUTS!D25</f>
        <v>0</v>
      </c>
      <c r="K138" s="52">
        <f>'GHG Parameters'!D$124</f>
        <v>0.01</v>
      </c>
      <c r="L138" s="68" t="e">
        <f t="shared" si="14"/>
        <v>#N/A</v>
      </c>
      <c r="M138" s="55">
        <f t="shared" si="15"/>
        <v>0</v>
      </c>
    </row>
    <row r="139" spans="1:13" s="1167" customFormat="1">
      <c r="B139" s="156">
        <f>INPUTS!C26</f>
        <v>0</v>
      </c>
      <c r="C139" s="161">
        <f>VLOOKUP($C$129,'GHG Parameters'!$B$58:$C$62,2,FALSE)</f>
        <v>0.3</v>
      </c>
      <c r="D139" s="161">
        <f>VLOOKUP($D$129,'GHG Parameters'!$B$57:$C$58,2,FALSE)</f>
        <v>0.2</v>
      </c>
      <c r="E139" s="53" t="e">
        <f>'GHG Manure'!E67*INPUTS!H26*C139</f>
        <v>#N/A</v>
      </c>
      <c r="F139" s="53" t="e">
        <f>'GHG Manure'!E67*INPUTS!I26*D139</f>
        <v>#N/A</v>
      </c>
      <c r="G139" s="53" t="str">
        <f>IFERROR((('GHG Manure'!G89*INPUTS!H26)*'GHG Manure'!C139),"")</f>
        <v/>
      </c>
      <c r="H139" s="53">
        <f>IFERROR(IFERROR('GHG Manure'!G89*INPUTS!I26*'GHG Manure'!D139,"")/INPUTS!D26,0)</f>
        <v>0</v>
      </c>
      <c r="I139" s="57" t="e">
        <f>(SUM(E139:F139))*INPUTS!D26</f>
        <v>#N/A</v>
      </c>
      <c r="J139" s="57">
        <f>(SUM(G139:H139))*INPUTS!D26</f>
        <v>0</v>
      </c>
      <c r="K139" s="52">
        <f>'GHG Parameters'!D$124</f>
        <v>0.01</v>
      </c>
      <c r="L139" s="68" t="e">
        <f t="shared" si="14"/>
        <v>#N/A</v>
      </c>
      <c r="M139" s="55">
        <f t="shared" si="15"/>
        <v>0</v>
      </c>
    </row>
    <row r="140" spans="1:13" s="1105" customFormat="1">
      <c r="B140" s="156">
        <f>INPUTS!C27</f>
        <v>0</v>
      </c>
      <c r="C140" s="161">
        <f>VLOOKUP($C$129,'GHG Parameters'!$B$58:$C$62,2,FALSE)</f>
        <v>0.3</v>
      </c>
      <c r="D140" s="161">
        <f>VLOOKUP($D$129,'GHG Parameters'!$B$57:$C$58,2,FALSE)</f>
        <v>0.2</v>
      </c>
      <c r="E140" s="53" t="e">
        <f>'GHG Manure'!E68*INPUTS!H27*C140</f>
        <v>#N/A</v>
      </c>
      <c r="F140" s="53" t="e">
        <f>'GHG Manure'!E68*INPUTS!I27*D140</f>
        <v>#N/A</v>
      </c>
      <c r="G140" s="53" t="str">
        <f>IFERROR((('GHG Manure'!G90*INPUTS!H27)*'GHG Manure'!C140),"")</f>
        <v/>
      </c>
      <c r="H140" s="53">
        <f>IFERROR(IFERROR('GHG Manure'!G90*INPUTS!I27*'GHG Manure'!D140,"")/INPUTS!D27,0)</f>
        <v>0</v>
      </c>
      <c r="I140" s="57" t="e">
        <f>(SUM(E140:F140))*INPUTS!D27</f>
        <v>#N/A</v>
      </c>
      <c r="J140" s="57">
        <f>(SUM(G140:H140))*INPUTS!D27</f>
        <v>0</v>
      </c>
      <c r="K140" s="52">
        <f>'GHG Parameters'!D$124</f>
        <v>0.01</v>
      </c>
      <c r="L140" s="68" t="e">
        <f t="shared" si="14"/>
        <v>#N/A</v>
      </c>
      <c r="M140" s="55">
        <f t="shared" si="15"/>
        <v>0</v>
      </c>
    </row>
    <row r="141" spans="1:13" s="1105" customFormat="1">
      <c r="B141" s="156">
        <f>INPUTS!C28</f>
        <v>0</v>
      </c>
      <c r="C141" s="161">
        <f>VLOOKUP($C$129,'GHG Parameters'!$B$58:$C$62,2,FALSE)</f>
        <v>0.3</v>
      </c>
      <c r="D141" s="161">
        <f>VLOOKUP($D$129,'GHG Parameters'!$B$57:$C$58,2,FALSE)</f>
        <v>0.2</v>
      </c>
      <c r="E141" s="53" t="e">
        <f>'GHG Manure'!E69*INPUTS!H28*C141</f>
        <v>#N/A</v>
      </c>
      <c r="F141" s="53" t="e">
        <f>'GHG Manure'!E69*INPUTS!I28*D141</f>
        <v>#N/A</v>
      </c>
      <c r="G141" s="53" t="str">
        <f>IFERROR((('GHG Manure'!G91*INPUTS!H28)*'GHG Manure'!C141),"")</f>
        <v/>
      </c>
      <c r="H141" s="53">
        <f>IFERROR(IFERROR('GHG Manure'!G91*INPUTS!I28*'GHG Manure'!D141,"")/INPUTS!D28,0)</f>
        <v>0</v>
      </c>
      <c r="I141" s="57" t="e">
        <f>(SUM(E141:F141))*INPUTS!D28</f>
        <v>#N/A</v>
      </c>
      <c r="J141" s="57">
        <f>(SUM(G141:H141))*INPUTS!D28</f>
        <v>0</v>
      </c>
      <c r="K141" s="52">
        <f>'GHG Parameters'!D$124</f>
        <v>0.01</v>
      </c>
      <c r="L141" s="68" t="e">
        <f t="shared" si="14"/>
        <v>#N/A</v>
      </c>
      <c r="M141" s="55">
        <f t="shared" si="15"/>
        <v>0</v>
      </c>
    </row>
    <row r="142" spans="1:13">
      <c r="B142" s="156">
        <f>INPUTS!C29</f>
        <v>0</v>
      </c>
      <c r="C142" s="161">
        <f>VLOOKUP($C$129,'GHG Parameters'!$B$58:$C$62,2,FALSE)</f>
        <v>0.3</v>
      </c>
      <c r="D142" s="161">
        <f>VLOOKUP($D$129,'GHG Parameters'!$B$57:$C$58,2,FALSE)</f>
        <v>0.2</v>
      </c>
      <c r="E142" s="53" t="e">
        <f>'GHG Manure'!E70*INPUTS!H29*C142</f>
        <v>#N/A</v>
      </c>
      <c r="F142" s="53" t="e">
        <f>'GHG Manure'!E70*INPUTS!I29*D142</f>
        <v>#N/A</v>
      </c>
      <c r="G142" s="53" t="str">
        <f>IFERROR((('GHG Manure'!G92*INPUTS!H29)*'GHG Manure'!C142),"")</f>
        <v/>
      </c>
      <c r="H142" s="53">
        <f>IFERROR(IFERROR('GHG Manure'!G92*INPUTS!I29*'GHG Manure'!D142,"")/INPUTS!D29,0)</f>
        <v>0</v>
      </c>
      <c r="I142" s="57" t="e">
        <f>(SUM(E142:F142))*INPUTS!D29</f>
        <v>#N/A</v>
      </c>
      <c r="J142" s="57">
        <f>(SUM(G142:H142))*INPUTS!D29</f>
        <v>0</v>
      </c>
      <c r="K142" s="52">
        <f>'GHG Parameters'!D$124</f>
        <v>0.01</v>
      </c>
      <c r="L142" s="68" t="e">
        <f t="shared" si="14"/>
        <v>#N/A</v>
      </c>
      <c r="M142" s="55">
        <f t="shared" si="15"/>
        <v>0</v>
      </c>
    </row>
    <row r="143" spans="1:13" s="1201" customFormat="1">
      <c r="B143" s="156">
        <f>INPUTS!C30</f>
        <v>0</v>
      </c>
      <c r="C143" s="161">
        <f>VLOOKUP($C$129,'GHG Parameters'!$B$58:$C$62,2,FALSE)</f>
        <v>0.3</v>
      </c>
      <c r="D143" s="161">
        <f>VLOOKUP($D$129,'GHG Parameters'!$B$57:$C$58,2,FALSE)</f>
        <v>0.2</v>
      </c>
      <c r="E143" s="53" t="e">
        <f>'GHG Manure'!E71*INPUTS!H30*C143</f>
        <v>#N/A</v>
      </c>
      <c r="F143" s="53" t="e">
        <f>'GHG Manure'!E71*INPUTS!I30*D143</f>
        <v>#N/A</v>
      </c>
      <c r="G143" s="53" t="str">
        <f>IFERROR((('GHG Manure'!G93*INPUTS!H30)*'GHG Manure'!C143),"")</f>
        <v/>
      </c>
      <c r="H143" s="53">
        <f>IFERROR(IFERROR('GHG Manure'!G93*INPUTS!I30*'GHG Manure'!D143,"")/INPUTS!D30,0)</f>
        <v>0</v>
      </c>
      <c r="I143" s="57" t="e">
        <f>(SUM(E143:F143))*INPUTS!D30</f>
        <v>#N/A</v>
      </c>
      <c r="J143" s="57">
        <f>(SUM(G143:H143))*INPUTS!D30</f>
        <v>0</v>
      </c>
      <c r="K143" s="52">
        <f>'GHG Parameters'!D$124</f>
        <v>0.01</v>
      </c>
      <c r="L143" s="68" t="e">
        <f t="shared" si="14"/>
        <v>#N/A</v>
      </c>
      <c r="M143" s="55">
        <f t="shared" si="15"/>
        <v>0</v>
      </c>
    </row>
    <row r="144" spans="1:13">
      <c r="B144" s="1660" t="s">
        <v>123</v>
      </c>
      <c r="C144" s="1661"/>
      <c r="D144" s="1661"/>
      <c r="E144" s="1661"/>
      <c r="F144" s="1661"/>
      <c r="G144" s="1661"/>
      <c r="H144" s="1662"/>
      <c r="I144" s="47">
        <f>SUMIF(I130:I143,"&lt;&gt;#N/A")</f>
        <v>45.037349999999996</v>
      </c>
      <c r="J144" s="57">
        <f>SUM(J130:J143)</f>
        <v>18.221304225705335</v>
      </c>
      <c r="K144" s="62" t="s">
        <v>121</v>
      </c>
      <c r="L144" s="47">
        <f>SUMIF(L130:L143,"&lt;&gt;#N/A")</f>
        <v>0.70772978571428569</v>
      </c>
      <c r="M144" s="55">
        <f>SUM(M130:M143)</f>
        <v>0.28633478068965529</v>
      </c>
    </row>
    <row r="145" spans="1:13">
      <c r="B145" s="1015"/>
      <c r="C145" s="1015"/>
      <c r="D145" s="1015"/>
      <c r="E145" s="1015"/>
      <c r="F145" s="1015"/>
      <c r="G145" s="1015"/>
      <c r="H145" s="1015"/>
      <c r="I145" s="63"/>
    </row>
    <row r="146" spans="1:13">
      <c r="A146" s="37" t="s">
        <v>511</v>
      </c>
    </row>
    <row r="147" spans="1:13" ht="47.25">
      <c r="A147" t="s">
        <v>604</v>
      </c>
      <c r="J147" s="26" t="s">
        <v>493</v>
      </c>
      <c r="K147" s="10" t="s">
        <v>494</v>
      </c>
      <c r="L147" s="10"/>
      <c r="M147" s="10"/>
    </row>
    <row r="148" spans="1:13" ht="47.25">
      <c r="A148" s="1613" t="s">
        <v>488</v>
      </c>
      <c r="B148" s="46" t="s">
        <v>490</v>
      </c>
      <c r="C148" s="46" t="s">
        <v>489</v>
      </c>
      <c r="D148" s="1616" t="s">
        <v>491</v>
      </c>
      <c r="E148" s="1618"/>
      <c r="F148" s="89" t="s">
        <v>913</v>
      </c>
      <c r="G148" s="89" t="s">
        <v>914</v>
      </c>
      <c r="H148" s="1616" t="s">
        <v>492</v>
      </c>
      <c r="I148" s="1618"/>
      <c r="J148" s="26" t="s">
        <v>232</v>
      </c>
      <c r="K148" s="10"/>
      <c r="L148" s="10"/>
      <c r="M148" s="10"/>
    </row>
    <row r="149" spans="1:13">
      <c r="A149" s="1615"/>
      <c r="B149" s="46" t="s">
        <v>287</v>
      </c>
      <c r="C149" s="26" t="s">
        <v>232</v>
      </c>
      <c r="D149" s="26" t="s">
        <v>232</v>
      </c>
      <c r="E149" s="26" t="s">
        <v>232</v>
      </c>
      <c r="F149" s="26" t="s">
        <v>232</v>
      </c>
      <c r="G149" s="26" t="s">
        <v>232</v>
      </c>
      <c r="H149" s="26" t="s">
        <v>232</v>
      </c>
      <c r="I149" s="26" t="s">
        <v>232</v>
      </c>
      <c r="J149" s="26" t="s">
        <v>505</v>
      </c>
      <c r="K149" s="10"/>
      <c r="L149" s="10"/>
      <c r="M149" s="10"/>
    </row>
    <row r="150" spans="1:13" ht="31.5">
      <c r="A150" s="1649" t="s">
        <v>142</v>
      </c>
      <c r="B150" s="1648"/>
      <c r="C150" s="1645" t="s">
        <v>495</v>
      </c>
      <c r="D150" s="1616" t="s">
        <v>496</v>
      </c>
      <c r="E150" s="1618"/>
      <c r="F150" s="26" t="s">
        <v>498</v>
      </c>
      <c r="G150" s="26" t="s">
        <v>498</v>
      </c>
      <c r="H150" s="26" t="s">
        <v>502</v>
      </c>
      <c r="I150" s="26" t="s">
        <v>503</v>
      </c>
      <c r="J150" s="26" t="s">
        <v>504</v>
      </c>
      <c r="K150" s="10"/>
      <c r="L150" s="10"/>
      <c r="M150" s="10"/>
    </row>
    <row r="151" spans="1:13" s="10" customFormat="1">
      <c r="A151" s="1650"/>
      <c r="B151" s="1648"/>
      <c r="C151" s="1647"/>
      <c r="D151" s="75" t="s">
        <v>808</v>
      </c>
      <c r="E151" s="22" t="s">
        <v>809</v>
      </c>
      <c r="F151" s="26" t="s">
        <v>497</v>
      </c>
      <c r="G151" s="26" t="s">
        <v>497</v>
      </c>
      <c r="H151" s="26" t="s">
        <v>501</v>
      </c>
      <c r="I151" s="26" t="s">
        <v>501</v>
      </c>
      <c r="J151" s="26" t="s">
        <v>506</v>
      </c>
    </row>
    <row r="152" spans="1:13" s="10" customFormat="1">
      <c r="A152" s="1651"/>
      <c r="B152" s="94" t="s">
        <v>487</v>
      </c>
      <c r="C152" s="26" t="s">
        <v>485</v>
      </c>
      <c r="D152" s="26" t="str">
        <f>INPUTS!D33</f>
        <v>solid storage</v>
      </c>
      <c r="E152" s="26" t="str">
        <f>INPUTS!D34</f>
        <v xml:space="preserve">dry lot </v>
      </c>
      <c r="F152" s="26" t="s">
        <v>391</v>
      </c>
      <c r="G152" s="26" t="s">
        <v>391</v>
      </c>
      <c r="H152" s="26" t="str">
        <f>INPUTS!D33</f>
        <v>solid storage</v>
      </c>
      <c r="I152" s="26" t="str">
        <f>INPUTS!D34</f>
        <v xml:space="preserve">dry lot </v>
      </c>
      <c r="J152" s="45"/>
      <c r="K152"/>
      <c r="L152"/>
      <c r="M152"/>
    </row>
    <row r="153" spans="1:13" s="10" customFormat="1">
      <c r="A153" s="156" t="str">
        <f>INPUTS!C17</f>
        <v>Cows (improved)</v>
      </c>
      <c r="B153" s="45">
        <f>'GHG Manure'!E58</f>
        <v>83.438999999999993</v>
      </c>
      <c r="C153" s="45">
        <f>B153*INPUTS!D17</f>
        <v>83.438999999999993</v>
      </c>
      <c r="D153" s="45">
        <f>C153*INPUTS!H17</f>
        <v>83.438999999999993</v>
      </c>
      <c r="E153" s="45">
        <f>C153*INPUTS!I17</f>
        <v>0</v>
      </c>
      <c r="F153" s="45">
        <f>(INPUTS!J17*C153)</f>
        <v>0</v>
      </c>
      <c r="G153" s="45">
        <f>(INPUTS!K17*C153)</f>
        <v>0</v>
      </c>
      <c r="H153" s="45">
        <f>(D153*(1-C130)) *INPUTS!M17*INPUTS!Q17</f>
        <v>52.566569999999992</v>
      </c>
      <c r="I153" s="45">
        <f>(E153*(1-D130))*INPUTS!N17*INPUTS!Q17</f>
        <v>0</v>
      </c>
      <c r="J153" s="45">
        <f t="shared" ref="J153:J166" si="16">(H153+I153)-(I107*(28/44))</f>
        <v>52.149374999999992</v>
      </c>
      <c r="K153"/>
      <c r="L153"/>
      <c r="M153"/>
    </row>
    <row r="154" spans="1:13" s="10" customFormat="1">
      <c r="A154" s="156" t="str">
        <f>INPUTS!C18</f>
        <v>Steers/heifers (improved)</v>
      </c>
      <c r="B154" s="45">
        <f>'GHG Manure'!E59</f>
        <v>66.685500000000005</v>
      </c>
      <c r="C154" s="45">
        <f>B154*INPUTS!D18</f>
        <v>66.685500000000005</v>
      </c>
      <c r="D154" s="45">
        <f>C154*INPUTS!H18</f>
        <v>66.685500000000005</v>
      </c>
      <c r="E154" s="45">
        <f>C154*INPUTS!I18</f>
        <v>0</v>
      </c>
      <c r="F154" s="45">
        <f>(INPUTS!J18*C154)</f>
        <v>0</v>
      </c>
      <c r="G154" s="45">
        <f>(INPUTS!K18*C154)</f>
        <v>0</v>
      </c>
      <c r="H154" s="45">
        <f>(D154*(1-C131)) *INPUTS!M18*INPUTS!Q18</f>
        <v>42.011865</v>
      </c>
      <c r="I154" s="45">
        <f>(E154*(1-D131))*INPUTS!N18*INPUTS!Q18</f>
        <v>0</v>
      </c>
      <c r="J154" s="45">
        <f t="shared" si="16"/>
        <v>41.678437500000001</v>
      </c>
      <c r="K154"/>
      <c r="L154"/>
      <c r="M154"/>
    </row>
    <row r="155" spans="1:13" s="10" customFormat="1">
      <c r="A155" s="156">
        <f>INPUTS!C19</f>
        <v>0</v>
      </c>
      <c r="B155" s="45" t="e">
        <f>'GHG Manure'!E60</f>
        <v>#N/A</v>
      </c>
      <c r="C155" s="45" t="e">
        <f>B155*INPUTS!D19</f>
        <v>#N/A</v>
      </c>
      <c r="D155" s="45" t="e">
        <f>C155*INPUTS!H19</f>
        <v>#N/A</v>
      </c>
      <c r="E155" s="45" t="e">
        <f>C155*INPUTS!I19</f>
        <v>#N/A</v>
      </c>
      <c r="F155" s="45" t="e">
        <f>(INPUTS!J19*C155)</f>
        <v>#N/A</v>
      </c>
      <c r="G155" s="45" t="e">
        <f>(INPUTS!K19*C155)</f>
        <v>#N/A</v>
      </c>
      <c r="H155" s="45" t="e">
        <f>(D155*(1-C132)) *INPUTS!M19*INPUTS!Q19</f>
        <v>#N/A</v>
      </c>
      <c r="I155" s="45" t="e">
        <f>(E155*(1-D132))*INPUTS!N19*INPUTS!Q19</f>
        <v>#N/A</v>
      </c>
      <c r="J155" s="45" t="e">
        <f t="shared" si="16"/>
        <v>#N/A</v>
      </c>
      <c r="K155"/>
      <c r="L155"/>
      <c r="M155"/>
    </row>
    <row r="156" spans="1:13">
      <c r="A156" s="156">
        <f>INPUTS!C20</f>
        <v>0</v>
      </c>
      <c r="B156" s="45" t="e">
        <f>'GHG Manure'!E61</f>
        <v>#N/A</v>
      </c>
      <c r="C156" s="45" t="e">
        <f>B156*INPUTS!D20</f>
        <v>#N/A</v>
      </c>
      <c r="D156" s="45" t="e">
        <f>C156*INPUTS!H20</f>
        <v>#N/A</v>
      </c>
      <c r="E156" s="45" t="e">
        <f>C156*INPUTS!I20</f>
        <v>#N/A</v>
      </c>
      <c r="F156" s="45" t="e">
        <f>(INPUTS!J20*C156)</f>
        <v>#N/A</v>
      </c>
      <c r="G156" s="45" t="e">
        <f>(INPUTS!K20*C156)</f>
        <v>#N/A</v>
      </c>
      <c r="H156" s="45" t="e">
        <f>(D156*(1-C133)) *INPUTS!M20*INPUTS!Q20</f>
        <v>#N/A</v>
      </c>
      <c r="I156" s="45" t="e">
        <f>(E156*(1-D133))*INPUTS!N20*INPUTS!Q20</f>
        <v>#N/A</v>
      </c>
      <c r="J156" s="45" t="e">
        <f t="shared" si="16"/>
        <v>#N/A</v>
      </c>
    </row>
    <row r="157" spans="1:13">
      <c r="A157" s="156">
        <f>INPUTS!C21</f>
        <v>0</v>
      </c>
      <c r="B157" s="45" t="e">
        <f>'GHG Manure'!E62</f>
        <v>#N/A</v>
      </c>
      <c r="C157" s="45" t="e">
        <f>B157*INPUTS!D21</f>
        <v>#N/A</v>
      </c>
      <c r="D157" s="45" t="e">
        <f>C157*INPUTS!H21</f>
        <v>#N/A</v>
      </c>
      <c r="E157" s="45" t="e">
        <f>C157*INPUTS!I21</f>
        <v>#N/A</v>
      </c>
      <c r="F157" s="45" t="e">
        <f>(INPUTS!J21*C157)</f>
        <v>#N/A</v>
      </c>
      <c r="G157" s="45" t="e">
        <f>(INPUTS!K21*C157)</f>
        <v>#N/A</v>
      </c>
      <c r="H157" s="45" t="e">
        <f>(D157*(1-C134)) *INPUTS!M21*INPUTS!Q21</f>
        <v>#N/A</v>
      </c>
      <c r="I157" s="45" t="e">
        <f>(E157*(1-D134))*INPUTS!N21*INPUTS!Q21</f>
        <v>#N/A</v>
      </c>
      <c r="J157" s="45" t="e">
        <f t="shared" si="16"/>
        <v>#N/A</v>
      </c>
    </row>
    <row r="158" spans="1:13">
      <c r="A158" s="156">
        <f>INPUTS!C22</f>
        <v>0</v>
      </c>
      <c r="B158" s="45" t="e">
        <f>'GHG Manure'!E63</f>
        <v>#N/A</v>
      </c>
      <c r="C158" s="45" t="e">
        <f>B158*INPUTS!D22</f>
        <v>#N/A</v>
      </c>
      <c r="D158" s="45" t="e">
        <f>C158*INPUTS!H22</f>
        <v>#N/A</v>
      </c>
      <c r="E158" s="45" t="e">
        <f>C158*INPUTS!I22</f>
        <v>#N/A</v>
      </c>
      <c r="F158" s="45" t="e">
        <f>(INPUTS!J22*C158)</f>
        <v>#N/A</v>
      </c>
      <c r="G158" s="45" t="e">
        <f>(INPUTS!K22*C158)</f>
        <v>#N/A</v>
      </c>
      <c r="H158" s="45" t="e">
        <f>(D158*(1-C135)) *INPUTS!M22*INPUTS!Q22</f>
        <v>#N/A</v>
      </c>
      <c r="I158" s="45" t="e">
        <f>(E158*(1-D135))*INPUTS!N22*INPUTS!Q22</f>
        <v>#N/A</v>
      </c>
      <c r="J158" s="45" t="e">
        <f t="shared" si="16"/>
        <v>#N/A</v>
      </c>
    </row>
    <row r="159" spans="1:13">
      <c r="A159" s="156">
        <f>INPUTS!C23</f>
        <v>0</v>
      </c>
      <c r="B159" s="45" t="e">
        <f>'GHG Manure'!E64</f>
        <v>#N/A</v>
      </c>
      <c r="C159" s="45" t="e">
        <f>B159*INPUTS!D23</f>
        <v>#N/A</v>
      </c>
      <c r="D159" s="45" t="e">
        <f>C159*INPUTS!H23</f>
        <v>#N/A</v>
      </c>
      <c r="E159" s="45" t="e">
        <f>C159*INPUTS!I23</f>
        <v>#N/A</v>
      </c>
      <c r="F159" s="45" t="e">
        <f>(INPUTS!J23*C159)</f>
        <v>#N/A</v>
      </c>
      <c r="G159" s="45" t="e">
        <f>(INPUTS!K23*C159)</f>
        <v>#N/A</v>
      </c>
      <c r="H159" s="45" t="e">
        <f>(D159*(1-C136)) *INPUTS!M23*INPUTS!Q23</f>
        <v>#N/A</v>
      </c>
      <c r="I159" s="45" t="e">
        <f>(E159*(1-D136))*INPUTS!N23*INPUTS!Q23</f>
        <v>#N/A</v>
      </c>
      <c r="J159" s="45" t="e">
        <f t="shared" si="16"/>
        <v>#N/A</v>
      </c>
    </row>
    <row r="160" spans="1:13" s="1167" customFormat="1">
      <c r="A160" s="156">
        <f>INPUTS!C24</f>
        <v>0</v>
      </c>
      <c r="B160" s="45" t="e">
        <f>'GHG Manure'!E65</f>
        <v>#N/A</v>
      </c>
      <c r="C160" s="45" t="e">
        <f>B160*INPUTS!D24</f>
        <v>#N/A</v>
      </c>
      <c r="D160" s="45" t="e">
        <f>C160*INPUTS!H24</f>
        <v>#N/A</v>
      </c>
      <c r="E160" s="45" t="e">
        <f>C160*INPUTS!I24</f>
        <v>#N/A</v>
      </c>
      <c r="F160" s="45" t="e">
        <f>(INPUTS!J24*C160)</f>
        <v>#N/A</v>
      </c>
      <c r="G160" s="45" t="e">
        <f>(INPUTS!K24*C160)</f>
        <v>#N/A</v>
      </c>
      <c r="H160" s="45" t="e">
        <f>(D160*(1-C137)) *INPUTS!M24*INPUTS!Q24</f>
        <v>#N/A</v>
      </c>
      <c r="I160" s="45" t="e">
        <f>(E160*(1-D137))*INPUTS!N24*INPUTS!Q24</f>
        <v>#N/A</v>
      </c>
      <c r="J160" s="45" t="e">
        <f t="shared" si="16"/>
        <v>#N/A</v>
      </c>
    </row>
    <row r="161" spans="1:13" s="1167" customFormat="1">
      <c r="A161" s="156">
        <f>INPUTS!C25</f>
        <v>0</v>
      </c>
      <c r="B161" s="45" t="e">
        <f>'GHG Manure'!E66</f>
        <v>#N/A</v>
      </c>
      <c r="C161" s="45" t="e">
        <f>B161*INPUTS!D25</f>
        <v>#N/A</v>
      </c>
      <c r="D161" s="45" t="e">
        <f>C161*INPUTS!H25</f>
        <v>#N/A</v>
      </c>
      <c r="E161" s="45" t="e">
        <f>C161*INPUTS!I25</f>
        <v>#N/A</v>
      </c>
      <c r="F161" s="45" t="e">
        <f>(INPUTS!J25*C161)</f>
        <v>#N/A</v>
      </c>
      <c r="G161" s="45" t="e">
        <f>(INPUTS!K25*C161)</f>
        <v>#N/A</v>
      </c>
      <c r="H161" s="45" t="e">
        <f>(D161*(1-C138)) *INPUTS!M25*INPUTS!Q25</f>
        <v>#N/A</v>
      </c>
      <c r="I161" s="45" t="e">
        <f>(E161*(1-D138))*INPUTS!N25*INPUTS!Q25</f>
        <v>#N/A</v>
      </c>
      <c r="J161" s="45" t="e">
        <f t="shared" si="16"/>
        <v>#N/A</v>
      </c>
    </row>
    <row r="162" spans="1:13" s="1167" customFormat="1">
      <c r="A162" s="156">
        <f>INPUTS!C26</f>
        <v>0</v>
      </c>
      <c r="B162" s="45" t="e">
        <f>'GHG Manure'!E67</f>
        <v>#N/A</v>
      </c>
      <c r="C162" s="45" t="e">
        <f>B162*INPUTS!D26</f>
        <v>#N/A</v>
      </c>
      <c r="D162" s="45" t="e">
        <f>C162*INPUTS!H26</f>
        <v>#N/A</v>
      </c>
      <c r="E162" s="45" t="e">
        <f>C162*INPUTS!I26</f>
        <v>#N/A</v>
      </c>
      <c r="F162" s="45" t="e">
        <f>(INPUTS!J26*C162)</f>
        <v>#N/A</v>
      </c>
      <c r="G162" s="45" t="e">
        <f>(INPUTS!K26*C162)</f>
        <v>#N/A</v>
      </c>
      <c r="H162" s="45" t="e">
        <f>(D162*(1-C139)) *INPUTS!M26*INPUTS!Q26</f>
        <v>#N/A</v>
      </c>
      <c r="I162" s="45" t="e">
        <f>(E162*(1-D139))*INPUTS!N26*INPUTS!Q26</f>
        <v>#N/A</v>
      </c>
      <c r="J162" s="45" t="e">
        <f t="shared" si="16"/>
        <v>#N/A</v>
      </c>
    </row>
    <row r="163" spans="1:13" s="1167" customFormat="1">
      <c r="A163" s="156">
        <f>INPUTS!C27</f>
        <v>0</v>
      </c>
      <c r="B163" s="45" t="e">
        <f>'GHG Manure'!E68</f>
        <v>#N/A</v>
      </c>
      <c r="C163" s="45" t="e">
        <f>B163*INPUTS!D27</f>
        <v>#N/A</v>
      </c>
      <c r="D163" s="45" t="e">
        <f>C163*INPUTS!H27</f>
        <v>#N/A</v>
      </c>
      <c r="E163" s="45" t="e">
        <f>C163*INPUTS!I27</f>
        <v>#N/A</v>
      </c>
      <c r="F163" s="45" t="e">
        <f>(INPUTS!J27*C163)</f>
        <v>#N/A</v>
      </c>
      <c r="G163" s="45" t="e">
        <f>(INPUTS!K27*C163)</f>
        <v>#N/A</v>
      </c>
      <c r="H163" s="45" t="e">
        <f>(D163*(1-C140)) *INPUTS!M27*INPUTS!Q27</f>
        <v>#N/A</v>
      </c>
      <c r="I163" s="45" t="e">
        <f>(E163*(1-D140))*INPUTS!N27*INPUTS!Q27</f>
        <v>#N/A</v>
      </c>
      <c r="J163" s="45" t="e">
        <f t="shared" si="16"/>
        <v>#N/A</v>
      </c>
    </row>
    <row r="164" spans="1:13">
      <c r="A164" s="156">
        <f>INPUTS!C28</f>
        <v>0</v>
      </c>
      <c r="B164" s="45" t="e">
        <f>'GHG Manure'!E69</f>
        <v>#N/A</v>
      </c>
      <c r="C164" s="45" t="e">
        <f>B164*INPUTS!D28</f>
        <v>#N/A</v>
      </c>
      <c r="D164" s="45" t="e">
        <f>C164*INPUTS!H28</f>
        <v>#N/A</v>
      </c>
      <c r="E164" s="45" t="e">
        <f>C164*INPUTS!I28</f>
        <v>#N/A</v>
      </c>
      <c r="F164" s="45" t="e">
        <f>(INPUTS!J28*C164)</f>
        <v>#N/A</v>
      </c>
      <c r="G164" s="45" t="e">
        <f>(INPUTS!K28*C164)</f>
        <v>#N/A</v>
      </c>
      <c r="H164" s="45" t="e">
        <f>(D164*(1-C141)) *INPUTS!M28*INPUTS!Q28</f>
        <v>#N/A</v>
      </c>
      <c r="I164" s="45" t="e">
        <f>(E164*(1-D141))*INPUTS!N28*INPUTS!Q28</f>
        <v>#N/A</v>
      </c>
      <c r="J164" s="45" t="e">
        <f t="shared" si="16"/>
        <v>#N/A</v>
      </c>
    </row>
    <row r="165" spans="1:13" s="1096" customFormat="1">
      <c r="A165" s="156">
        <f>INPUTS!C29</f>
        <v>0</v>
      </c>
      <c r="B165" s="45" t="e">
        <f>'GHG Manure'!E70</f>
        <v>#N/A</v>
      </c>
      <c r="C165" s="45" t="e">
        <f>B165*INPUTS!D29</f>
        <v>#N/A</v>
      </c>
      <c r="D165" s="45" t="e">
        <f>C165*INPUTS!H29</f>
        <v>#N/A</v>
      </c>
      <c r="E165" s="45" t="e">
        <f>C165*INPUTS!I29</f>
        <v>#N/A</v>
      </c>
      <c r="F165" s="45" t="e">
        <f>(INPUTS!J29*C165)</f>
        <v>#N/A</v>
      </c>
      <c r="G165" s="45" t="e">
        <f>(INPUTS!K29*C165)</f>
        <v>#N/A</v>
      </c>
      <c r="H165" s="45" t="e">
        <f>(D165*(1-C142)) *INPUTS!M29*INPUTS!Q29</f>
        <v>#N/A</v>
      </c>
      <c r="I165" s="45" t="e">
        <f>(E165*(1-D142))*INPUTS!N29*INPUTS!Q29</f>
        <v>#N/A</v>
      </c>
      <c r="J165" s="45" t="e">
        <f t="shared" si="16"/>
        <v>#N/A</v>
      </c>
    </row>
    <row r="166" spans="1:13">
      <c r="A166" s="156">
        <f>INPUTS!C30</f>
        <v>0</v>
      </c>
      <c r="B166" s="45" t="e">
        <f>'GHG Manure'!E71</f>
        <v>#N/A</v>
      </c>
      <c r="C166" s="45" t="e">
        <f>B166*INPUTS!D30</f>
        <v>#N/A</v>
      </c>
      <c r="D166" s="45" t="e">
        <f>C166*INPUTS!H30</f>
        <v>#N/A</v>
      </c>
      <c r="E166" s="45" t="e">
        <f>C166*INPUTS!I30</f>
        <v>#N/A</v>
      </c>
      <c r="F166" s="45" t="e">
        <f>(INPUTS!J30*C166)</f>
        <v>#N/A</v>
      </c>
      <c r="G166" s="45" t="e">
        <f>(INPUTS!K30*C166)</f>
        <v>#N/A</v>
      </c>
      <c r="H166" s="45" t="e">
        <f>(D166*(1-C143)) *INPUTS!M30*INPUTS!Q30</f>
        <v>#N/A</v>
      </c>
      <c r="I166" s="45" t="e">
        <f>(E166*(1-D143))*INPUTS!N30*INPUTS!Q30</f>
        <v>#N/A</v>
      </c>
      <c r="J166" s="45" t="e">
        <f t="shared" si="16"/>
        <v>#N/A</v>
      </c>
    </row>
    <row r="167" spans="1:13">
      <c r="A167" s="26" t="s">
        <v>252</v>
      </c>
      <c r="B167" s="1217">
        <f t="shared" ref="B167:J167" si="17">SUMIF(B153:B166,"&lt;&gt;#N/A")</f>
        <v>150.12450000000001</v>
      </c>
      <c r="C167" s="1217">
        <f t="shared" si="17"/>
        <v>150.12450000000001</v>
      </c>
      <c r="D167" s="1217">
        <f t="shared" si="17"/>
        <v>150.12450000000001</v>
      </c>
      <c r="E167" s="1217">
        <f t="shared" si="17"/>
        <v>0</v>
      </c>
      <c r="F167" s="1217">
        <f t="shared" si="17"/>
        <v>0</v>
      </c>
      <c r="G167" s="1217">
        <f t="shared" si="17"/>
        <v>0</v>
      </c>
      <c r="H167" s="1217">
        <f t="shared" si="17"/>
        <v>94.578434999999985</v>
      </c>
      <c r="I167" s="1217">
        <f t="shared" si="17"/>
        <v>0</v>
      </c>
      <c r="J167" s="1217">
        <f t="shared" si="17"/>
        <v>93.827812499999993</v>
      </c>
    </row>
    <row r="170" spans="1:13">
      <c r="A170" s="37" t="s">
        <v>511</v>
      </c>
    </row>
    <row r="171" spans="1:13" ht="47.25">
      <c r="A171" t="s">
        <v>603</v>
      </c>
      <c r="J171" s="26" t="s">
        <v>631</v>
      </c>
      <c r="K171" s="10" t="s">
        <v>494</v>
      </c>
      <c r="L171" s="10"/>
      <c r="M171" s="10"/>
    </row>
    <row r="172" spans="1:13" ht="47.25">
      <c r="A172" s="1613" t="s">
        <v>488</v>
      </c>
      <c r="B172" s="46" t="s">
        <v>507</v>
      </c>
      <c r="C172" s="46" t="s">
        <v>508</v>
      </c>
      <c r="D172" s="1616" t="s">
        <v>491</v>
      </c>
      <c r="E172" s="1618"/>
      <c r="F172" s="89" t="s">
        <v>913</v>
      </c>
      <c r="G172" s="89" t="s">
        <v>914</v>
      </c>
      <c r="H172" s="1616" t="s">
        <v>492</v>
      </c>
      <c r="I172" s="1618"/>
      <c r="J172" s="26" t="s">
        <v>232</v>
      </c>
      <c r="K172" s="10"/>
      <c r="L172" s="10"/>
      <c r="M172" s="10"/>
    </row>
    <row r="173" spans="1:13">
      <c r="A173" s="1615"/>
      <c r="B173" s="46" t="s">
        <v>1305</v>
      </c>
      <c r="C173" s="26" t="s">
        <v>232</v>
      </c>
      <c r="D173" s="26" t="s">
        <v>232</v>
      </c>
      <c r="E173" s="26" t="s">
        <v>232</v>
      </c>
      <c r="F173" s="26" t="s">
        <v>232</v>
      </c>
      <c r="G173" s="26" t="s">
        <v>232</v>
      </c>
      <c r="H173" s="26" t="s">
        <v>232</v>
      </c>
      <c r="I173" s="26" t="s">
        <v>232</v>
      </c>
      <c r="J173" s="26" t="s">
        <v>505</v>
      </c>
      <c r="K173" s="10"/>
      <c r="L173" s="10"/>
      <c r="M173" s="10"/>
    </row>
    <row r="174" spans="1:13" ht="31.5">
      <c r="A174" s="1645" t="s">
        <v>142</v>
      </c>
      <c r="B174" s="1648" t="s">
        <v>510</v>
      </c>
      <c r="C174" s="1645" t="s">
        <v>509</v>
      </c>
      <c r="D174" s="1616" t="s">
        <v>496</v>
      </c>
      <c r="E174" s="1618"/>
      <c r="F174" s="26" t="s">
        <v>498</v>
      </c>
      <c r="G174" s="26" t="s">
        <v>498</v>
      </c>
      <c r="H174" s="26" t="s">
        <v>502</v>
      </c>
      <c r="I174" s="26" t="s">
        <v>503</v>
      </c>
      <c r="J174" s="26" t="s">
        <v>504</v>
      </c>
      <c r="K174" s="10"/>
      <c r="L174" s="10"/>
      <c r="M174" s="10"/>
    </row>
    <row r="175" spans="1:13" s="10" customFormat="1">
      <c r="A175" s="1646"/>
      <c r="B175" s="1648"/>
      <c r="C175" s="1647"/>
      <c r="D175" s="75" t="s">
        <v>499</v>
      </c>
      <c r="E175" s="22" t="s">
        <v>500</v>
      </c>
      <c r="F175" s="26" t="s">
        <v>497</v>
      </c>
      <c r="G175" s="26" t="s">
        <v>497</v>
      </c>
      <c r="H175" s="26" t="s">
        <v>501</v>
      </c>
      <c r="I175" s="26" t="s">
        <v>501</v>
      </c>
      <c r="J175" s="26" t="s">
        <v>506</v>
      </c>
    </row>
    <row r="176" spans="1:13" s="10" customFormat="1">
      <c r="A176" s="1647"/>
      <c r="B176" s="94" t="s">
        <v>486</v>
      </c>
      <c r="C176" s="26" t="s">
        <v>485</v>
      </c>
      <c r="D176" s="26" t="str">
        <f>INPUTS!D33</f>
        <v>solid storage</v>
      </c>
      <c r="E176" s="26" t="str">
        <f>INPUTS!D34</f>
        <v xml:space="preserve">dry lot </v>
      </c>
      <c r="F176" s="26" t="s">
        <v>391</v>
      </c>
      <c r="G176" s="26" t="s">
        <v>391</v>
      </c>
      <c r="H176" s="26" t="str">
        <f>INPUTS!D33</f>
        <v>solid storage</v>
      </c>
      <c r="I176" s="26" t="str">
        <f>INPUTS!D34</f>
        <v xml:space="preserve">dry lot </v>
      </c>
      <c r="J176" s="76"/>
    </row>
    <row r="177" spans="1:13" s="10" customFormat="1">
      <c r="A177" s="156" t="str">
        <f>INPUTS!C17</f>
        <v>Cows (improved)</v>
      </c>
      <c r="B177" s="53">
        <f>'GHG Manure'!G80</f>
        <v>37.711440752351116</v>
      </c>
      <c r="C177" s="76">
        <f t="shared" ref="C177:C190" si="18">IFERROR(B177,"")</f>
        <v>37.711440752351116</v>
      </c>
      <c r="D177" s="53">
        <f>IFERROR(C177*INPUTS!H17,"")</f>
        <v>37.711440752351116</v>
      </c>
      <c r="E177" s="53">
        <f>IFERROR(C177*INPUTS!I17,"")</f>
        <v>0</v>
      </c>
      <c r="F177" s="53">
        <f>IFERROR(INPUTS!J17*C177,"")</f>
        <v>0</v>
      </c>
      <c r="G177" s="53">
        <f>IFERROR(INPUTS!K17*C177,"")</f>
        <v>0</v>
      </c>
      <c r="H177" s="53">
        <f>IFERROR(((D177*(1-C130))*INPUTS!M17*INPUTS!Q17),"")</f>
        <v>23.7582076739812</v>
      </c>
      <c r="I177" s="53">
        <f>IFERROR(((E177*(1-D130))*INPUTS!N17*INPUTS!Q17),"")</f>
        <v>0</v>
      </c>
      <c r="J177" s="76">
        <f t="shared" ref="J177:J190" si="19">IFERROR(((H177+I177)-(J107*(28/44))),"")</f>
        <v>23.569650470219443</v>
      </c>
      <c r="K177"/>
      <c r="L177"/>
      <c r="M177"/>
    </row>
    <row r="178" spans="1:13" s="10" customFormat="1">
      <c r="A178" s="156" t="str">
        <f>INPUTS!C18</f>
        <v>Steers/heifers (improved)</v>
      </c>
      <c r="B178" s="53">
        <f>'GHG Manure'!G81</f>
        <v>23.026240000000008</v>
      </c>
      <c r="C178" s="76">
        <f t="shared" si="18"/>
        <v>23.026240000000008</v>
      </c>
      <c r="D178" s="53">
        <f>IFERROR(C178*INPUTS!H18,"")</f>
        <v>23.026240000000008</v>
      </c>
      <c r="E178" s="53">
        <f>IFERROR(C178*INPUTS!I18,"")</f>
        <v>0</v>
      </c>
      <c r="F178" s="53">
        <f>IFERROR(INPUTS!J18*C178,"")</f>
        <v>0</v>
      </c>
      <c r="G178" s="53">
        <f>IFERROR(INPUTS!K18*C178,"")</f>
        <v>0</v>
      </c>
      <c r="H178" s="53">
        <f>IFERROR(((D178*(1-C131))*INPUTS!M18*INPUTS!Q18),"")</f>
        <v>14.506531200000003</v>
      </c>
      <c r="I178" s="53">
        <f>IFERROR(((E178*(1-D131))*INPUTS!N18*INPUTS!Q18),"")</f>
        <v>0</v>
      </c>
      <c r="J178" s="76">
        <f t="shared" si="19"/>
        <v>14.391400000000003</v>
      </c>
      <c r="K178"/>
      <c r="L178"/>
      <c r="M178"/>
    </row>
    <row r="179" spans="1:13" s="10" customFormat="1">
      <c r="A179" s="156">
        <f>INPUTS!C19</f>
        <v>0</v>
      </c>
      <c r="B179" s="53" t="str">
        <f>'GHG Manure'!G82</f>
        <v/>
      </c>
      <c r="C179" s="76" t="str">
        <f t="shared" si="18"/>
        <v/>
      </c>
      <c r="D179" s="53" t="str">
        <f>IFERROR(C179*INPUTS!H19,"")</f>
        <v/>
      </c>
      <c r="E179" s="53" t="str">
        <f>IFERROR(C179*INPUTS!I19,"")</f>
        <v/>
      </c>
      <c r="F179" s="53" t="str">
        <f>IFERROR(INPUTS!J19*C179,"")</f>
        <v/>
      </c>
      <c r="G179" s="53" t="str">
        <f>IFERROR(INPUTS!K19*C179,"")</f>
        <v/>
      </c>
      <c r="H179" s="53" t="str">
        <f>IFERROR(((D179*(1-C132))*INPUTS!M19*INPUTS!Q19),"")</f>
        <v/>
      </c>
      <c r="I179" s="53" t="str">
        <f>IFERROR(((E179*(1-D132))*INPUTS!N19*INPUTS!Q19),"")</f>
        <v/>
      </c>
      <c r="J179" s="76" t="str">
        <f t="shared" si="19"/>
        <v/>
      </c>
      <c r="K179"/>
      <c r="L179"/>
      <c r="M179"/>
    </row>
    <row r="180" spans="1:13" s="10" customFormat="1">
      <c r="A180" s="156">
        <f>INPUTS!C20</f>
        <v>0</v>
      </c>
      <c r="B180" s="53" t="str">
        <f>'GHG Manure'!G83</f>
        <v/>
      </c>
      <c r="C180" s="76" t="str">
        <f t="shared" si="18"/>
        <v/>
      </c>
      <c r="D180" s="53" t="str">
        <f>IFERROR(C180*INPUTS!H20,"")</f>
        <v/>
      </c>
      <c r="E180" s="53" t="str">
        <f>IFERROR(C180*INPUTS!I20,"")</f>
        <v/>
      </c>
      <c r="F180" s="53" t="str">
        <f>IFERROR(INPUTS!J20*C180,"")</f>
        <v/>
      </c>
      <c r="G180" s="53" t="str">
        <f>IFERROR(INPUTS!K20*C180,"")</f>
        <v/>
      </c>
      <c r="H180" s="53" t="str">
        <f>IFERROR(((D180*(1-C133))*INPUTS!M20*INPUTS!Q20),"")</f>
        <v/>
      </c>
      <c r="I180" s="53" t="str">
        <f>IFERROR(((E180*(1-D133))*INPUTS!N20*INPUTS!Q20),"")</f>
        <v/>
      </c>
      <c r="J180" s="76" t="str">
        <f t="shared" si="19"/>
        <v/>
      </c>
      <c r="K180" s="12" t="s">
        <v>406</v>
      </c>
      <c r="L180"/>
      <c r="M180"/>
    </row>
    <row r="181" spans="1:13">
      <c r="A181" s="156">
        <f>INPUTS!C21</f>
        <v>0</v>
      </c>
      <c r="B181" s="53" t="str">
        <f>'GHG Manure'!G84</f>
        <v/>
      </c>
      <c r="C181" s="76" t="str">
        <f t="shared" si="18"/>
        <v/>
      </c>
      <c r="D181" s="53" t="str">
        <f>IFERROR(C181*INPUTS!H21,"")</f>
        <v/>
      </c>
      <c r="E181" s="53" t="str">
        <f>IFERROR(C181*INPUTS!I21,"")</f>
        <v/>
      </c>
      <c r="F181" s="53" t="str">
        <f>IFERROR(INPUTS!J21*C181,"")</f>
        <v/>
      </c>
      <c r="G181" s="53" t="str">
        <f>IFERROR(INPUTS!K21*C181,"")</f>
        <v/>
      </c>
      <c r="H181" s="53" t="str">
        <f>IFERROR(((D181*(1-C134))*INPUTS!M21*INPUTS!Q21),"")</f>
        <v/>
      </c>
      <c r="I181" s="53" t="str">
        <f>IFERROR(((E181*(1-D134))*INPUTS!N21*INPUTS!Q21),"")</f>
        <v/>
      </c>
      <c r="J181" s="76" t="str">
        <f t="shared" si="19"/>
        <v/>
      </c>
      <c r="K181" s="12"/>
    </row>
    <row r="182" spans="1:13">
      <c r="A182" s="156">
        <f>INPUTS!C22</f>
        <v>0</v>
      </c>
      <c r="B182" s="53" t="str">
        <f>'GHG Manure'!G85</f>
        <v/>
      </c>
      <c r="C182" s="76" t="str">
        <f t="shared" si="18"/>
        <v/>
      </c>
      <c r="D182" s="53" t="str">
        <f>IFERROR(C182*INPUTS!H22,"")</f>
        <v/>
      </c>
      <c r="E182" s="53" t="str">
        <f>IFERROR(C182*INPUTS!I22,"")</f>
        <v/>
      </c>
      <c r="F182" s="53" t="str">
        <f>IFERROR(INPUTS!J22*C182,"")</f>
        <v/>
      </c>
      <c r="G182" s="53" t="str">
        <f>IFERROR(INPUTS!K22*C182,"")</f>
        <v/>
      </c>
      <c r="H182" s="53" t="str">
        <f>IFERROR(((D182*(1-C135))*INPUTS!M22*INPUTS!Q22),"")</f>
        <v/>
      </c>
      <c r="I182" s="53" t="str">
        <f>IFERROR(((E182*(1-D135))*INPUTS!N22*INPUTS!Q22),"")</f>
        <v/>
      </c>
      <c r="J182" s="76" t="str">
        <f t="shared" si="19"/>
        <v/>
      </c>
      <c r="K182" s="178" t="e">
        <f>J158</f>
        <v>#N/A</v>
      </c>
      <c r="L182" s="177"/>
      <c r="M182" s="177"/>
    </row>
    <row r="183" spans="1:13">
      <c r="A183" s="156">
        <f>INPUTS!C23</f>
        <v>0</v>
      </c>
      <c r="B183" s="53" t="str">
        <f>'GHG Manure'!G86</f>
        <v/>
      </c>
      <c r="C183" s="76" t="str">
        <f t="shared" si="18"/>
        <v/>
      </c>
      <c r="D183" s="53" t="str">
        <f>IFERROR(C183*INPUTS!H23,"")</f>
        <v/>
      </c>
      <c r="E183" s="53" t="str">
        <f>IFERROR(C183*INPUTS!I23,"")</f>
        <v/>
      </c>
      <c r="F183" s="53" t="str">
        <f>IFERROR(INPUTS!J23*C183,"")</f>
        <v/>
      </c>
      <c r="G183" s="53" t="str">
        <f>IFERROR(INPUTS!K23*C183,"")</f>
        <v/>
      </c>
      <c r="H183" s="53" t="str">
        <f>IFERROR(((D183*(1-C136))*INPUTS!M23*INPUTS!Q23),"")</f>
        <v/>
      </c>
      <c r="I183" s="53" t="str">
        <f>IFERROR(((E183*(1-D136))*INPUTS!N23*INPUTS!Q23),"")</f>
        <v/>
      </c>
      <c r="J183" s="76" t="str">
        <f t="shared" si="19"/>
        <v/>
      </c>
      <c r="K183" s="178" t="e">
        <f>J159</f>
        <v>#N/A</v>
      </c>
      <c r="L183" s="177"/>
      <c r="M183" s="177"/>
    </row>
    <row r="184" spans="1:13">
      <c r="A184" s="156">
        <f>INPUTS!C24</f>
        <v>0</v>
      </c>
      <c r="B184" s="53" t="str">
        <f>'GHG Manure'!G87</f>
        <v/>
      </c>
      <c r="C184" s="76" t="str">
        <f t="shared" si="18"/>
        <v/>
      </c>
      <c r="D184" s="53" t="str">
        <f>IFERROR(C184*INPUTS!H24,"")</f>
        <v/>
      </c>
      <c r="E184" s="53" t="str">
        <f>IFERROR(C184*INPUTS!I24,"")</f>
        <v/>
      </c>
      <c r="F184" s="53" t="str">
        <f>IFERROR(INPUTS!J24*C184,"")</f>
        <v/>
      </c>
      <c r="G184" s="53" t="str">
        <f>IFERROR(INPUTS!K24*C184,"")</f>
        <v/>
      </c>
      <c r="H184" s="53" t="str">
        <f>IFERROR(((D184*(1-C137))*INPUTS!M24*INPUTS!Q24),"")</f>
        <v/>
      </c>
      <c r="I184" s="53" t="str">
        <f>IFERROR(((E184*(1-D137))*INPUTS!N24*INPUTS!Q24),"")</f>
        <v/>
      </c>
      <c r="J184" s="76" t="str">
        <f t="shared" si="19"/>
        <v/>
      </c>
      <c r="K184" s="178" t="e">
        <f>J164</f>
        <v>#N/A</v>
      </c>
      <c r="L184" s="177"/>
      <c r="M184" s="177"/>
    </row>
    <row r="185" spans="1:13" s="1096" customFormat="1">
      <c r="A185" s="156">
        <f>INPUTS!C25</f>
        <v>0</v>
      </c>
      <c r="B185" s="53" t="str">
        <f>'GHG Manure'!G88</f>
        <v/>
      </c>
      <c r="C185" s="76" t="str">
        <f t="shared" si="18"/>
        <v/>
      </c>
      <c r="D185" s="53" t="str">
        <f>IFERROR(C185*INPUTS!H25,"")</f>
        <v/>
      </c>
      <c r="E185" s="53" t="str">
        <f>IFERROR(C185*INPUTS!I25,"")</f>
        <v/>
      </c>
      <c r="F185" s="53" t="str">
        <f>IFERROR(INPUTS!J25*C185,"")</f>
        <v/>
      </c>
      <c r="G185" s="53" t="str">
        <f>IFERROR(INPUTS!K25*C185,"")</f>
        <v/>
      </c>
      <c r="H185" s="53" t="str">
        <f>IFERROR(((D185*(1-C138))*INPUTS!M25*INPUTS!Q25),"")</f>
        <v/>
      </c>
      <c r="I185" s="53" t="str">
        <f>IFERROR(((E185*(1-D138))*INPUTS!N25*INPUTS!Q25),"")</f>
        <v/>
      </c>
      <c r="J185" s="76" t="str">
        <f t="shared" si="19"/>
        <v/>
      </c>
      <c r="K185" s="178"/>
      <c r="L185" s="177"/>
      <c r="M185" s="177"/>
    </row>
    <row r="186" spans="1:13" s="1167" customFormat="1">
      <c r="A186" s="156">
        <f>INPUTS!C26</f>
        <v>0</v>
      </c>
      <c r="B186" s="53" t="str">
        <f>'GHG Manure'!G89</f>
        <v/>
      </c>
      <c r="C186" s="76" t="str">
        <f t="shared" si="18"/>
        <v/>
      </c>
      <c r="D186" s="53" t="str">
        <f>IFERROR(C186*INPUTS!H26,"")</f>
        <v/>
      </c>
      <c r="E186" s="53" t="str">
        <f>IFERROR(C186*INPUTS!I26,"")</f>
        <v/>
      </c>
      <c r="F186" s="53" t="str">
        <f>IFERROR(INPUTS!J26*C186,"")</f>
        <v/>
      </c>
      <c r="G186" s="53" t="str">
        <f>IFERROR(INPUTS!K26*C186,"")</f>
        <v/>
      </c>
      <c r="H186" s="53" t="str">
        <f>IFERROR(((D186*(1-C139))*INPUTS!M26*INPUTS!Q26),"")</f>
        <v/>
      </c>
      <c r="I186" s="53" t="str">
        <f>IFERROR(((E186*(1-D139))*INPUTS!N26*INPUTS!Q26),"")</f>
        <v/>
      </c>
      <c r="J186" s="76" t="str">
        <f t="shared" si="19"/>
        <v/>
      </c>
      <c r="K186" s="178"/>
      <c r="L186" s="177"/>
      <c r="M186" s="177"/>
    </row>
    <row r="187" spans="1:13" s="1167" customFormat="1">
      <c r="A187" s="156">
        <f>INPUTS!C27</f>
        <v>0</v>
      </c>
      <c r="B187" s="53" t="str">
        <f>'GHG Manure'!G90</f>
        <v/>
      </c>
      <c r="C187" s="76" t="str">
        <f t="shared" si="18"/>
        <v/>
      </c>
      <c r="D187" s="53" t="str">
        <f>IFERROR(C187*INPUTS!H27,"")</f>
        <v/>
      </c>
      <c r="E187" s="53" t="str">
        <f>IFERROR(C187*INPUTS!I27,"")</f>
        <v/>
      </c>
      <c r="F187" s="53" t="str">
        <f>IFERROR(INPUTS!J27*C187,"")</f>
        <v/>
      </c>
      <c r="G187" s="53" t="str">
        <f>IFERROR(INPUTS!K27*C187,"")</f>
        <v/>
      </c>
      <c r="H187" s="53" t="str">
        <f>IFERROR(((D187*(1-C140))*INPUTS!M27*INPUTS!Q27),"")</f>
        <v/>
      </c>
      <c r="I187" s="53" t="str">
        <f>IFERROR(((E187*(1-D140))*INPUTS!N27*INPUTS!Q27),"")</f>
        <v/>
      </c>
      <c r="J187" s="76" t="str">
        <f t="shared" si="19"/>
        <v/>
      </c>
      <c r="K187" s="178"/>
      <c r="L187" s="177"/>
      <c r="M187" s="177"/>
    </row>
    <row r="188" spans="1:13" s="1105" customFormat="1">
      <c r="A188" s="156">
        <f>INPUTS!C28</f>
        <v>0</v>
      </c>
      <c r="B188" s="53" t="str">
        <f>'GHG Manure'!G91</f>
        <v/>
      </c>
      <c r="C188" s="76" t="str">
        <f t="shared" si="18"/>
        <v/>
      </c>
      <c r="D188" s="53" t="str">
        <f>IFERROR(C188*INPUTS!H28,"")</f>
        <v/>
      </c>
      <c r="E188" s="53" t="str">
        <f>IFERROR(C188*INPUTS!I28,"")</f>
        <v/>
      </c>
      <c r="F188" s="53" t="str">
        <f>IFERROR(INPUTS!J28*C188,"")</f>
        <v/>
      </c>
      <c r="G188" s="53" t="str">
        <f>IFERROR(INPUTS!K28*C188,"")</f>
        <v/>
      </c>
      <c r="H188" s="53" t="str">
        <f>IFERROR(((D188*(1-C141))*INPUTS!M28*INPUTS!Q28),"")</f>
        <v/>
      </c>
      <c r="I188" s="53" t="str">
        <f>IFERROR(((E188*(1-D141))*INPUTS!N28*INPUTS!Q28),"")</f>
        <v/>
      </c>
      <c r="J188" s="76" t="str">
        <f t="shared" si="19"/>
        <v/>
      </c>
      <c r="K188" s="178"/>
      <c r="L188" s="177"/>
      <c r="M188" s="177"/>
    </row>
    <row r="189" spans="1:13" s="1105" customFormat="1">
      <c r="A189" s="156">
        <f>INPUTS!C29</f>
        <v>0</v>
      </c>
      <c r="B189" s="53" t="str">
        <f>'GHG Manure'!G92</f>
        <v/>
      </c>
      <c r="C189" s="76" t="str">
        <f t="shared" si="18"/>
        <v/>
      </c>
      <c r="D189" s="53" t="str">
        <f>IFERROR(C189*INPUTS!H29,"")</f>
        <v/>
      </c>
      <c r="E189" s="53" t="str">
        <f>IFERROR(C189*INPUTS!I29,"")</f>
        <v/>
      </c>
      <c r="F189" s="53" t="str">
        <f>IFERROR(INPUTS!J29*C189,"")</f>
        <v/>
      </c>
      <c r="G189" s="53" t="str">
        <f>IFERROR(INPUTS!K29*C189,"")</f>
        <v/>
      </c>
      <c r="H189" s="53" t="str">
        <f>IFERROR(((D189*(1-C142))*INPUTS!M29*INPUTS!Q29),"")</f>
        <v/>
      </c>
      <c r="I189" s="53" t="str">
        <f>IFERROR(((E189*(1-D142))*INPUTS!N29*INPUTS!Q29),"")</f>
        <v/>
      </c>
      <c r="J189" s="76" t="str">
        <f t="shared" si="19"/>
        <v/>
      </c>
      <c r="K189" s="178"/>
      <c r="L189" s="177"/>
      <c r="M189" s="177"/>
    </row>
    <row r="190" spans="1:13">
      <c r="A190" s="156">
        <f>INPUTS!C30</f>
        <v>0</v>
      </c>
      <c r="B190" s="53" t="str">
        <f>'GHG Manure'!G93</f>
        <v/>
      </c>
      <c r="C190" s="76" t="str">
        <f t="shared" si="18"/>
        <v/>
      </c>
      <c r="D190" s="53" t="str">
        <f>IFERROR(C190*INPUTS!H30,"")</f>
        <v/>
      </c>
      <c r="E190" s="53" t="str">
        <f>IFERROR(C190*INPUTS!I30,"")</f>
        <v/>
      </c>
      <c r="F190" s="53" t="str">
        <f>IFERROR(INPUTS!J30*C190,"")</f>
        <v/>
      </c>
      <c r="G190" s="53" t="str">
        <f>IFERROR(INPUTS!K30*C190,"")</f>
        <v/>
      </c>
      <c r="H190" s="53" t="str">
        <f>IFERROR(((D190*(1-C143))*INPUTS!M30*INPUTS!Q30),"")</f>
        <v/>
      </c>
      <c r="I190" s="53" t="str">
        <f>IFERROR(((E190*(1-D143))*INPUTS!N30*INPUTS!Q30),"")</f>
        <v/>
      </c>
      <c r="J190" s="76" t="str">
        <f t="shared" si="19"/>
        <v/>
      </c>
      <c r="K190" s="179" t="e">
        <f>SUM(J176:J180)+SUM(K182:K184)</f>
        <v>#N/A</v>
      </c>
      <c r="L190" s="11"/>
      <c r="M190" s="11"/>
    </row>
    <row r="191" spans="1:13" s="177" customFormat="1">
      <c r="A191" s="78" t="s">
        <v>131</v>
      </c>
      <c r="B191" s="74">
        <f>SUM(C177:C190)</f>
        <v>60.737680752351125</v>
      </c>
      <c r="C191" s="1217">
        <f>SUMIF(C177:C190,"&lt;&gt;#N/A")</f>
        <v>60.737680752351125</v>
      </c>
      <c r="D191" s="1217">
        <f>SUMIF(D177:D190,"&lt;&gt;#N/A")</f>
        <v>60.737680752351125</v>
      </c>
      <c r="E191" s="77">
        <f>SUM(G177:G190)</f>
        <v>0</v>
      </c>
      <c r="F191" s="1217">
        <f>SUMIF(F177:F190,"&lt;&gt;#N/A")</f>
        <v>0</v>
      </c>
      <c r="G191" s="1217">
        <f>SUMIF(G177:G190,"&lt;&gt;#N/A")</f>
        <v>0</v>
      </c>
      <c r="H191" s="1217">
        <f>SUMIF(H177:H190,"&lt;&gt;#N/A")</f>
        <v>38.264738873981202</v>
      </c>
      <c r="I191" s="1217">
        <f>SUMIF(I177:I190,"&lt;&gt;#N/A")</f>
        <v>0</v>
      </c>
      <c r="J191" s="1217">
        <f>SUMIF(J177:J190,"&lt;&gt;#N/A")</f>
        <v>37.961050470219448</v>
      </c>
      <c r="K191"/>
      <c r="L191"/>
      <c r="M191"/>
    </row>
    <row r="192" spans="1:13" s="177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</row>
    <row r="193" spans="1:13" s="177" customFormat="1">
      <c r="A193"/>
      <c r="B193"/>
      <c r="C193"/>
      <c r="D193"/>
      <c r="E193" s="173" t="s">
        <v>1859</v>
      </c>
      <c r="F193" s="1016">
        <f>SUM(G177:G183)</f>
        <v>0</v>
      </c>
      <c r="G193"/>
      <c r="H193"/>
      <c r="I193"/>
      <c r="J193"/>
      <c r="K193"/>
      <c r="L193"/>
      <c r="M193"/>
    </row>
    <row r="194" spans="1:13" s="11" customFormat="1">
      <c r="A194"/>
      <c r="B194"/>
      <c r="C194"/>
      <c r="D194"/>
      <c r="E194" s="173" t="s">
        <v>1860</v>
      </c>
      <c r="F194" s="1016">
        <f>SUM(G184:G190)</f>
        <v>0</v>
      </c>
      <c r="G194"/>
      <c r="H194"/>
      <c r="I194"/>
      <c r="J194"/>
      <c r="K194"/>
      <c r="L194"/>
      <c r="M194"/>
    </row>
    <row r="198" spans="1:13" ht="15.75" customHeight="1">
      <c r="A198" s="13"/>
      <c r="B198" s="1616" t="s">
        <v>498</v>
      </c>
      <c r="C198" s="1617"/>
      <c r="D198" s="1617"/>
      <c r="E198" s="1618"/>
    </row>
    <row r="199" spans="1:13">
      <c r="A199" s="13"/>
      <c r="B199" s="1656" t="s">
        <v>406</v>
      </c>
      <c r="C199" s="1656"/>
      <c r="D199" s="1656" t="s">
        <v>405</v>
      </c>
      <c r="E199" s="1656"/>
    </row>
    <row r="200" spans="1:13">
      <c r="A200" s="13" t="s">
        <v>909</v>
      </c>
      <c r="B200" s="13" t="s">
        <v>907</v>
      </c>
      <c r="C200" s="13" t="s">
        <v>908</v>
      </c>
      <c r="D200" s="13" t="s">
        <v>907</v>
      </c>
      <c r="E200" s="13" t="s">
        <v>908</v>
      </c>
    </row>
    <row r="201" spans="1:13">
      <c r="A201" s="1218" t="s">
        <v>210</v>
      </c>
      <c r="B201" s="1016">
        <f>SUM(SUMIF($A$153:$A$166, {"Cows (local)","Cows (improved)","Cows (high productive)","Adult cattle - male","Steers/heifers (improved)","Calves (improved)","Steers/heifers","Calves","Buffalo (dairy)","Buffalo steers/heifers","Buffalo calves","Pigs - lactating/pregnant sows","Pigs - dry sows/boars","Pigs - growers"}, $F$153:$F$166))</f>
        <v>0</v>
      </c>
      <c r="C201" s="1016">
        <f>SUM(SUMIF($A$153:$A$166, {"Cows (local)","Cows (improved)","Cows (high productive)","Adult cattle - male","Steers/heifers (improved)","Calves (improved)","Steers/heifers","Calves","Buffalo (dairy)","Buffalo steers/heifers","Buffalo calves","Pigs - lactating/pregnant sows","Pigs - dry sows/boars","Pigs - growers"}, $G$153:$G$166))</f>
        <v>0</v>
      </c>
      <c r="D201" s="1016">
        <f>SUM(SUMIF($A$177:$A$190, {"Cows (local)","Cows (improved)","Cows (high productive)","Adult cattle - male","Steers/heifers (improved)","Calves (improved)","Steers/heifers","Calves","Buffalo (dairy)","Buffalo steers/heifers","Buffalo calves","Pigs - lactating/pregnant sows","Pigs - dry sows/boars","Pigs - growers"}, $F$177:$F$190))</f>
        <v>0</v>
      </c>
      <c r="E201" s="1016">
        <f>SUM(SUMIF($A$177:$A$190, {"Cows (local)","Cows (improved)","Cows (high productive)","Adult cattle - male","Steers/heifers (improved)","Calves (improved)","Steers/heifers","Calves","Buffalo (dairy)","Buffalo steers/heifers","Buffalo calves","Pigs - lactating/pregnant sows","Pigs - dry sows/boars","Pigs - growers"}, $G$177:$G$190))</f>
        <v>0</v>
      </c>
    </row>
    <row r="202" spans="1:13">
      <c r="A202" s="1209" t="s">
        <v>209</v>
      </c>
      <c r="B202" s="1016">
        <f>SUM(SUMIF($A$153:$A$166, {"Sheep/Goats - Ewes/Does","Sheep/Goats - Breeding Rams/Bucks","Sheep/Goats - Fattening Rams/Bucks","Sheep/Goats - Lambs/Kids"}, $F$153:$F$166))</f>
        <v>0</v>
      </c>
      <c r="C202" s="1016">
        <f>SUM(SUMIF($A$153:$A$166, {"Sheep/Goats - Ewes/Does","Sheep/Goats - Breeding Rams/Bucks","Sheep/Goats - Fattening Rams/Bucks","Sheep/Goats - Lambs/Kids"}, $G$153:$G$166))</f>
        <v>0</v>
      </c>
      <c r="D202" s="1016">
        <f>SUM(SUMIF($A$177:$A$190, {"Sheep/Goats - Ewes/Does","Sheep/Goats - Breeding Rams/Bucks","Sheep/Goats - Fattening Rams/Bucks","Sheep/Goats - Lambs/Kids"}, $F$177:$F$190))</f>
        <v>0</v>
      </c>
      <c r="E202" s="1016">
        <f>SUM(SUMIF($A$153:$A$166, {"Sheep/Goats - Ewes/Does","Sheep/Goats - Breeding Rams/Bucks","Sheep/Goats - Fattening Rams/Bucks","Sheep/Goats - Lambs/Kids"}, $G$153:$G$166))</f>
        <v>0</v>
      </c>
    </row>
    <row r="205" spans="1:13" ht="22.5">
      <c r="A205" s="1264"/>
      <c r="C205" s="1265"/>
      <c r="G205" s="1353"/>
    </row>
    <row r="206" spans="1:13">
      <c r="A206" s="1264"/>
      <c r="B206" s="750"/>
    </row>
    <row r="207" spans="1:13">
      <c r="A207" s="1264"/>
      <c r="B207" s="750"/>
    </row>
    <row r="208" spans="1:13">
      <c r="A208" s="1264"/>
      <c r="B208" s="750"/>
    </row>
    <row r="209" spans="1:2">
      <c r="A209" s="1264"/>
      <c r="B209" s="750"/>
    </row>
    <row r="210" spans="1:2">
      <c r="A210" s="1264"/>
      <c r="B210" s="750"/>
    </row>
    <row r="211" spans="1:2">
      <c r="A211" s="1264"/>
      <c r="B211" s="750"/>
    </row>
    <row r="212" spans="1:2">
      <c r="A212" s="1264"/>
      <c r="B212" s="750"/>
    </row>
    <row r="213" spans="1:2">
      <c r="A213" s="1264"/>
      <c r="B213" s="750"/>
    </row>
    <row r="214" spans="1:2" ht="39" customHeight="1">
      <c r="A214" s="1264"/>
      <c r="B214" s="750"/>
    </row>
    <row r="215" spans="1:2" ht="33" customHeight="1">
      <c r="A215" s="1264"/>
      <c r="B215" s="750"/>
    </row>
    <row r="216" spans="1:2">
      <c r="A216" s="1264"/>
      <c r="B216" s="750"/>
    </row>
    <row r="217" spans="1:2">
      <c r="A217" s="1264"/>
      <c r="B217" s="750"/>
    </row>
    <row r="218" spans="1:2">
      <c r="A218" s="1264"/>
      <c r="B218" s="750"/>
    </row>
    <row r="219" spans="1:2">
      <c r="A219" s="1264"/>
      <c r="B219" s="750"/>
    </row>
    <row r="220" spans="1:2">
      <c r="A220" s="1203"/>
      <c r="B220" s="750"/>
    </row>
    <row r="221" spans="1:2">
      <c r="B221" s="1103"/>
    </row>
    <row r="222" spans="1:2">
      <c r="B222" s="1103"/>
    </row>
    <row r="223" spans="1:2" ht="16.5" thickBot="1">
      <c r="B223" s="1085"/>
    </row>
  </sheetData>
  <mergeCells count="55">
    <mergeCell ref="B198:E198"/>
    <mergeCell ref="B199:C199"/>
    <mergeCell ref="D199:E199"/>
    <mergeCell ref="C4:E4"/>
    <mergeCell ref="I27:K27"/>
    <mergeCell ref="I28:K28"/>
    <mergeCell ref="I30:K30"/>
    <mergeCell ref="B5:B7"/>
    <mergeCell ref="G128:H128"/>
    <mergeCell ref="B144:H144"/>
    <mergeCell ref="B126:B128"/>
    <mergeCell ref="E128:F128"/>
    <mergeCell ref="C128:D128"/>
    <mergeCell ref="C127:D127"/>
    <mergeCell ref="E127:F127"/>
    <mergeCell ref="E126:F126"/>
    <mergeCell ref="H172:I172"/>
    <mergeCell ref="A150:A152"/>
    <mergeCell ref="G127:H127"/>
    <mergeCell ref="L29:N29"/>
    <mergeCell ref="E103:F103"/>
    <mergeCell ref="E104:F104"/>
    <mergeCell ref="C104:D104"/>
    <mergeCell ref="E105:F105"/>
    <mergeCell ref="G59:G62"/>
    <mergeCell ref="F29:F30"/>
    <mergeCell ref="G29:G30"/>
    <mergeCell ref="A148:A149"/>
    <mergeCell ref="D148:E148"/>
    <mergeCell ref="H148:I148"/>
    <mergeCell ref="B27:B30"/>
    <mergeCell ref="C29:C30"/>
    <mergeCell ref="A174:A176"/>
    <mergeCell ref="D174:E174"/>
    <mergeCell ref="C174:C175"/>
    <mergeCell ref="B174:B175"/>
    <mergeCell ref="B150:B151"/>
    <mergeCell ref="C150:C151"/>
    <mergeCell ref="D150:E150"/>
    <mergeCell ref="A172:A173"/>
    <mergeCell ref="D172:E172"/>
    <mergeCell ref="D29:D30"/>
    <mergeCell ref="E29:E30"/>
    <mergeCell ref="B46:O46"/>
    <mergeCell ref="L27:N27"/>
    <mergeCell ref="L28:N28"/>
    <mergeCell ref="L30:N30"/>
    <mergeCell ref="G105:H105"/>
    <mergeCell ref="C126:D126"/>
    <mergeCell ref="G126:H126"/>
    <mergeCell ref="B54:B56"/>
    <mergeCell ref="B103:B105"/>
    <mergeCell ref="G103:H103"/>
    <mergeCell ref="C103:D103"/>
    <mergeCell ref="G104:H104"/>
  </mergeCells>
  <pageMargins left="0.75" right="0.75" top="1" bottom="1" header="0.5" footer="0.5"/>
  <pageSetup paperSize="9" orientation="portrait" horizontalDpi="4294967292" verticalDpi="4294967292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00B050"/>
  </sheetPr>
  <dimension ref="A2:T78"/>
  <sheetViews>
    <sheetView topLeftCell="A61" zoomScale="70" zoomScaleNormal="70" workbookViewId="0">
      <selection activeCell="E21" sqref="E21"/>
    </sheetView>
  </sheetViews>
  <sheetFormatPr defaultColWidth="11" defaultRowHeight="15.75"/>
  <cols>
    <col min="1" max="1" width="29.375" customWidth="1"/>
    <col min="2" max="2" width="40.875" customWidth="1"/>
    <col min="3" max="3" width="33.875" style="12" bestFit="1" customWidth="1"/>
    <col min="4" max="4" width="48.625" customWidth="1"/>
    <col min="5" max="5" width="21.5" customWidth="1"/>
    <col min="6" max="6" width="22.5" style="2" customWidth="1"/>
    <col min="7" max="7" width="21.625" customWidth="1"/>
    <col min="8" max="8" width="32.625" style="12" customWidth="1"/>
    <col min="9" max="9" width="20.5" customWidth="1"/>
    <col min="10" max="10" width="35.5" bestFit="1" customWidth="1"/>
    <col min="11" max="11" width="35.875" bestFit="1" customWidth="1"/>
    <col min="12" max="12" width="25.125" bestFit="1" customWidth="1"/>
    <col min="13" max="15" width="11" customWidth="1"/>
    <col min="16" max="16" width="15.125" bestFit="1" customWidth="1"/>
  </cols>
  <sheetData>
    <row r="2" spans="2:16">
      <c r="B2" t="s">
        <v>917</v>
      </c>
      <c r="C2" s="12" t="s">
        <v>918</v>
      </c>
    </row>
    <row r="3" spans="2:16" ht="31.5">
      <c r="B3" s="46" t="s">
        <v>233</v>
      </c>
      <c r="C3" s="46" t="s">
        <v>233</v>
      </c>
    </row>
    <row r="4" spans="2:16">
      <c r="B4" s="46" t="s">
        <v>236</v>
      </c>
      <c r="C4" s="46" t="s">
        <v>236</v>
      </c>
    </row>
    <row r="5" spans="2:16" ht="31.5">
      <c r="B5" s="46" t="s">
        <v>660</v>
      </c>
      <c r="C5" s="46" t="s">
        <v>660</v>
      </c>
    </row>
    <row r="6" spans="2:16">
      <c r="B6" s="47">
        <f>(H22)*(44/28)</f>
        <v>2.1359384508587334</v>
      </c>
      <c r="C6" s="47">
        <f>(P22)*(44/28)</f>
        <v>1.2580321903907536</v>
      </c>
    </row>
    <row r="8" spans="2:16">
      <c r="B8" s="46" t="s">
        <v>612</v>
      </c>
      <c r="C8" s="1673" t="s">
        <v>915</v>
      </c>
      <c r="D8" s="1674"/>
      <c r="E8" s="1674"/>
      <c r="F8" s="1674"/>
      <c r="G8" s="1674"/>
      <c r="H8" s="1674"/>
      <c r="L8" s="1670" t="s">
        <v>916</v>
      </c>
      <c r="M8" s="1670"/>
      <c r="N8" s="1670"/>
      <c r="O8" s="1670"/>
      <c r="P8" s="1670"/>
    </row>
    <row r="9" spans="2:16">
      <c r="B9" s="1628" t="s">
        <v>171</v>
      </c>
      <c r="C9" s="1628"/>
      <c r="D9" s="1628" t="s">
        <v>216</v>
      </c>
      <c r="E9" s="1628"/>
      <c r="F9" s="1628"/>
      <c r="G9" s="1628"/>
      <c r="H9" s="1628"/>
      <c r="J9" s="1628" t="s">
        <v>171</v>
      </c>
      <c r="K9" s="1628"/>
      <c r="L9" s="1628" t="s">
        <v>216</v>
      </c>
      <c r="M9" s="1628"/>
      <c r="N9" s="1628"/>
      <c r="O9" s="1628"/>
      <c r="P9" s="1628"/>
    </row>
    <row r="10" spans="2:16" ht="63">
      <c r="B10" s="1549" t="s">
        <v>215</v>
      </c>
      <c r="C10" s="1549"/>
      <c r="D10" s="1549" t="s">
        <v>235</v>
      </c>
      <c r="E10" s="1549"/>
      <c r="F10" s="1550" t="s">
        <v>234</v>
      </c>
      <c r="G10" s="1550"/>
      <c r="H10" s="24" t="s">
        <v>233</v>
      </c>
      <c r="J10" s="1549" t="s">
        <v>215</v>
      </c>
      <c r="K10" s="1549"/>
      <c r="L10" s="1549" t="s">
        <v>235</v>
      </c>
      <c r="M10" s="1549"/>
      <c r="N10" s="1550" t="s">
        <v>234</v>
      </c>
      <c r="O10" s="1550"/>
      <c r="P10" s="24" t="s">
        <v>233</v>
      </c>
    </row>
    <row r="11" spans="2:16">
      <c r="B11" s="1549"/>
      <c r="C11" s="1549"/>
      <c r="D11" s="1549" t="s">
        <v>232</v>
      </c>
      <c r="E11" s="1549"/>
      <c r="F11" s="1549" t="s">
        <v>231</v>
      </c>
      <c r="G11" s="1549"/>
      <c r="H11" s="24" t="s">
        <v>230</v>
      </c>
      <c r="J11" s="1549"/>
      <c r="K11" s="1549"/>
      <c r="L11" s="1549" t="s">
        <v>232</v>
      </c>
      <c r="M11" s="1549"/>
      <c r="N11" s="1549" t="s">
        <v>231</v>
      </c>
      <c r="O11" s="1549"/>
      <c r="P11" s="24" t="s">
        <v>230</v>
      </c>
    </row>
    <row r="12" spans="2:16" ht="31.5">
      <c r="B12" s="1549"/>
      <c r="C12" s="1549"/>
      <c r="D12" s="1549"/>
      <c r="E12" s="1549"/>
      <c r="F12" s="1549" t="s">
        <v>1858</v>
      </c>
      <c r="G12" s="1549"/>
      <c r="H12" s="24" t="s">
        <v>228</v>
      </c>
      <c r="J12" s="1549"/>
      <c r="K12" s="1549"/>
      <c r="L12" s="1549"/>
      <c r="M12" s="1549"/>
      <c r="N12" s="1549" t="s">
        <v>229</v>
      </c>
      <c r="O12" s="1549"/>
      <c r="P12" s="24" t="s">
        <v>228</v>
      </c>
    </row>
    <row r="13" spans="2:16">
      <c r="B13" s="1549"/>
      <c r="C13" s="1549"/>
      <c r="D13" s="1549" t="s">
        <v>227</v>
      </c>
      <c r="E13" s="1549"/>
      <c r="F13" s="1549" t="s">
        <v>0</v>
      </c>
      <c r="G13" s="1549"/>
      <c r="H13" s="24" t="s">
        <v>226</v>
      </c>
      <c r="J13" s="1549"/>
      <c r="K13" s="1549"/>
      <c r="L13" s="1549" t="s">
        <v>227</v>
      </c>
      <c r="M13" s="1549"/>
      <c r="N13" s="1549" t="s">
        <v>0</v>
      </c>
      <c r="O13" s="1549"/>
      <c r="P13" s="24" t="s">
        <v>226</v>
      </c>
    </row>
    <row r="14" spans="2:16" ht="15.75" customHeight="1">
      <c r="B14" s="1627" t="s">
        <v>225</v>
      </c>
      <c r="C14" s="27" t="s">
        <v>223</v>
      </c>
      <c r="D14" s="26" t="s">
        <v>222</v>
      </c>
      <c r="E14" s="70">
        <f>'N balance'!AI16</f>
        <v>31.515838577296631</v>
      </c>
      <c r="F14" s="1628" t="s">
        <v>224</v>
      </c>
      <c r="G14" s="27">
        <f>'GHG Parameters'!D120</f>
        <v>0.01</v>
      </c>
      <c r="H14" s="45">
        <f t="shared" ref="H14:H19" si="0">E14*G14</f>
        <v>0.31515838577296629</v>
      </c>
      <c r="J14" s="1627" t="s">
        <v>225</v>
      </c>
      <c r="K14" s="27" t="s">
        <v>223</v>
      </c>
      <c r="L14" s="26" t="s">
        <v>222</v>
      </c>
      <c r="M14" s="70">
        <f>'N balance'!AI16</f>
        <v>31.515838577296631</v>
      </c>
      <c r="N14" s="1628" t="s">
        <v>224</v>
      </c>
      <c r="O14" s="27">
        <f>'GHG Parameters'!D120</f>
        <v>0.01</v>
      </c>
      <c r="P14" s="45">
        <f t="shared" ref="P14:P19" si="1">M14*O14</f>
        <v>0.31515838577296629</v>
      </c>
    </row>
    <row r="15" spans="2:16" ht="47.25">
      <c r="B15" s="1627"/>
      <c r="C15" s="27" t="s">
        <v>220</v>
      </c>
      <c r="D15" s="26" t="s">
        <v>219</v>
      </c>
      <c r="E15" s="70">
        <f>(SUM(INPUTS!D38:'INPUTS'!D41)-INPUTS!D42+'GHG Manure'!J167)</f>
        <v>98.48781249999999</v>
      </c>
      <c r="F15" s="1628"/>
      <c r="G15" s="27">
        <f>'GHG Parameters'!D120</f>
        <v>0.01</v>
      </c>
      <c r="H15" s="45">
        <f t="shared" si="0"/>
        <v>0.98487812499999994</v>
      </c>
      <c r="J15" s="1627"/>
      <c r="K15" s="27" t="s">
        <v>220</v>
      </c>
      <c r="L15" s="26" t="s">
        <v>219</v>
      </c>
      <c r="M15" s="169">
        <f>(SUM(INPUTS!D38:'INPUTS'!D41)-INPUTS!D42+'GHG Manure'!J191)</f>
        <v>42.621050470219444</v>
      </c>
      <c r="N15" s="1628"/>
      <c r="O15" s="27">
        <f>'GHG Parameters'!D120</f>
        <v>0.01</v>
      </c>
      <c r="P15" s="45">
        <f>M15*O15</f>
        <v>0.42621050470219446</v>
      </c>
    </row>
    <row r="16" spans="2:16" ht="16.5" thickBot="1">
      <c r="B16" s="1668"/>
      <c r="C16" s="96" t="s">
        <v>218</v>
      </c>
      <c r="D16" s="97" t="s">
        <v>217</v>
      </c>
      <c r="E16" s="98">
        <f>F39</f>
        <v>5.9197048864409778</v>
      </c>
      <c r="F16" s="1669"/>
      <c r="G16" s="96">
        <f>'GHG Parameters'!D120</f>
        <v>0.01</v>
      </c>
      <c r="H16" s="99">
        <f t="shared" si="0"/>
        <v>5.9197048864409782E-2</v>
      </c>
      <c r="J16" s="1668"/>
      <c r="K16" s="96" t="s">
        <v>218</v>
      </c>
      <c r="L16" s="97" t="s">
        <v>217</v>
      </c>
      <c r="M16" s="98">
        <f>F39</f>
        <v>5.9197048864409778</v>
      </c>
      <c r="N16" s="1669"/>
      <c r="O16" s="96">
        <f>'GHG Parameters'!D120</f>
        <v>0.01</v>
      </c>
      <c r="P16" s="99">
        <f t="shared" si="1"/>
        <v>5.9197048864409782E-2</v>
      </c>
    </row>
    <row r="17" spans="2:16" ht="15.75" customHeight="1" thickTop="1">
      <c r="B17" s="1615" t="s">
        <v>609</v>
      </c>
      <c r="C17" s="91" t="s">
        <v>223</v>
      </c>
      <c r="D17" s="90" t="s">
        <v>610</v>
      </c>
      <c r="E17" s="100">
        <f>INPUTS!E136*INPUTS!E131</f>
        <v>0</v>
      </c>
      <c r="F17" s="1643" t="s">
        <v>221</v>
      </c>
      <c r="G17" s="91">
        <f>'GHG Parameters'!D126</f>
        <v>3.0000000000000001E-3</v>
      </c>
      <c r="H17" s="95">
        <f t="shared" si="0"/>
        <v>0</v>
      </c>
      <c r="J17" s="1615" t="s">
        <v>609</v>
      </c>
      <c r="K17" s="91" t="s">
        <v>223</v>
      </c>
      <c r="L17" s="90" t="s">
        <v>610</v>
      </c>
      <c r="M17" s="100">
        <f>SUM(INPUTS!E136:I136)*SUM(INPUTS!E131:I131)</f>
        <v>0</v>
      </c>
      <c r="N17" s="1643" t="s">
        <v>221</v>
      </c>
      <c r="O17" s="91">
        <f>'GHG Parameters'!D126</f>
        <v>3.0000000000000001E-3</v>
      </c>
      <c r="P17" s="95">
        <f t="shared" si="1"/>
        <v>0</v>
      </c>
    </row>
    <row r="18" spans="2:16" ht="47.25">
      <c r="B18" s="1627"/>
      <c r="C18" s="27" t="s">
        <v>220</v>
      </c>
      <c r="D18" s="26" t="s">
        <v>646</v>
      </c>
      <c r="E18" s="70"/>
      <c r="F18" s="1628"/>
      <c r="G18" s="27">
        <f>'GHG Parameters'!D126</f>
        <v>3.0000000000000001E-3</v>
      </c>
      <c r="H18" s="45">
        <f t="shared" si="0"/>
        <v>0</v>
      </c>
      <c r="J18" s="1627"/>
      <c r="K18" s="27" t="s">
        <v>220</v>
      </c>
      <c r="L18" s="26" t="s">
        <v>646</v>
      </c>
      <c r="M18" s="70"/>
      <c r="N18" s="1628"/>
      <c r="O18" s="27">
        <f>'GHG Parameters'!D126</f>
        <v>3.0000000000000001E-3</v>
      </c>
      <c r="P18" s="45">
        <f t="shared" si="1"/>
        <v>0</v>
      </c>
    </row>
    <row r="19" spans="2:16" ht="16.5" thickBot="1">
      <c r="B19" s="1668"/>
      <c r="C19" s="96" t="s">
        <v>218</v>
      </c>
      <c r="D19" s="97" t="s">
        <v>217</v>
      </c>
      <c r="E19" s="167"/>
      <c r="F19" s="1669"/>
      <c r="G19" s="96">
        <f>'GHG Parameters'!D126</f>
        <v>3.0000000000000001E-3</v>
      </c>
      <c r="H19" s="99">
        <f t="shared" si="0"/>
        <v>0</v>
      </c>
      <c r="J19" s="1668"/>
      <c r="K19" s="96" t="s">
        <v>218</v>
      </c>
      <c r="L19" s="97" t="s">
        <v>217</v>
      </c>
      <c r="M19" s="167"/>
      <c r="N19" s="1669"/>
      <c r="O19" s="96">
        <f>'GHG Parameters'!D126</f>
        <v>3.0000000000000001E-3</v>
      </c>
      <c r="P19" s="99">
        <f t="shared" si="1"/>
        <v>0</v>
      </c>
    </row>
    <row r="20" spans="2:16" ht="48" thickTop="1">
      <c r="B20" s="1615" t="s">
        <v>606</v>
      </c>
      <c r="C20" s="91" t="s">
        <v>210</v>
      </c>
      <c r="D20" s="90" t="s">
        <v>607</v>
      </c>
      <c r="E20" s="68">
        <f>'GHG Manure'!B201</f>
        <v>0</v>
      </c>
      <c r="F20" s="93" t="s">
        <v>211</v>
      </c>
      <c r="G20" s="91">
        <f>'GHG Parameters'!D122</f>
        <v>0.02</v>
      </c>
      <c r="H20" s="88">
        <f>G20*E20</f>
        <v>0</v>
      </c>
      <c r="J20" s="1615" t="s">
        <v>606</v>
      </c>
      <c r="K20" s="91" t="s">
        <v>210</v>
      </c>
      <c r="L20" s="90" t="s">
        <v>607</v>
      </c>
      <c r="M20" s="88">
        <f>'GHG Manure'!D201</f>
        <v>0</v>
      </c>
      <c r="N20" s="93" t="s">
        <v>211</v>
      </c>
      <c r="O20" s="91">
        <f>'GHG Parameters'!D122</f>
        <v>0.02</v>
      </c>
      <c r="P20" s="88">
        <f>O20*M20</f>
        <v>0</v>
      </c>
    </row>
    <row r="21" spans="2:16" ht="47.25">
      <c r="B21" s="1627"/>
      <c r="C21" s="27" t="s">
        <v>209</v>
      </c>
      <c r="D21" s="26" t="s">
        <v>608</v>
      </c>
      <c r="E21" s="68">
        <f>'GHG Manure'!B202</f>
        <v>0</v>
      </c>
      <c r="F21" s="23" t="s">
        <v>211</v>
      </c>
      <c r="G21" s="27">
        <f>'GHG Parameters'!D123</f>
        <v>0.01</v>
      </c>
      <c r="H21" s="68">
        <f>G21*E21</f>
        <v>0</v>
      </c>
      <c r="J21" s="1627"/>
      <c r="K21" s="27" t="s">
        <v>209</v>
      </c>
      <c r="L21" s="26" t="s">
        <v>608</v>
      </c>
      <c r="M21" s="88">
        <f>'GHG Manure'!D202</f>
        <v>0</v>
      </c>
      <c r="N21" s="23" t="s">
        <v>211</v>
      </c>
      <c r="O21" s="27">
        <f>'GHG Parameters'!D123</f>
        <v>0.01</v>
      </c>
      <c r="P21" s="68">
        <f>O21*M21</f>
        <v>0</v>
      </c>
    </row>
    <row r="22" spans="2:16">
      <c r="B22" s="1628" t="s">
        <v>208</v>
      </c>
      <c r="C22" s="1628"/>
      <c r="D22" s="23"/>
      <c r="E22" s="23"/>
      <c r="F22" s="23"/>
      <c r="G22" s="23"/>
      <c r="H22" s="47">
        <f>SUM(H14:H21)</f>
        <v>1.3592335596373759</v>
      </c>
      <c r="J22" s="1628" t="s">
        <v>208</v>
      </c>
      <c r="K22" s="1628"/>
      <c r="L22" s="23"/>
      <c r="M22" s="23"/>
      <c r="N22" s="23"/>
      <c r="O22" s="23"/>
      <c r="P22" s="73">
        <f>SUM(P14:P21)</f>
        <v>0.80056593933957054</v>
      </c>
    </row>
    <row r="25" spans="2:16">
      <c r="B25" t="s">
        <v>613</v>
      </c>
    </row>
    <row r="28" spans="2:16" ht="31.5">
      <c r="B28" s="1609" t="s">
        <v>348</v>
      </c>
      <c r="C28" s="24" t="s">
        <v>346</v>
      </c>
      <c r="D28" s="24" t="s">
        <v>1310</v>
      </c>
      <c r="E28" s="24" t="s">
        <v>354</v>
      </c>
      <c r="F28" s="24" t="s">
        <v>349</v>
      </c>
      <c r="H28"/>
    </row>
    <row r="29" spans="2:16">
      <c r="B29" s="1642"/>
      <c r="C29" s="24" t="s">
        <v>214</v>
      </c>
      <c r="D29" s="24" t="s">
        <v>152</v>
      </c>
      <c r="E29" s="24" t="s">
        <v>347</v>
      </c>
      <c r="F29" s="24" t="s">
        <v>232</v>
      </c>
      <c r="H29"/>
    </row>
    <row r="30" spans="2:16">
      <c r="B30" s="1642"/>
      <c r="C30" s="24"/>
      <c r="D30" s="24"/>
      <c r="E30" s="24"/>
      <c r="F30" s="24" t="s">
        <v>353</v>
      </c>
      <c r="H30"/>
    </row>
    <row r="31" spans="2:16">
      <c r="B31" s="1643"/>
      <c r="C31" s="24" t="s">
        <v>143</v>
      </c>
      <c r="D31" s="24" t="s">
        <v>352</v>
      </c>
      <c r="E31" s="24" t="s">
        <v>351</v>
      </c>
      <c r="F31" s="24" t="s">
        <v>350</v>
      </c>
      <c r="H31"/>
    </row>
    <row r="32" spans="2:16">
      <c r="B32" s="23" t="str">
        <f>INPUTS!D91</f>
        <v>Purchased</v>
      </c>
      <c r="C32" s="88">
        <f>'Land requirements'!F4</f>
        <v>0</v>
      </c>
      <c r="D32" s="100">
        <f>1-(INPUTS!F106+INPUTS!G106)</f>
        <v>1</v>
      </c>
      <c r="E32" s="569">
        <f>VLOOKUP(B32,'Crop parameters'!$A$2:$Z$43,9, FALSE)</f>
        <v>0</v>
      </c>
      <c r="F32" s="570">
        <f>C32*E32*D32</f>
        <v>0</v>
      </c>
      <c r="H32"/>
    </row>
    <row r="33" spans="1:20">
      <c r="B33" s="23" t="str">
        <f>INPUTS!D92</f>
        <v>Natural pasture</v>
      </c>
      <c r="C33" s="88">
        <f>'Land requirements'!F5</f>
        <v>0.1765944930348417</v>
      </c>
      <c r="D33" s="100">
        <f>1-(INPUTS!F107+INPUTS!G107)</f>
        <v>1</v>
      </c>
      <c r="E33" s="569">
        <f>VLOOKUP(B33,'Crop parameters'!$A$2:$Z$43,9, FALSE)</f>
        <v>0</v>
      </c>
      <c r="F33" s="570">
        <f t="shared" ref="F33:F38" si="2">C33*E33*D33</f>
        <v>0</v>
      </c>
      <c r="H33"/>
    </row>
    <row r="34" spans="1:20">
      <c r="B34" s="23" t="str">
        <f>INPUTS!D93</f>
        <v>Maize</v>
      </c>
      <c r="C34" s="88">
        <f>'Land requirements'!F6</f>
        <v>1.9244614121182668</v>
      </c>
      <c r="D34" s="100">
        <f>1-(INPUTS!F108+INPUTS!G108)</f>
        <v>0.4</v>
      </c>
      <c r="E34" s="569">
        <f>VLOOKUP(B34,'Crop parameters'!$A$2:$Z$43,9, FALSE)</f>
        <v>7.6900800000000009</v>
      </c>
      <c r="F34" s="532">
        <f>IFERROR(C34*E34*D34, 0)</f>
        <v>5.9197048864409778</v>
      </c>
      <c r="H34"/>
    </row>
    <row r="35" spans="1:20">
      <c r="B35" s="23" t="str">
        <f>INPUTS!D94</f>
        <v>N/A</v>
      </c>
      <c r="C35" s="88">
        <f>'Land requirements'!F7</f>
        <v>0</v>
      </c>
      <c r="D35" s="100">
        <f>1-(INPUTS!F109+INPUTS!G109)</f>
        <v>1</v>
      </c>
      <c r="E35" s="569">
        <f>VLOOKUP(B35,'Crop parameters'!$A$2:$Z$43,9, FALSE)</f>
        <v>0</v>
      </c>
      <c r="F35" s="532">
        <f t="shared" si="2"/>
        <v>0</v>
      </c>
      <c r="H35"/>
    </row>
    <row r="36" spans="1:20">
      <c r="B36" s="23" t="str">
        <f>INPUTS!D95</f>
        <v>N/A</v>
      </c>
      <c r="C36" s="88">
        <f>'Land requirements'!F8</f>
        <v>0</v>
      </c>
      <c r="D36" s="100">
        <f>1-(INPUTS!F110+INPUTS!G110)</f>
        <v>1</v>
      </c>
      <c r="E36" s="569">
        <f>VLOOKUP(B36,'Crop parameters'!$A$2:$Z$43,9, FALSE)</f>
        <v>0</v>
      </c>
      <c r="F36" s="532">
        <f t="shared" si="2"/>
        <v>0</v>
      </c>
      <c r="H36"/>
    </row>
    <row r="37" spans="1:20">
      <c r="B37" s="23" t="str">
        <f>INPUTS!D96</f>
        <v>N/A</v>
      </c>
      <c r="C37" s="88">
        <f>'Land requirements'!F9</f>
        <v>0</v>
      </c>
      <c r="D37" s="100">
        <f>1-(INPUTS!F111+INPUTS!G111)</f>
        <v>1</v>
      </c>
      <c r="E37" s="569">
        <f>VLOOKUP(B37,'Crop parameters'!$A$2:$Z$43,9, FALSE)</f>
        <v>0</v>
      </c>
      <c r="F37" s="532">
        <f t="shared" si="2"/>
        <v>0</v>
      </c>
      <c r="H37"/>
    </row>
    <row r="38" spans="1:20">
      <c r="B38" s="23" t="str">
        <f>INPUTS!D97</f>
        <v>N/A</v>
      </c>
      <c r="C38" s="88">
        <f>'Land requirements'!F10</f>
        <v>0</v>
      </c>
      <c r="D38" s="100">
        <f>1-(INPUTS!F112+INPUTS!G112)</f>
        <v>1</v>
      </c>
      <c r="E38" s="569">
        <f>VLOOKUP(B38,'Crop parameters'!$A$2:$Z$43,9, FALSE)</f>
        <v>0</v>
      </c>
      <c r="F38" s="532">
        <f t="shared" si="2"/>
        <v>0</v>
      </c>
      <c r="H38"/>
    </row>
    <row r="39" spans="1:20">
      <c r="B39" s="1678" t="s">
        <v>667</v>
      </c>
      <c r="C39" s="1678"/>
      <c r="D39" s="1678"/>
      <c r="E39" s="1678"/>
      <c r="F39" s="531">
        <f>SUM(F32:F38)</f>
        <v>5.9197048864409778</v>
      </c>
    </row>
    <row r="40" spans="1:20">
      <c r="C40"/>
      <c r="F40"/>
      <c r="H40"/>
    </row>
    <row r="41" spans="1:20">
      <c r="B41" s="12" t="s">
        <v>611</v>
      </c>
      <c r="C41" s="12" t="s">
        <v>917</v>
      </c>
      <c r="D41" s="12"/>
      <c r="E41" s="12"/>
      <c r="F41" s="12"/>
      <c r="H41"/>
    </row>
    <row r="42" spans="1:20" s="12" customFormat="1">
      <c r="B42" s="23" t="s">
        <v>253</v>
      </c>
      <c r="C42" s="1002" t="s">
        <v>254</v>
      </c>
      <c r="D42" s="1003"/>
      <c r="E42" s="1003"/>
      <c r="F42" s="1003"/>
      <c r="L42"/>
      <c r="M42"/>
      <c r="N42"/>
      <c r="O42"/>
      <c r="P42"/>
      <c r="Q42"/>
      <c r="R42"/>
      <c r="S42"/>
      <c r="T42"/>
    </row>
    <row r="43" spans="1:20" s="12" customFormat="1" ht="94.5">
      <c r="B43" s="24" t="s">
        <v>215</v>
      </c>
      <c r="C43" s="24" t="s">
        <v>237</v>
      </c>
      <c r="D43" s="24" t="s">
        <v>238</v>
      </c>
      <c r="E43" s="24" t="s">
        <v>239</v>
      </c>
      <c r="F43" s="24" t="s">
        <v>240</v>
      </c>
      <c r="G43" s="1003"/>
      <c r="H43" s="1003"/>
      <c r="I43" s="1004"/>
      <c r="J43" s="23"/>
    </row>
    <row r="44" spans="1:20" ht="110.25">
      <c r="A44" s="12"/>
      <c r="B44" s="24"/>
      <c r="C44" s="24" t="s">
        <v>213</v>
      </c>
      <c r="D44" s="24" t="s">
        <v>244</v>
      </c>
      <c r="E44" s="24" t="s">
        <v>213</v>
      </c>
      <c r="F44" s="24" t="s">
        <v>213</v>
      </c>
      <c r="G44" s="24" t="s">
        <v>241</v>
      </c>
      <c r="H44" s="24" t="s">
        <v>483</v>
      </c>
      <c r="I44" s="24" t="s">
        <v>484</v>
      </c>
      <c r="J44" s="24" t="s">
        <v>484</v>
      </c>
      <c r="K44" s="12"/>
      <c r="L44" s="12"/>
      <c r="M44" s="12"/>
    </row>
    <row r="45" spans="1:20" ht="31.5">
      <c r="A45" s="12"/>
      <c r="B45" s="27"/>
      <c r="C45" s="27"/>
      <c r="D45" s="27" t="s">
        <v>246</v>
      </c>
      <c r="E45" s="27"/>
      <c r="F45" s="27"/>
      <c r="G45" s="24" t="s">
        <v>243</v>
      </c>
      <c r="H45" s="24" t="s">
        <v>242</v>
      </c>
      <c r="I45" s="24" t="s">
        <v>245</v>
      </c>
      <c r="J45" s="24" t="s">
        <v>256</v>
      </c>
      <c r="K45" s="12"/>
      <c r="L45" s="12"/>
      <c r="M45" s="12"/>
    </row>
    <row r="46" spans="1:20" ht="63">
      <c r="A46" s="12"/>
      <c r="B46" s="27"/>
      <c r="C46" s="27" t="s">
        <v>247</v>
      </c>
      <c r="D46" s="27" t="s">
        <v>248</v>
      </c>
      <c r="E46" s="27" t="s">
        <v>249</v>
      </c>
      <c r="F46" s="27" t="s">
        <v>212</v>
      </c>
      <c r="G46" s="27" t="s">
        <v>246</v>
      </c>
      <c r="H46" s="27" t="s">
        <v>246</v>
      </c>
      <c r="I46" s="24" t="s">
        <v>255</v>
      </c>
      <c r="J46" s="23"/>
      <c r="K46" s="12"/>
      <c r="L46" s="12"/>
      <c r="M46" s="12"/>
    </row>
    <row r="47" spans="1:20">
      <c r="A47" s="12"/>
      <c r="B47" s="68"/>
      <c r="C47" s="68">
        <f>'GHG Soil'!E14+E17</f>
        <v>31.515838577296631</v>
      </c>
      <c r="D47" s="68">
        <f>'GHG Parameters'!D128</f>
        <v>0.1</v>
      </c>
      <c r="E47" s="68">
        <f>SUM(E15:E19)</f>
        <v>104.40751738644097</v>
      </c>
      <c r="F47" s="68">
        <f>E20+E21</f>
        <v>0</v>
      </c>
      <c r="G47" s="27" t="s">
        <v>250</v>
      </c>
      <c r="H47" s="27" t="s">
        <v>124</v>
      </c>
      <c r="I47" s="27" t="s">
        <v>251</v>
      </c>
      <c r="J47" s="23"/>
      <c r="K47" s="12"/>
      <c r="L47" s="12"/>
      <c r="M47" s="12"/>
    </row>
    <row r="48" spans="1:20">
      <c r="A48" s="12"/>
      <c r="B48" s="1005" t="s">
        <v>252</v>
      </c>
      <c r="C48" s="1006"/>
      <c r="D48" s="1006"/>
      <c r="E48" s="1006"/>
      <c r="F48" s="1006"/>
      <c r="G48" s="68">
        <f>'GHG Parameters'!D129</f>
        <v>0.2</v>
      </c>
      <c r="H48" s="68">
        <f>'GHG Parameters'!D124</f>
        <v>0.01</v>
      </c>
      <c r="I48" s="68">
        <f>((C47*D47)+((E47+F47)*G48))*H48</f>
        <v>0.24033087335017858</v>
      </c>
      <c r="J48" s="71"/>
      <c r="K48" s="12"/>
      <c r="L48" s="12"/>
      <c r="M48" s="12"/>
    </row>
    <row r="49" spans="1:13">
      <c r="A49" s="12"/>
      <c r="G49" s="1006"/>
      <c r="H49" s="1006"/>
      <c r="I49" s="1007"/>
      <c r="J49" s="69">
        <f>I48*(44/28)</f>
        <v>0.37766280097885208</v>
      </c>
      <c r="K49" s="12"/>
      <c r="L49" s="12"/>
      <c r="M49" s="12"/>
    </row>
    <row r="51" spans="1:13">
      <c r="B51" s="12" t="s">
        <v>611</v>
      </c>
      <c r="C51" s="12" t="s">
        <v>918</v>
      </c>
      <c r="D51" s="12"/>
      <c r="E51" s="12"/>
      <c r="F51" s="12"/>
    </row>
    <row r="52" spans="1:13">
      <c r="B52" s="23" t="s">
        <v>253</v>
      </c>
      <c r="C52" s="1002" t="s">
        <v>254</v>
      </c>
      <c r="D52" s="1003"/>
      <c r="E52" s="1003"/>
      <c r="F52" s="1003"/>
      <c r="G52" s="12"/>
      <c r="I52" s="12"/>
      <c r="J52" s="12"/>
    </row>
    <row r="53" spans="1:13" ht="94.5">
      <c r="B53" s="24" t="s">
        <v>215</v>
      </c>
      <c r="C53" s="24" t="s">
        <v>237</v>
      </c>
      <c r="D53" s="24" t="s">
        <v>238</v>
      </c>
      <c r="E53" s="24" t="s">
        <v>239</v>
      </c>
      <c r="F53" s="24" t="s">
        <v>240</v>
      </c>
      <c r="G53" s="1003"/>
      <c r="H53" s="1003"/>
      <c r="I53" s="1004"/>
      <c r="J53" s="23"/>
    </row>
    <row r="54" spans="1:13" ht="110.25">
      <c r="B54" s="24"/>
      <c r="C54" s="24" t="s">
        <v>213</v>
      </c>
      <c r="D54" s="24" t="s">
        <v>244</v>
      </c>
      <c r="E54" s="24" t="s">
        <v>213</v>
      </c>
      <c r="F54" s="24" t="s">
        <v>213</v>
      </c>
      <c r="G54" s="24" t="s">
        <v>241</v>
      </c>
      <c r="H54" s="24" t="s">
        <v>483</v>
      </c>
      <c r="I54" s="24" t="s">
        <v>484</v>
      </c>
      <c r="J54" s="24" t="s">
        <v>484</v>
      </c>
    </row>
    <row r="55" spans="1:13" ht="31.5">
      <c r="B55" s="27"/>
      <c r="C55" s="27"/>
      <c r="D55" s="27" t="s">
        <v>246</v>
      </c>
      <c r="E55" s="27"/>
      <c r="F55" s="27"/>
      <c r="G55" s="24" t="s">
        <v>243</v>
      </c>
      <c r="H55" s="24" t="s">
        <v>242</v>
      </c>
      <c r="I55" s="24" t="s">
        <v>245</v>
      </c>
      <c r="J55" s="24" t="s">
        <v>256</v>
      </c>
    </row>
    <row r="56" spans="1:13" ht="63">
      <c r="B56" s="27"/>
      <c r="C56" s="27" t="s">
        <v>247</v>
      </c>
      <c r="D56" s="27" t="s">
        <v>248</v>
      </c>
      <c r="E56" s="27" t="s">
        <v>249</v>
      </c>
      <c r="F56" s="27" t="s">
        <v>212</v>
      </c>
      <c r="G56" s="27" t="s">
        <v>246</v>
      </c>
      <c r="H56" s="27" t="s">
        <v>246</v>
      </c>
      <c r="I56" s="24" t="s">
        <v>255</v>
      </c>
      <c r="J56" s="23"/>
    </row>
    <row r="57" spans="1:13">
      <c r="B57" s="68"/>
      <c r="C57" s="68">
        <f>'GHG Soil'!M14+M17</f>
        <v>31.515838577296631</v>
      </c>
      <c r="D57" s="68">
        <f>'GHG Parameters'!D128</f>
        <v>0.1</v>
      </c>
      <c r="E57" s="68">
        <f>SUM(M15:M19)</f>
        <v>48.540755356660419</v>
      </c>
      <c r="F57" s="68">
        <f>M20+M21</f>
        <v>0</v>
      </c>
      <c r="G57" s="27" t="s">
        <v>250</v>
      </c>
      <c r="H57" s="27" t="s">
        <v>124</v>
      </c>
      <c r="I57" s="27" t="s">
        <v>251</v>
      </c>
      <c r="J57" s="23"/>
    </row>
    <row r="58" spans="1:13">
      <c r="B58" s="1005" t="s">
        <v>252</v>
      </c>
      <c r="C58" s="1006"/>
      <c r="D58" s="1006"/>
      <c r="E58" s="1006"/>
      <c r="F58" s="1006"/>
      <c r="G58" s="68">
        <f>'GHG Parameters'!D129</f>
        <v>0.2</v>
      </c>
      <c r="H58" s="68">
        <f>'GHG Parameters'!D124</f>
        <v>0.01</v>
      </c>
      <c r="I58" s="68">
        <f>((C57*D57)+((E57+F57)*G58))*H58</f>
        <v>0.12859734929061747</v>
      </c>
      <c r="J58" s="71"/>
    </row>
    <row r="59" spans="1:13">
      <c r="G59" s="1006"/>
      <c r="H59" s="1006"/>
      <c r="I59" s="1007"/>
      <c r="J59" s="69">
        <f>I58*(44/28)</f>
        <v>0.20208154888525603</v>
      </c>
    </row>
    <row r="63" spans="1:13">
      <c r="B63" t="s">
        <v>941</v>
      </c>
    </row>
    <row r="64" spans="1:13">
      <c r="B64" t="s">
        <v>917</v>
      </c>
      <c r="C64" s="12" t="s">
        <v>918</v>
      </c>
    </row>
    <row r="65" spans="2:11" ht="31.5">
      <c r="B65" s="46" t="s">
        <v>945</v>
      </c>
      <c r="C65" s="46" t="s">
        <v>945</v>
      </c>
    </row>
    <row r="66" spans="2:11">
      <c r="B66" s="46" t="s">
        <v>236</v>
      </c>
      <c r="C66" s="46" t="s">
        <v>236</v>
      </c>
    </row>
    <row r="67" spans="2:11" ht="31.5">
      <c r="B67" s="46" t="s">
        <v>660</v>
      </c>
      <c r="C67" s="46" t="s">
        <v>660</v>
      </c>
    </row>
    <row r="68" spans="2:11">
      <c r="B68" s="73">
        <f>H74+H75</f>
        <v>0</v>
      </c>
      <c r="C68" s="73">
        <f>H77+H78</f>
        <v>0</v>
      </c>
    </row>
    <row r="69" spans="2:11" ht="31.5">
      <c r="B69" s="1675"/>
      <c r="C69" s="1676"/>
      <c r="D69" s="1549" t="s">
        <v>235</v>
      </c>
      <c r="E69" s="1549"/>
      <c r="F69" s="24" t="s">
        <v>234</v>
      </c>
    </row>
    <row r="70" spans="2:11" ht="110.25">
      <c r="B70" s="1633"/>
      <c r="C70" s="1677"/>
      <c r="D70" s="1549" t="s">
        <v>232</v>
      </c>
      <c r="E70" s="1549"/>
      <c r="F70" s="27" t="s">
        <v>231</v>
      </c>
      <c r="G70" s="24"/>
      <c r="H70" s="24" t="s">
        <v>945</v>
      </c>
      <c r="I70" s="24" t="s">
        <v>241</v>
      </c>
      <c r="J70" s="24" t="s">
        <v>483</v>
      </c>
      <c r="K70" s="24" t="s">
        <v>484</v>
      </c>
    </row>
    <row r="71" spans="2:11" ht="31.5">
      <c r="B71" s="1633"/>
      <c r="C71" s="1677"/>
      <c r="D71" s="1549"/>
      <c r="E71" s="1549"/>
      <c r="F71" s="27" t="s">
        <v>229</v>
      </c>
      <c r="G71" s="27"/>
      <c r="H71" s="24" t="s">
        <v>230</v>
      </c>
      <c r="I71" s="24" t="s">
        <v>243</v>
      </c>
      <c r="J71" s="24" t="s">
        <v>242</v>
      </c>
      <c r="K71" s="24" t="s">
        <v>256</v>
      </c>
    </row>
    <row r="72" spans="2:11">
      <c r="B72" t="s">
        <v>943</v>
      </c>
      <c r="D72" s="1549" t="s">
        <v>227</v>
      </c>
      <c r="E72" s="1549"/>
      <c r="F72" s="27" t="s">
        <v>0</v>
      </c>
      <c r="G72" s="27"/>
      <c r="H72" s="24" t="s">
        <v>228</v>
      </c>
      <c r="I72" s="27" t="s">
        <v>246</v>
      </c>
      <c r="J72" s="209" t="s">
        <v>246</v>
      </c>
      <c r="K72" s="1671"/>
    </row>
    <row r="73" spans="2:11" ht="31.5">
      <c r="B73" s="1615" t="s">
        <v>942</v>
      </c>
      <c r="C73" s="91" t="s">
        <v>210</v>
      </c>
      <c r="D73" s="90" t="s">
        <v>607</v>
      </c>
      <c r="E73" s="88">
        <f>'GHG Manure'!C201</f>
        <v>0</v>
      </c>
      <c r="F73" s="93" t="s">
        <v>211</v>
      </c>
      <c r="G73" s="27"/>
      <c r="H73" s="24" t="s">
        <v>226</v>
      </c>
      <c r="I73" s="27" t="s">
        <v>250</v>
      </c>
      <c r="J73" s="209" t="s">
        <v>124</v>
      </c>
      <c r="K73" s="1672"/>
    </row>
    <row r="74" spans="2:11" ht="31.5">
      <c r="B74" s="1627"/>
      <c r="C74" s="27" t="s">
        <v>209</v>
      </c>
      <c r="D74" s="26" t="s">
        <v>608</v>
      </c>
      <c r="E74" s="68">
        <f>'GHG Manure'!C202</f>
        <v>0</v>
      </c>
      <c r="F74" s="23" t="s">
        <v>211</v>
      </c>
      <c r="G74" s="91">
        <f>'GHG Parameters'!D122</f>
        <v>0.02</v>
      </c>
      <c r="H74" s="210">
        <f>G74*E73</f>
        <v>0</v>
      </c>
      <c r="I74" s="68">
        <f>'GHG Parameters'!D129</f>
        <v>0.2</v>
      </c>
      <c r="J74" s="212">
        <f>'GHG Parameters'!D124</f>
        <v>0.01</v>
      </c>
      <c r="K74" s="284">
        <f>H74*I74*J74 *(44/28)</f>
        <v>0</v>
      </c>
    </row>
    <row r="75" spans="2:11">
      <c r="G75" s="27">
        <f>'GHG Parameters'!D123</f>
        <v>0.01</v>
      </c>
      <c r="H75" s="69">
        <f>G75*E74</f>
        <v>0</v>
      </c>
      <c r="I75" s="68">
        <f>'GHG Parameters'!D129</f>
        <v>0.2</v>
      </c>
      <c r="J75" s="212">
        <f>'GHG Parameters'!D124</f>
        <v>0.01</v>
      </c>
      <c r="K75" s="284">
        <f>H75*I75*J75 *(44/28)</f>
        <v>0</v>
      </c>
    </row>
    <row r="76" spans="2:11">
      <c r="B76" t="s">
        <v>944</v>
      </c>
      <c r="H76" s="211"/>
      <c r="K76" s="285"/>
    </row>
    <row r="77" spans="2:11" ht="31.5">
      <c r="B77" s="1615" t="s">
        <v>942</v>
      </c>
      <c r="C77" s="91" t="s">
        <v>210</v>
      </c>
      <c r="D77" s="90" t="s">
        <v>607</v>
      </c>
      <c r="E77" s="88">
        <f>'GHG Manure'!E201</f>
        <v>0</v>
      </c>
      <c r="F77" s="93" t="s">
        <v>211</v>
      </c>
      <c r="G77" s="91">
        <f>'GHG Parameters'!D122</f>
        <v>0.02</v>
      </c>
      <c r="H77" s="210">
        <f>G77*E77</f>
        <v>0</v>
      </c>
      <c r="I77" s="68">
        <f>'GHG Parameters'!D129</f>
        <v>0.2</v>
      </c>
      <c r="J77" s="212">
        <f>'GHG Parameters'!D124</f>
        <v>0.01</v>
      </c>
      <c r="K77" s="284">
        <f>H77*I77*J77 *(44/28)</f>
        <v>0</v>
      </c>
    </row>
    <row r="78" spans="2:11" ht="31.5">
      <c r="B78" s="1627"/>
      <c r="C78" s="27" t="s">
        <v>209</v>
      </c>
      <c r="D78" s="26" t="s">
        <v>608</v>
      </c>
      <c r="E78" s="68">
        <f>'GHG Manure'!E202</f>
        <v>0</v>
      </c>
      <c r="F78" s="23" t="s">
        <v>211</v>
      </c>
      <c r="G78" s="27">
        <f>'GHG Parameters'!D123</f>
        <v>0.01</v>
      </c>
      <c r="H78" s="69">
        <f>G78*E78</f>
        <v>0</v>
      </c>
      <c r="I78" s="68">
        <f>'GHG Parameters'!D129</f>
        <v>0.2</v>
      </c>
      <c r="J78" s="212">
        <f>'GHG Parameters'!D124</f>
        <v>0.01</v>
      </c>
      <c r="K78" s="284">
        <f>H78*I78*J78 *(44/28)</f>
        <v>0</v>
      </c>
    </row>
  </sheetData>
  <mergeCells count="46">
    <mergeCell ref="B77:B78"/>
    <mergeCell ref="D72:E72"/>
    <mergeCell ref="B69:C71"/>
    <mergeCell ref="B28:B31"/>
    <mergeCell ref="B22:C22"/>
    <mergeCell ref="B39:E39"/>
    <mergeCell ref="D71:E71"/>
    <mergeCell ref="B73:B74"/>
    <mergeCell ref="K72:K73"/>
    <mergeCell ref="D69:E69"/>
    <mergeCell ref="D70:E70"/>
    <mergeCell ref="C8:H8"/>
    <mergeCell ref="J22:K22"/>
    <mergeCell ref="J20:J21"/>
    <mergeCell ref="J9:K9"/>
    <mergeCell ref="B9:C9"/>
    <mergeCell ref="D10:E10"/>
    <mergeCell ref="D11:E11"/>
    <mergeCell ref="D12:E12"/>
    <mergeCell ref="D13:E13"/>
    <mergeCell ref="D9:H9"/>
    <mergeCell ref="F10:G10"/>
    <mergeCell ref="B10:C13"/>
    <mergeCell ref="F12:G12"/>
    <mergeCell ref="L8:P8"/>
    <mergeCell ref="J14:J16"/>
    <mergeCell ref="N14:N16"/>
    <mergeCell ref="J17:J19"/>
    <mergeCell ref="N17:N19"/>
    <mergeCell ref="N12:O12"/>
    <mergeCell ref="L13:M13"/>
    <mergeCell ref="N13:O13"/>
    <mergeCell ref="L9:P9"/>
    <mergeCell ref="J10:K13"/>
    <mergeCell ref="L10:M10"/>
    <mergeCell ref="N10:O10"/>
    <mergeCell ref="L11:M11"/>
    <mergeCell ref="N11:O11"/>
    <mergeCell ref="L12:M12"/>
    <mergeCell ref="B20:B21"/>
    <mergeCell ref="F11:G11"/>
    <mergeCell ref="F13:G13"/>
    <mergeCell ref="B14:B16"/>
    <mergeCell ref="B17:B19"/>
    <mergeCell ref="F14:F16"/>
    <mergeCell ref="F17:F19"/>
  </mergeCells>
  <pageMargins left="0.75" right="0.75" top="1" bottom="1" header="0.5" footer="0.5"/>
  <pageSetup paperSize="9" orientation="portrait" horizontalDpi="4294967292" verticalDpi="429496729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00B050"/>
  </sheetPr>
  <dimension ref="A1:O26"/>
  <sheetViews>
    <sheetView workbookViewId="0">
      <selection activeCell="D37" sqref="D37"/>
    </sheetView>
  </sheetViews>
  <sheetFormatPr defaultColWidth="8.875" defaultRowHeight="15.75"/>
  <cols>
    <col min="1" max="1" width="13" bestFit="1" customWidth="1"/>
    <col min="2" max="2" width="19.875" customWidth="1"/>
    <col min="3" max="3" width="32.125" bestFit="1" customWidth="1"/>
    <col min="4" max="4" width="16.375" bestFit="1" customWidth="1"/>
    <col min="5" max="8" width="16.375" customWidth="1"/>
    <col min="9" max="9" width="15.625" bestFit="1" customWidth="1"/>
    <col min="10" max="10" width="30.625" bestFit="1" customWidth="1"/>
  </cols>
  <sheetData>
    <row r="1" spans="1:15">
      <c r="A1" t="s">
        <v>616</v>
      </c>
    </row>
    <row r="2" spans="1:15">
      <c r="A2" t="s">
        <v>647</v>
      </c>
      <c r="C2" t="s">
        <v>650</v>
      </c>
    </row>
    <row r="5" spans="1:15">
      <c r="J5" t="s">
        <v>679</v>
      </c>
    </row>
    <row r="6" spans="1:15">
      <c r="C6" s="24" t="s">
        <v>668</v>
      </c>
      <c r="D6" s="24" t="s">
        <v>670</v>
      </c>
      <c r="E6" s="1550" t="s">
        <v>673</v>
      </c>
      <c r="F6" s="1550"/>
      <c r="G6" s="1550"/>
      <c r="H6" s="1550"/>
      <c r="I6" s="1550"/>
      <c r="J6" s="1550" t="s">
        <v>676</v>
      </c>
      <c r="K6" s="1550"/>
      <c r="L6" s="1550"/>
      <c r="M6" s="1550"/>
      <c r="N6" s="1550"/>
      <c r="O6" s="27"/>
    </row>
    <row r="7" spans="1:15">
      <c r="C7" s="24" t="s">
        <v>893</v>
      </c>
      <c r="D7" s="24" t="s">
        <v>671</v>
      </c>
      <c r="E7" s="1550" t="s">
        <v>674</v>
      </c>
      <c r="F7" s="1550"/>
      <c r="G7" s="1550"/>
      <c r="H7" s="1550"/>
      <c r="I7" s="1550"/>
      <c r="J7" s="1550" t="s">
        <v>677</v>
      </c>
      <c r="K7" s="1550"/>
      <c r="L7" s="1550"/>
      <c r="M7" s="1550"/>
      <c r="N7" s="1550"/>
      <c r="O7" s="27" t="s">
        <v>687</v>
      </c>
    </row>
    <row r="8" spans="1:15">
      <c r="C8" s="24"/>
      <c r="D8" s="24" t="s">
        <v>648</v>
      </c>
      <c r="E8" s="1550" t="s">
        <v>649</v>
      </c>
      <c r="F8" s="1550"/>
      <c r="G8" s="1550"/>
      <c r="H8" s="1550"/>
      <c r="I8" s="1550"/>
      <c r="J8" s="1550" t="s">
        <v>681</v>
      </c>
      <c r="K8" s="1550"/>
      <c r="L8" s="1550"/>
      <c r="M8" s="1550"/>
      <c r="N8" s="1550"/>
      <c r="O8" s="27"/>
    </row>
    <row r="9" spans="1:15">
      <c r="C9" s="24" t="s">
        <v>669</v>
      </c>
      <c r="D9" s="24" t="s">
        <v>672</v>
      </c>
      <c r="E9" s="1550" t="s">
        <v>675</v>
      </c>
      <c r="F9" s="1550"/>
      <c r="G9" s="1550"/>
      <c r="H9" s="1550"/>
      <c r="I9" s="1550"/>
      <c r="J9" s="1550" t="s">
        <v>678</v>
      </c>
      <c r="K9" s="1550"/>
      <c r="L9" s="1550"/>
      <c r="M9" s="1550"/>
      <c r="N9" s="1550"/>
      <c r="O9" s="27"/>
    </row>
    <row r="10" spans="1:15" s="12" customFormat="1" ht="47.25">
      <c r="A10" s="30" t="s">
        <v>680</v>
      </c>
      <c r="B10"/>
      <c r="C10" s="27" t="s">
        <v>686</v>
      </c>
      <c r="E10" s="24" t="s">
        <v>682</v>
      </c>
      <c r="F10" s="567" t="s">
        <v>683</v>
      </c>
      <c r="G10" s="24" t="s">
        <v>684</v>
      </c>
      <c r="H10" s="24" t="s">
        <v>87</v>
      </c>
      <c r="I10" s="567" t="s">
        <v>685</v>
      </c>
      <c r="J10" s="24" t="s">
        <v>682</v>
      </c>
      <c r="K10" s="166" t="s">
        <v>683</v>
      </c>
      <c r="L10" s="24" t="s">
        <v>684</v>
      </c>
      <c r="M10" s="24" t="s">
        <v>87</v>
      </c>
      <c r="N10" s="166" t="s">
        <v>685</v>
      </c>
      <c r="O10" s="27" t="s">
        <v>639</v>
      </c>
    </row>
    <row r="11" spans="1:15">
      <c r="C11" s="68">
        <f>E26</f>
        <v>0</v>
      </c>
      <c r="D11" s="68">
        <v>0.8</v>
      </c>
      <c r="E11" s="27">
        <v>1515</v>
      </c>
      <c r="F11" s="568">
        <v>92</v>
      </c>
      <c r="G11" s="27">
        <v>2.7</v>
      </c>
      <c r="H11" s="27">
        <v>7.0000000000000007E-2</v>
      </c>
      <c r="I11" s="568">
        <v>2.5</v>
      </c>
      <c r="J11" s="68">
        <f>C11*D11*E11</f>
        <v>0</v>
      </c>
      <c r="K11" s="169">
        <f>C11*D11*F11</f>
        <v>0</v>
      </c>
      <c r="L11" s="68">
        <f>C11*D11*G11</f>
        <v>0</v>
      </c>
      <c r="M11" s="131">
        <f>C11*D11*H11</f>
        <v>0</v>
      </c>
      <c r="N11" s="169">
        <f>C11*D11*I11</f>
        <v>0</v>
      </c>
      <c r="O11" s="68">
        <f>(J11+(L11*'GHG emissions'!C26)+(M11*'GHG emissions'!C27))/1000</f>
        <v>0</v>
      </c>
    </row>
    <row r="17" spans="2:5">
      <c r="B17" t="s">
        <v>788</v>
      </c>
      <c r="C17" t="s">
        <v>891</v>
      </c>
      <c r="D17" t="s">
        <v>890</v>
      </c>
      <c r="E17" t="s">
        <v>892</v>
      </c>
    </row>
    <row r="18" spans="2:5">
      <c r="B18" t="str">
        <f>INPUTS!D91</f>
        <v>Purchased</v>
      </c>
      <c r="C18" s="39">
        <f>VLOOKUP(B18,crop_parameters,8, FALSE)</f>
        <v>0</v>
      </c>
      <c r="D18" s="39">
        <f>INPUTS!G106</f>
        <v>0</v>
      </c>
      <c r="E18" s="39">
        <f>IF(ISERROR(D18*C18*'Land requirements'!E4),"",(D18*C18*'Land requirements'!E4))</f>
        <v>0</v>
      </c>
    </row>
    <row r="19" spans="2:5">
      <c r="B19" t="str">
        <f>INPUTS!D92</f>
        <v>Natural pasture</v>
      </c>
      <c r="C19" s="39">
        <f>VLOOKUP(B19,crop_parameters,8, FALSE)</f>
        <v>4.9999999999999982</v>
      </c>
      <c r="D19" s="39">
        <f>INPUTS!G107</f>
        <v>0</v>
      </c>
      <c r="E19" s="39">
        <f>IF(ISERROR(D19*C19*'Land requirements'!E5),"",(D19*C19*'Land requirements'!E5))</f>
        <v>0</v>
      </c>
    </row>
    <row r="20" spans="2:5">
      <c r="B20" t="str">
        <f>INPUTS!D93</f>
        <v>Maize</v>
      </c>
      <c r="C20" s="39">
        <f>VLOOKUP(B20,crop_parameters,8, FALSE)</f>
        <v>3.5824421538461535</v>
      </c>
      <c r="D20" s="39">
        <f>INPUTS!G108</f>
        <v>0</v>
      </c>
      <c r="E20" s="39">
        <f>IF(ISERROR(D20*C20*'Land requirements'!E6),"",(D20*C20*'Land requirements'!E6))</f>
        <v>0</v>
      </c>
    </row>
    <row r="21" spans="2:5">
      <c r="B21" t="str">
        <f>INPUTS!D94</f>
        <v>N/A</v>
      </c>
      <c r="C21" s="39">
        <f t="shared" ref="C21:C24" si="0">IFERROR(VLOOKUP(B21,crop_parameters,8, FALSE), "")</f>
        <v>0</v>
      </c>
      <c r="D21" s="39">
        <f>INPUTS!G109</f>
        <v>0</v>
      </c>
      <c r="E21" s="39">
        <f>IF(ISERROR(D21*C21*'Land requirements'!E7),"",(D21*C21*'Land requirements'!E7))</f>
        <v>0</v>
      </c>
    </row>
    <row r="22" spans="2:5">
      <c r="B22" t="str">
        <f>INPUTS!D95</f>
        <v>N/A</v>
      </c>
      <c r="C22" s="39">
        <f t="shared" si="0"/>
        <v>0</v>
      </c>
      <c r="D22" s="39">
        <f>INPUTS!G110</f>
        <v>0</v>
      </c>
      <c r="E22" s="39">
        <f>IF(ISERROR(D22*C22*'Land requirements'!E8),"",(D22*C22*'Land requirements'!E8))</f>
        <v>0</v>
      </c>
    </row>
    <row r="23" spans="2:5">
      <c r="B23" t="str">
        <f>INPUTS!D96</f>
        <v>N/A</v>
      </c>
      <c r="C23" s="39">
        <f t="shared" si="0"/>
        <v>0</v>
      </c>
      <c r="D23" s="39">
        <f>INPUTS!G111</f>
        <v>0</v>
      </c>
      <c r="E23" s="39">
        <f>IF(ISERROR(D23*C23*'Land requirements'!E9),"",(D23*C23*'Land requirements'!E9))</f>
        <v>0</v>
      </c>
    </row>
    <row r="24" spans="2:5">
      <c r="B24" t="str">
        <f>INPUTS!D97</f>
        <v>N/A</v>
      </c>
      <c r="C24" s="39">
        <f t="shared" si="0"/>
        <v>0</v>
      </c>
      <c r="D24" s="39">
        <f>INPUTS!G112</f>
        <v>0</v>
      </c>
      <c r="E24" s="39">
        <f>IF(ISERROR(D24*C24*'Land requirements'!E10),"",(D24*C24*'Land requirements'!E10))</f>
        <v>0</v>
      </c>
    </row>
    <row r="25" spans="2:5">
      <c r="C25" s="39"/>
      <c r="D25" s="39"/>
      <c r="E25" s="39"/>
    </row>
    <row r="26" spans="2:5">
      <c r="C26" s="39"/>
      <c r="D26" s="39" t="s">
        <v>131</v>
      </c>
      <c r="E26" s="39">
        <f>SUM(E18:E24)</f>
        <v>0</v>
      </c>
    </row>
  </sheetData>
  <mergeCells count="8">
    <mergeCell ref="E6:I6"/>
    <mergeCell ref="E7:I7"/>
    <mergeCell ref="E8:I8"/>
    <mergeCell ref="E9:I9"/>
    <mergeCell ref="J9:N9"/>
    <mergeCell ref="J8:N8"/>
    <mergeCell ref="J7:N7"/>
    <mergeCell ref="J6:N6"/>
  </mergeCells>
  <pageMargins left="0.7" right="0.7" top="0.75" bottom="0.75" header="0.3" footer="0.3"/>
  <pageSetup paperSize="9" orientation="portrait" horizontalDpi="4294967292" verticalDpi="429496729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00B050"/>
  </sheetPr>
  <dimension ref="A2:E16"/>
  <sheetViews>
    <sheetView topLeftCell="A7" workbookViewId="0">
      <selection activeCell="E11" sqref="E11"/>
    </sheetView>
  </sheetViews>
  <sheetFormatPr defaultColWidth="8.875" defaultRowHeight="15.75"/>
  <cols>
    <col min="1" max="1" width="20.125" customWidth="1"/>
    <col min="2" max="2" width="19.125" bestFit="1" customWidth="1"/>
    <col min="3" max="3" width="33.625" bestFit="1" customWidth="1"/>
    <col min="4" max="4" width="27.625" bestFit="1" customWidth="1"/>
    <col min="5" max="5" width="35" bestFit="1" customWidth="1"/>
  </cols>
  <sheetData>
    <row r="2" spans="1:5">
      <c r="A2" t="s">
        <v>1021</v>
      </c>
    </row>
    <row r="4" spans="1:5">
      <c r="A4" t="s">
        <v>1022</v>
      </c>
      <c r="B4" t="s">
        <v>1023</v>
      </c>
      <c r="C4" t="s">
        <v>1024</v>
      </c>
      <c r="D4" t="s">
        <v>1025</v>
      </c>
    </row>
    <row r="5" spans="1:5">
      <c r="A5" s="9" t="s">
        <v>1026</v>
      </c>
      <c r="B5">
        <f>INPUTS!D124</f>
        <v>5</v>
      </c>
      <c r="C5">
        <v>0.78500000000000003</v>
      </c>
      <c r="D5" s="39">
        <f>C5*B5</f>
        <v>3.9250000000000003</v>
      </c>
    </row>
    <row r="6" spans="1:5">
      <c r="A6" s="9" t="s">
        <v>1027</v>
      </c>
      <c r="B6">
        <f>INPUTS!D125</f>
        <v>0</v>
      </c>
      <c r="C6">
        <f>E16</f>
        <v>2.3382000000000001</v>
      </c>
      <c r="D6" s="39">
        <f>C6*B6</f>
        <v>0</v>
      </c>
    </row>
    <row r="7" spans="1:5">
      <c r="A7" s="9" t="s">
        <v>1028</v>
      </c>
      <c r="B7">
        <f>INPUTS!D126</f>
        <v>0</v>
      </c>
      <c r="C7">
        <f>E15</f>
        <v>0.504</v>
      </c>
      <c r="D7" s="39">
        <f>C7*B7</f>
        <v>0</v>
      </c>
    </row>
    <row r="8" spans="1:5">
      <c r="A8" s="9" t="s">
        <v>1029</v>
      </c>
      <c r="B8">
        <f>INPUTS!D127</f>
        <v>0</v>
      </c>
      <c r="C8">
        <v>1.21</v>
      </c>
      <c r="D8" s="39">
        <f>C8*B8</f>
        <v>0</v>
      </c>
    </row>
    <row r="9" spans="1:5">
      <c r="A9" s="9" t="s">
        <v>1032</v>
      </c>
      <c r="B9">
        <f>INPUTS!D128</f>
        <v>0</v>
      </c>
      <c r="D9" s="39">
        <f>C9*B9</f>
        <v>0</v>
      </c>
      <c r="E9" s="305" t="s">
        <v>1039</v>
      </c>
    </row>
    <row r="10" spans="1:5">
      <c r="C10" s="305" t="s">
        <v>208</v>
      </c>
      <c r="D10" s="306">
        <f>SUM(D5:D9)</f>
        <v>3.9250000000000003</v>
      </c>
      <c r="E10" s="306">
        <f>D10/'Land requirements'!F11</f>
        <v>1.8681083118128534</v>
      </c>
    </row>
    <row r="11" spans="1:5">
      <c r="E11" s="39"/>
    </row>
    <row r="12" spans="1:5">
      <c r="E12" s="39"/>
    </row>
    <row r="13" spans="1:5">
      <c r="E13" s="39"/>
    </row>
    <row r="14" spans="1:5">
      <c r="B14" t="s">
        <v>1034</v>
      </c>
      <c r="C14" t="s">
        <v>1035</v>
      </c>
      <c r="D14" t="s">
        <v>1036</v>
      </c>
      <c r="E14" s="39" t="s">
        <v>1037</v>
      </c>
    </row>
    <row r="15" spans="1:5">
      <c r="A15" t="s">
        <v>1033</v>
      </c>
      <c r="B15">
        <v>18</v>
      </c>
      <c r="C15">
        <v>2.8</v>
      </c>
      <c r="D15">
        <v>0.18</v>
      </c>
      <c r="E15" s="39">
        <f>D15*C15</f>
        <v>0.504</v>
      </c>
    </row>
    <row r="16" spans="1:5">
      <c r="A16" t="s">
        <v>1027</v>
      </c>
      <c r="B16">
        <v>27</v>
      </c>
      <c r="C16">
        <v>8.66</v>
      </c>
      <c r="D16">
        <v>0.27</v>
      </c>
      <c r="E16" s="39">
        <f>D16*C16</f>
        <v>2.3382000000000001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00B050"/>
  </sheetPr>
  <dimension ref="A1:M68"/>
  <sheetViews>
    <sheetView workbookViewId="0">
      <selection activeCell="C8" sqref="C8"/>
    </sheetView>
  </sheetViews>
  <sheetFormatPr defaultColWidth="11" defaultRowHeight="15.75"/>
  <cols>
    <col min="1" max="1" width="41.125" customWidth="1"/>
    <col min="2" max="2" width="35" customWidth="1"/>
    <col min="3" max="3" width="20.5" customWidth="1"/>
    <col min="4" max="4" width="16.625" customWidth="1"/>
    <col min="5" max="5" width="15" customWidth="1"/>
    <col min="6" max="6" width="13.125" customWidth="1"/>
    <col min="7" max="7" width="15.125" customWidth="1"/>
    <col min="10" max="10" width="23.625" customWidth="1"/>
    <col min="12" max="12" width="24" customWidth="1"/>
    <col min="13" max="13" width="18.125" customWidth="1"/>
  </cols>
  <sheetData>
    <row r="1" spans="1:13">
      <c r="A1" t="s">
        <v>172</v>
      </c>
      <c r="D1" t="s">
        <v>204</v>
      </c>
    </row>
    <row r="2" spans="1:13">
      <c r="D2" t="s">
        <v>205</v>
      </c>
    </row>
    <row r="3" spans="1:13">
      <c r="A3" s="13" t="s">
        <v>171</v>
      </c>
      <c r="B3" s="13" t="s">
        <v>170</v>
      </c>
      <c r="C3" s="1656" t="s">
        <v>167</v>
      </c>
      <c r="D3" s="1656"/>
      <c r="E3" s="1656" t="s">
        <v>168</v>
      </c>
      <c r="F3" s="1656"/>
      <c r="G3" s="1656"/>
      <c r="H3" s="1682" t="s">
        <v>169</v>
      </c>
      <c r="I3" s="1682"/>
      <c r="J3" s="1682"/>
      <c r="K3" s="1682" t="s">
        <v>168</v>
      </c>
      <c r="L3" s="1682"/>
      <c r="M3" s="64" t="s">
        <v>167</v>
      </c>
    </row>
    <row r="4" spans="1:13" s="10" customFormat="1" ht="141.75">
      <c r="A4" s="109" t="s">
        <v>623</v>
      </c>
      <c r="B4" s="109"/>
      <c r="C4" s="18" t="s">
        <v>165</v>
      </c>
      <c r="D4" s="15" t="s">
        <v>164</v>
      </c>
      <c r="E4" s="15" t="s">
        <v>207</v>
      </c>
      <c r="F4" s="15" t="s">
        <v>163</v>
      </c>
      <c r="G4" s="15" t="s">
        <v>206</v>
      </c>
      <c r="H4" s="18" t="s">
        <v>162</v>
      </c>
      <c r="I4" s="15" t="s">
        <v>161</v>
      </c>
      <c r="J4" s="15" t="s">
        <v>160</v>
      </c>
      <c r="K4" s="15" t="s">
        <v>159</v>
      </c>
      <c r="L4" s="15" t="s">
        <v>158</v>
      </c>
      <c r="M4" s="65" t="s">
        <v>157</v>
      </c>
    </row>
    <row r="5" spans="1:13" s="103" customFormat="1" ht="31.5">
      <c r="A5" s="110"/>
      <c r="B5" s="110"/>
      <c r="C5" s="24" t="s">
        <v>156</v>
      </c>
      <c r="D5" s="24" t="s">
        <v>155</v>
      </c>
      <c r="E5" s="24" t="s">
        <v>154</v>
      </c>
      <c r="F5" s="24" t="s">
        <v>152</v>
      </c>
      <c r="G5" s="24" t="s">
        <v>152</v>
      </c>
      <c r="H5" s="101" t="s">
        <v>153</v>
      </c>
      <c r="I5" s="101" t="s">
        <v>152</v>
      </c>
      <c r="J5" s="101" t="s">
        <v>152</v>
      </c>
      <c r="K5" s="101" t="s">
        <v>152</v>
      </c>
      <c r="L5" s="101" t="s">
        <v>151</v>
      </c>
      <c r="M5" s="102" t="s">
        <v>150</v>
      </c>
    </row>
    <row r="6" spans="1:13" s="103" customFormat="1" ht="31.5">
      <c r="A6" s="110"/>
      <c r="B6" s="110"/>
      <c r="C6" s="87"/>
      <c r="D6" s="87"/>
      <c r="E6" s="87" t="s">
        <v>149</v>
      </c>
      <c r="F6" s="87" t="s">
        <v>148</v>
      </c>
      <c r="G6" s="87" t="s">
        <v>147</v>
      </c>
      <c r="H6" s="104"/>
      <c r="I6" s="104" t="s">
        <v>146</v>
      </c>
      <c r="J6" s="104" t="s">
        <v>145</v>
      </c>
      <c r="K6" s="104"/>
      <c r="L6" s="104" t="s">
        <v>202</v>
      </c>
      <c r="M6" s="105" t="s">
        <v>144</v>
      </c>
    </row>
    <row r="7" spans="1:13" s="103" customFormat="1" ht="16.5" thickBot="1">
      <c r="A7" s="111"/>
      <c r="B7" s="111" t="s">
        <v>622</v>
      </c>
      <c r="C7" s="106" t="s">
        <v>143</v>
      </c>
      <c r="D7" s="106" t="s">
        <v>142</v>
      </c>
      <c r="E7" s="106" t="s">
        <v>141</v>
      </c>
      <c r="F7" s="106" t="s">
        <v>140</v>
      </c>
      <c r="G7" s="106" t="s">
        <v>139</v>
      </c>
      <c r="H7" s="106" t="s">
        <v>138</v>
      </c>
      <c r="I7" s="106" t="s">
        <v>137</v>
      </c>
      <c r="J7" s="106" t="s">
        <v>136</v>
      </c>
      <c r="K7" s="107" t="s">
        <v>135</v>
      </c>
      <c r="L7" s="107" t="s">
        <v>134</v>
      </c>
      <c r="M7" s="108" t="s">
        <v>133</v>
      </c>
    </row>
    <row r="8" spans="1:13" ht="17.25" thickTop="1" thickBot="1">
      <c r="A8" s="112" t="s">
        <v>617</v>
      </c>
      <c r="B8" s="4" t="str">
        <f>INPUTS!E133</f>
        <v xml:space="preserve">None </v>
      </c>
      <c r="C8" s="3">
        <f>INPUTS!E131</f>
        <v>0</v>
      </c>
      <c r="D8" s="3">
        <f>INPUTS!E132</f>
        <v>0</v>
      </c>
      <c r="E8" s="83">
        <f>'GHG Parameters'!C$197</f>
        <v>1.3</v>
      </c>
      <c r="F8" s="83">
        <f>VLOOKUP(B8,A$53:B$60,2,FALSE)</f>
        <v>0</v>
      </c>
      <c r="G8" s="83">
        <f>IFERROR(VLOOKUP(INPUTS!E134,'GHG Rice'!A65:B68,2,FALSE), "")</f>
        <v>1</v>
      </c>
      <c r="H8" s="3">
        <f>INPUTS!E136</f>
        <v>0</v>
      </c>
      <c r="I8" s="83">
        <f>IFERROR(VLOOKUP(INPUTS!E135,'GHG Rice'!A$42:B$47, 2, FALSE), 0)</f>
        <v>0.05</v>
      </c>
      <c r="J8" s="132">
        <f>IFERROR((1+H8*I8)^0.59, 0)</f>
        <v>1</v>
      </c>
      <c r="K8" s="3">
        <v>1</v>
      </c>
      <c r="L8" s="132">
        <f>E8*F8*G8*J8*K8</f>
        <v>0</v>
      </c>
      <c r="M8" s="133">
        <f>IF(ISERROR(C8*D8*L8),"",C8*D8*L8)</f>
        <v>0</v>
      </c>
    </row>
    <row r="9" spans="1:13" ht="17.25" thickTop="1" thickBot="1">
      <c r="A9" s="112" t="s">
        <v>618</v>
      </c>
      <c r="B9" s="4" t="str">
        <f>INPUTS!F133</f>
        <v xml:space="preserve">None </v>
      </c>
      <c r="C9" s="3">
        <f>INPUTS!F131</f>
        <v>0</v>
      </c>
      <c r="D9" s="3">
        <f>INPUTS!F132</f>
        <v>0</v>
      </c>
      <c r="E9" s="83">
        <f>'GHG Parameters'!C$197</f>
        <v>1.3</v>
      </c>
      <c r="F9" s="83">
        <f>VLOOKUP(B9,A$53:B$60,2,FALSE)</f>
        <v>0</v>
      </c>
      <c r="G9" s="83">
        <f>IFERROR(VLOOKUP(INPUTS!F134,'GHG Rice'!A65:B68,2,FALSE), 0)</f>
        <v>0</v>
      </c>
      <c r="H9" s="13">
        <f>INPUTS!F136</f>
        <v>0</v>
      </c>
      <c r="I9" s="83">
        <f>IFERROR(VLOOKUP(INPUTS!F135,'GHG Rice'!A$42:B$47, 2, FALSE), 0)</f>
        <v>0</v>
      </c>
      <c r="J9" s="132">
        <f>IFERROR((1+H9*I9)^0.59, 0)</f>
        <v>1</v>
      </c>
      <c r="K9" s="13">
        <v>1</v>
      </c>
      <c r="L9" s="132">
        <f>E9*F9*G9*J9*K9</f>
        <v>0</v>
      </c>
      <c r="M9" s="133">
        <f>IF(ISERROR(C9*D9*L9),"",C9*D9*L9)</f>
        <v>0</v>
      </c>
    </row>
    <row r="10" spans="1:13" ht="17.25" thickTop="1" thickBot="1">
      <c r="A10" s="112" t="s">
        <v>619</v>
      </c>
      <c r="B10" s="4" t="str">
        <f>INPUTS!G133</f>
        <v xml:space="preserve">None </v>
      </c>
      <c r="C10" s="3">
        <f>INPUTS!G131</f>
        <v>0</v>
      </c>
      <c r="D10" s="3">
        <f>INPUTS!G132</f>
        <v>0</v>
      </c>
      <c r="E10" s="83">
        <f>'GHG Parameters'!C$197</f>
        <v>1.3</v>
      </c>
      <c r="F10" s="83">
        <f>VLOOKUP(B10,A$53:B$60,2,FALSE)</f>
        <v>0</v>
      </c>
      <c r="G10" s="83">
        <f>IFERROR(VLOOKUP(INPUTS!G134,'GHG Rice'!A65:B68,2,FALSE), 0)</f>
        <v>0</v>
      </c>
      <c r="H10" s="13">
        <f>INPUTS!G136</f>
        <v>0</v>
      </c>
      <c r="I10" s="83">
        <f>IFERROR(VLOOKUP(INPUTS!G135,'GHG Rice'!A$42:B$47, 2, FALSE), 0)</f>
        <v>0</v>
      </c>
      <c r="J10" s="132">
        <f>IFERROR((1+H10*I10)^0.59, 0)</f>
        <v>1</v>
      </c>
      <c r="K10" s="13">
        <v>1</v>
      </c>
      <c r="L10" s="132">
        <f>E10*F10*G10*J10*K10</f>
        <v>0</v>
      </c>
      <c r="M10" s="133">
        <f>IF(ISERROR(C10*D10*L10),"",C10*D10*L10)</f>
        <v>0</v>
      </c>
    </row>
    <row r="11" spans="1:13" ht="15.75" customHeight="1" thickTop="1" thickBot="1">
      <c r="A11" s="112" t="s">
        <v>620</v>
      </c>
      <c r="B11" s="4" t="str">
        <f>INPUTS!H133</f>
        <v xml:space="preserve">None </v>
      </c>
      <c r="C11" s="3">
        <f>INPUTS!H131</f>
        <v>0</v>
      </c>
      <c r="D11" s="3">
        <f>INPUTS!H132</f>
        <v>0</v>
      </c>
      <c r="E11" s="83">
        <f>'GHG Parameters'!C$197</f>
        <v>1.3</v>
      </c>
      <c r="F11" s="83">
        <f>VLOOKUP(B11,A$53:B$60,2,FALSE)</f>
        <v>0</v>
      </c>
      <c r="G11" s="83">
        <f>IFERROR(VLOOKUP(INPUTS!H134,'GHG Rice'!A65:B68,2,FALSE), 0)</f>
        <v>0</v>
      </c>
      <c r="H11" s="13">
        <f>INPUTS!H136</f>
        <v>0</v>
      </c>
      <c r="I11" s="83">
        <f>IFERROR(VLOOKUP(INPUTS!H135,'GHG Rice'!A$42:B$47, 2, FALSE), 0)</f>
        <v>0</v>
      </c>
      <c r="J11" s="132">
        <f>IFERROR((1+H11*I11)^0.59, 0)</f>
        <v>1</v>
      </c>
      <c r="K11" s="13">
        <v>1</v>
      </c>
      <c r="L11" s="132">
        <f>E11*F11*G11*J11*K11</f>
        <v>0</v>
      </c>
      <c r="M11" s="133">
        <f>IF(ISERROR(C11*D11*L11),"",C11*D11*L11)</f>
        <v>0</v>
      </c>
    </row>
    <row r="12" spans="1:13" ht="16.5" thickTop="1">
      <c r="A12" s="112" t="s">
        <v>621</v>
      </c>
      <c r="B12" s="4" t="str">
        <f>INPUTS!I133</f>
        <v xml:space="preserve">None </v>
      </c>
      <c r="C12" s="3">
        <f>INPUTS!I131</f>
        <v>0</v>
      </c>
      <c r="D12" s="3">
        <f>INPUTS!I132</f>
        <v>0</v>
      </c>
      <c r="E12" s="83">
        <f>'GHG Parameters'!C$197</f>
        <v>1.3</v>
      </c>
      <c r="F12" s="83">
        <f>VLOOKUP(B12,A$53:B$60,2,FALSE)</f>
        <v>0</v>
      </c>
      <c r="G12" s="83">
        <f>IFERROR(VLOOKUP(INPUTS!I134,'GHG Rice'!A65:B68,2,FALSE), 0)</f>
        <v>0</v>
      </c>
      <c r="H12" s="13">
        <f>INPUTS!I136</f>
        <v>0</v>
      </c>
      <c r="I12" s="83">
        <f>IFERROR(VLOOKUP(INPUTS!I135,'GHG Rice'!A$42:B$47, 2, FALSE), 0)</f>
        <v>0</v>
      </c>
      <c r="J12" s="132">
        <f>IFERROR((1+H12*I12)^0.59, 0)</f>
        <v>1</v>
      </c>
      <c r="K12" s="13">
        <v>1</v>
      </c>
      <c r="L12" s="132">
        <f>E12*F12*G12*J12*K12</f>
        <v>0</v>
      </c>
      <c r="M12" s="133">
        <f>IF(ISERROR(C12*D12*L12),"",C12*D12*L12)</f>
        <v>0</v>
      </c>
    </row>
    <row r="13" spans="1:13">
      <c r="A13" s="1679" t="s">
        <v>131</v>
      </c>
      <c r="B13" s="1680"/>
      <c r="C13" s="1680"/>
      <c r="D13" s="1680"/>
      <c r="E13" s="1680"/>
      <c r="F13" s="1680"/>
      <c r="G13" s="1680"/>
      <c r="H13" s="1680"/>
      <c r="I13" s="1680"/>
      <c r="J13" s="1680"/>
      <c r="K13" s="1680"/>
      <c r="L13" s="1681"/>
      <c r="M13" s="134">
        <f>SUM(M8:M12)</f>
        <v>0</v>
      </c>
    </row>
    <row r="17" spans="1:4" ht="57" customHeight="1">
      <c r="A17" t="s">
        <v>148</v>
      </c>
      <c r="B17" t="s">
        <v>184</v>
      </c>
    </row>
    <row r="18" spans="1:4">
      <c r="C18" s="13" t="s">
        <v>182</v>
      </c>
      <c r="D18" s="13" t="s">
        <v>183</v>
      </c>
    </row>
    <row r="19" spans="1:4">
      <c r="C19" s="13" t="s">
        <v>181</v>
      </c>
      <c r="D19" s="13" t="s">
        <v>181</v>
      </c>
    </row>
    <row r="20" spans="1:4">
      <c r="A20" s="1549" t="s">
        <v>173</v>
      </c>
      <c r="B20" s="16" t="s">
        <v>688</v>
      </c>
      <c r="C20" s="122">
        <v>0.78</v>
      </c>
      <c r="D20" s="13">
        <v>1</v>
      </c>
    </row>
    <row r="21" spans="1:4">
      <c r="A21" s="1549"/>
      <c r="B21" s="16" t="s">
        <v>176</v>
      </c>
      <c r="C21" s="123"/>
      <c r="D21" s="13">
        <v>0.6</v>
      </c>
    </row>
    <row r="22" spans="1:4">
      <c r="A22" s="1549"/>
      <c r="B22" s="16" t="s">
        <v>177</v>
      </c>
      <c r="C22" s="3"/>
      <c r="D22" s="13">
        <v>0.52</v>
      </c>
    </row>
    <row r="23" spans="1:4">
      <c r="A23" s="1550" t="s">
        <v>174</v>
      </c>
      <c r="B23" s="16" t="s">
        <v>689</v>
      </c>
      <c r="C23" s="122">
        <v>0.27</v>
      </c>
      <c r="D23" s="13">
        <v>0.28000000000000003</v>
      </c>
    </row>
    <row r="24" spans="1:4">
      <c r="A24" s="1550"/>
      <c r="B24" s="16" t="s">
        <v>690</v>
      </c>
      <c r="C24" s="123"/>
      <c r="D24" s="13">
        <v>0.25</v>
      </c>
    </row>
    <row r="25" spans="1:4">
      <c r="A25" s="1550"/>
      <c r="B25" s="16" t="s">
        <v>691</v>
      </c>
      <c r="C25" s="3"/>
      <c r="D25" s="13">
        <v>0.31</v>
      </c>
    </row>
    <row r="26" spans="1:4">
      <c r="A26" s="16" t="s">
        <v>132</v>
      </c>
      <c r="B26" s="16" t="s">
        <v>132</v>
      </c>
      <c r="C26" s="13">
        <v>0</v>
      </c>
      <c r="D26" s="13">
        <v>0</v>
      </c>
    </row>
    <row r="29" spans="1:4">
      <c r="A29" t="s">
        <v>191</v>
      </c>
    </row>
    <row r="30" spans="1:4">
      <c r="A30" t="s">
        <v>192</v>
      </c>
      <c r="C30" s="13" t="s">
        <v>182</v>
      </c>
      <c r="D30" s="13" t="s">
        <v>183</v>
      </c>
    </row>
    <row r="31" spans="1:4">
      <c r="B31" s="17" t="s">
        <v>186</v>
      </c>
      <c r="C31" s="13" t="s">
        <v>185</v>
      </c>
      <c r="D31" s="13" t="s">
        <v>185</v>
      </c>
    </row>
    <row r="32" spans="1:4" ht="31.5">
      <c r="B32" s="17" t="s">
        <v>189</v>
      </c>
      <c r="C32" s="13">
        <v>1.22</v>
      </c>
      <c r="D32" s="13">
        <v>1</v>
      </c>
    </row>
    <row r="33" spans="1:4" ht="47.25">
      <c r="B33" s="17" t="s">
        <v>190</v>
      </c>
      <c r="C33" s="13"/>
      <c r="D33" s="13">
        <v>0.68</v>
      </c>
    </row>
    <row r="34" spans="1:4">
      <c r="B34" s="135" t="s">
        <v>693</v>
      </c>
      <c r="C34" s="3"/>
      <c r="D34" s="3">
        <v>1.9</v>
      </c>
    </row>
    <row r="35" spans="1:4">
      <c r="B35" s="17" t="s">
        <v>692</v>
      </c>
      <c r="C35" s="13"/>
      <c r="D35" s="13">
        <v>0</v>
      </c>
    </row>
    <row r="36" spans="1:4">
      <c r="B36" t="s">
        <v>188</v>
      </c>
    </row>
    <row r="38" spans="1:4">
      <c r="A38" s="126" t="s">
        <v>193</v>
      </c>
      <c r="B38" s="126"/>
    </row>
    <row r="39" spans="1:4">
      <c r="A39" s="126" t="s">
        <v>194</v>
      </c>
      <c r="B39" s="126"/>
    </row>
    <row r="40" spans="1:4">
      <c r="A40" s="126"/>
      <c r="B40" s="126"/>
    </row>
    <row r="41" spans="1:4">
      <c r="A41" s="130" t="s">
        <v>201</v>
      </c>
      <c r="B41" s="136" t="s">
        <v>195</v>
      </c>
    </row>
    <row r="42" spans="1:4" ht="31.5">
      <c r="A42" s="129" t="s">
        <v>196</v>
      </c>
      <c r="B42" s="130">
        <v>1</v>
      </c>
    </row>
    <row r="43" spans="1:4" ht="31.5">
      <c r="A43" s="129" t="s">
        <v>197</v>
      </c>
      <c r="B43" s="130">
        <v>0.28999999999999998</v>
      </c>
    </row>
    <row r="44" spans="1:4">
      <c r="A44" s="129" t="s">
        <v>198</v>
      </c>
      <c r="B44" s="130">
        <v>0.05</v>
      </c>
    </row>
    <row r="45" spans="1:4">
      <c r="A45" s="129" t="s">
        <v>199</v>
      </c>
      <c r="B45" s="130">
        <v>0.14000000000000001</v>
      </c>
    </row>
    <row r="46" spans="1:4">
      <c r="A46" s="130" t="s">
        <v>200</v>
      </c>
      <c r="B46" s="130">
        <v>0.5</v>
      </c>
    </row>
    <row r="47" spans="1:4">
      <c r="A47" s="129" t="s">
        <v>203</v>
      </c>
      <c r="B47" s="130">
        <v>0</v>
      </c>
    </row>
    <row r="51" spans="1:2">
      <c r="A51" s="126" t="s">
        <v>695</v>
      </c>
      <c r="B51" s="126"/>
    </row>
    <row r="52" spans="1:2">
      <c r="A52" s="126" t="s">
        <v>696</v>
      </c>
      <c r="B52" s="126"/>
    </row>
    <row r="53" spans="1:2">
      <c r="A53" s="126" t="s">
        <v>786</v>
      </c>
      <c r="B53" s="126">
        <v>0</v>
      </c>
    </row>
    <row r="54" spans="1:2">
      <c r="A54" s="127" t="s">
        <v>132</v>
      </c>
      <c r="B54" s="128">
        <v>0</v>
      </c>
    </row>
    <row r="55" spans="1:2">
      <c r="A55" s="127" t="s">
        <v>690</v>
      </c>
      <c r="B55" s="128">
        <v>0.25</v>
      </c>
    </row>
    <row r="56" spans="1:2">
      <c r="A56" s="127" t="s">
        <v>689</v>
      </c>
      <c r="B56" s="128">
        <v>0.28000000000000003</v>
      </c>
    </row>
    <row r="57" spans="1:2">
      <c r="A57" s="127" t="s">
        <v>691</v>
      </c>
      <c r="B57" s="128">
        <v>0.31</v>
      </c>
    </row>
    <row r="58" spans="1:2">
      <c r="A58" s="127" t="s">
        <v>177</v>
      </c>
      <c r="B58" s="128">
        <v>0.52</v>
      </c>
    </row>
    <row r="59" spans="1:2">
      <c r="A59" s="127" t="s">
        <v>694</v>
      </c>
      <c r="B59" s="128">
        <v>0.6</v>
      </c>
    </row>
    <row r="60" spans="1:2">
      <c r="A60" s="127" t="s">
        <v>688</v>
      </c>
      <c r="B60" s="128">
        <v>1</v>
      </c>
    </row>
    <row r="64" spans="1:2">
      <c r="A64" s="129" t="s">
        <v>186</v>
      </c>
      <c r="B64" s="130"/>
    </row>
    <row r="65" spans="1:2" ht="31.5">
      <c r="A65" s="129" t="s">
        <v>189</v>
      </c>
      <c r="B65" s="130">
        <v>1</v>
      </c>
    </row>
    <row r="66" spans="1:2" ht="31.5">
      <c r="A66" s="129" t="s">
        <v>190</v>
      </c>
      <c r="B66" s="130">
        <v>0.68</v>
      </c>
    </row>
    <row r="67" spans="1:2">
      <c r="A67" s="129" t="s">
        <v>693</v>
      </c>
      <c r="B67" s="130">
        <v>1.9</v>
      </c>
    </row>
    <row r="68" spans="1:2">
      <c r="A68" s="129" t="s">
        <v>692</v>
      </c>
      <c r="B68" s="130">
        <v>0</v>
      </c>
    </row>
  </sheetData>
  <mergeCells count="7">
    <mergeCell ref="A20:A22"/>
    <mergeCell ref="A23:A25"/>
    <mergeCell ref="A13:L13"/>
    <mergeCell ref="K3:L3"/>
    <mergeCell ref="C3:D3"/>
    <mergeCell ref="E3:G3"/>
    <mergeCell ref="H3:J3"/>
  </mergeCells>
  <pageMargins left="0.75" right="0.75" top="1" bottom="1" header="0.5" footer="0.5"/>
  <pageSetup paperSize="9" orientation="portrait" horizontalDpi="4294967292" verticalDpi="429496729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S24"/>
  <sheetViews>
    <sheetView workbookViewId="0">
      <selection activeCell="B3" sqref="B3"/>
    </sheetView>
  </sheetViews>
  <sheetFormatPr defaultColWidth="8.625" defaultRowHeight="15.75"/>
  <cols>
    <col min="1" max="1" width="12.25" style="1325" customWidth="1"/>
    <col min="2" max="16384" width="8.625" style="1325"/>
  </cols>
  <sheetData>
    <row r="1" spans="1:19" ht="63">
      <c r="A1" s="1314" t="s">
        <v>1835</v>
      </c>
      <c r="B1" s="1314" t="s">
        <v>1716</v>
      </c>
      <c r="C1" s="1314" t="s">
        <v>1717</v>
      </c>
      <c r="D1" s="1314" t="s">
        <v>1718</v>
      </c>
      <c r="E1" s="1158" t="s">
        <v>1719</v>
      </c>
      <c r="F1" s="1314" t="s">
        <v>1720</v>
      </c>
      <c r="G1" s="1314" t="s">
        <v>1721</v>
      </c>
      <c r="H1" s="1314" t="s">
        <v>1722</v>
      </c>
      <c r="I1" s="1314" t="s">
        <v>1723</v>
      </c>
      <c r="J1" s="1314" t="s">
        <v>1724</v>
      </c>
      <c r="K1" s="1314" t="s">
        <v>1725</v>
      </c>
      <c r="L1" s="1314" t="s">
        <v>1726</v>
      </c>
      <c r="M1" s="1314" t="s">
        <v>1727</v>
      </c>
      <c r="N1" s="1314" t="s">
        <v>1728</v>
      </c>
      <c r="O1" s="1315" t="s">
        <v>1729</v>
      </c>
      <c r="P1" s="1315" t="s">
        <v>1730</v>
      </c>
      <c r="Q1" s="1315" t="s">
        <v>1731</v>
      </c>
      <c r="R1" s="1315" t="s">
        <v>1732</v>
      </c>
      <c r="S1" s="1315" t="s">
        <v>1733</v>
      </c>
    </row>
    <row r="2" spans="1:19">
      <c r="A2" s="1314"/>
      <c r="B2" s="1156"/>
      <c r="C2" s="1157"/>
      <c r="D2" s="1159">
        <f t="shared" ref="D2:D8" si="0">B2*C2</f>
        <v>0</v>
      </c>
      <c r="E2" s="1157"/>
      <c r="F2" s="1157"/>
      <c r="G2" s="1157"/>
      <c r="H2" s="1315">
        <f>F2+E2*G2</f>
        <v>0</v>
      </c>
      <c r="I2" s="1160">
        <f t="shared" ref="I2:I3" si="1">IFERROR(EXP(-1.996+2.32*LN(F2)),0)</f>
        <v>0</v>
      </c>
      <c r="J2" s="1161">
        <f t="shared" ref="J2:J3" si="2">IFERROR(EXP(-1.996+2.32*LN(H2)),0)</f>
        <v>0</v>
      </c>
      <c r="K2" s="1160">
        <f t="shared" ref="K2:K8" si="3">(J2-I2)*D2/1000</f>
        <v>0</v>
      </c>
      <c r="L2" s="1160">
        <f t="shared" ref="L2:L3" si="4">IFERROR(K2/E2,0)</f>
        <v>0</v>
      </c>
      <c r="M2" s="1162">
        <v>0.48</v>
      </c>
      <c r="N2" s="1160">
        <f t="shared" ref="N2:N8" si="5">L2*M2</f>
        <v>0</v>
      </c>
      <c r="O2" s="1163">
        <f t="shared" ref="O2:O8" si="6">N2*44/12</f>
        <v>0</v>
      </c>
      <c r="P2" s="1163">
        <f t="shared" ref="P2:Q8" si="7">N2*0.25</f>
        <v>0</v>
      </c>
      <c r="Q2" s="1163">
        <f t="shared" si="7"/>
        <v>0</v>
      </c>
      <c r="R2" s="1163">
        <f t="shared" ref="R2:S8" si="8">N2+P2</f>
        <v>0</v>
      </c>
      <c r="S2" s="1163">
        <f t="shared" si="8"/>
        <v>0</v>
      </c>
    </row>
    <row r="3" spans="1:19">
      <c r="A3" s="1314"/>
      <c r="B3" s="1156">
        <f>'Land requirements'!F11</f>
        <v>2.1010559051531086</v>
      </c>
      <c r="C3" s="1157">
        <v>15</v>
      </c>
      <c r="D3" s="1159">
        <f t="shared" si="0"/>
        <v>31.515838577296627</v>
      </c>
      <c r="E3" s="1157">
        <v>12</v>
      </c>
      <c r="F3" s="1157">
        <v>20</v>
      </c>
      <c r="G3" s="1157">
        <v>2</v>
      </c>
      <c r="H3" s="1315">
        <f t="shared" ref="H3:H8" si="9">F3+E3*G3</f>
        <v>44</v>
      </c>
      <c r="I3" s="45">
        <f t="shared" si="1"/>
        <v>141.75480994790612</v>
      </c>
      <c r="J3" s="68">
        <f t="shared" si="2"/>
        <v>882.99536433846345</v>
      </c>
      <c r="K3" s="1160">
        <f t="shared" si="3"/>
        <v>23.360817659118666</v>
      </c>
      <c r="L3" s="45">
        <f t="shared" si="4"/>
        <v>1.9467348049265556</v>
      </c>
      <c r="M3" s="1156">
        <v>0.48</v>
      </c>
      <c r="N3" s="45">
        <f t="shared" si="5"/>
        <v>0.93443270636474662</v>
      </c>
      <c r="O3" s="76">
        <f t="shared" si="6"/>
        <v>3.4262532566707375</v>
      </c>
      <c r="P3" s="76">
        <f t="shared" si="7"/>
        <v>0.23360817659118666</v>
      </c>
      <c r="Q3" s="76">
        <f t="shared" si="7"/>
        <v>0.85656331416768439</v>
      </c>
      <c r="R3" s="76">
        <f t="shared" si="8"/>
        <v>1.1680408829559332</v>
      </c>
      <c r="S3" s="76">
        <f t="shared" si="8"/>
        <v>4.2828165708384223</v>
      </c>
    </row>
    <row r="4" spans="1:19">
      <c r="A4" s="1314"/>
      <c r="B4" s="1156"/>
      <c r="C4" s="1157"/>
      <c r="D4" s="1159">
        <f t="shared" si="0"/>
        <v>0</v>
      </c>
      <c r="E4" s="1157"/>
      <c r="F4" s="1157"/>
      <c r="G4" s="1157"/>
      <c r="H4" s="1315">
        <f t="shared" si="9"/>
        <v>0</v>
      </c>
      <c r="I4" s="45">
        <f>IFERROR(EXP(-1.996+2.32*LN(F4)),0)</f>
        <v>0</v>
      </c>
      <c r="J4" s="68">
        <f>IFERROR(EXP(-1.996+2.32*LN(H4)),0)</f>
        <v>0</v>
      </c>
      <c r="K4" s="45">
        <f t="shared" si="3"/>
        <v>0</v>
      </c>
      <c r="L4" s="45">
        <f>IFERROR(K4/E4,0)</f>
        <v>0</v>
      </c>
      <c r="M4" s="1156">
        <v>0.48</v>
      </c>
      <c r="N4" s="45">
        <f t="shared" si="5"/>
        <v>0</v>
      </c>
      <c r="O4" s="76">
        <f t="shared" si="6"/>
        <v>0</v>
      </c>
      <c r="P4" s="76">
        <f t="shared" si="7"/>
        <v>0</v>
      </c>
      <c r="Q4" s="76">
        <f t="shared" si="7"/>
        <v>0</v>
      </c>
      <c r="R4" s="76">
        <f t="shared" si="8"/>
        <v>0</v>
      </c>
      <c r="S4" s="76">
        <f t="shared" si="8"/>
        <v>0</v>
      </c>
    </row>
    <row r="5" spans="1:19">
      <c r="A5" s="1314"/>
      <c r="B5" s="1156"/>
      <c r="C5" s="1157"/>
      <c r="D5" s="1159">
        <f t="shared" si="0"/>
        <v>0</v>
      </c>
      <c r="E5" s="1157"/>
      <c r="F5" s="1157"/>
      <c r="G5" s="1157"/>
      <c r="H5" s="1315">
        <f t="shared" si="9"/>
        <v>0</v>
      </c>
      <c r="I5" s="45">
        <f t="shared" ref="I5:I8" si="10">IFERROR(EXP(-1.996+2.32*LN(F5)),0)</f>
        <v>0</v>
      </c>
      <c r="J5" s="68">
        <f t="shared" ref="J5:J8" si="11">IFERROR(EXP(-1.996+2.32*LN(H5)),0)</f>
        <v>0</v>
      </c>
      <c r="K5" s="45">
        <f t="shared" si="3"/>
        <v>0</v>
      </c>
      <c r="L5" s="45">
        <f t="shared" ref="L5:L8" si="12">IFERROR(K5/E5,0)</f>
        <v>0</v>
      </c>
      <c r="M5" s="1156">
        <v>0.48</v>
      </c>
      <c r="N5" s="45">
        <f t="shared" si="5"/>
        <v>0</v>
      </c>
      <c r="O5" s="76">
        <f t="shared" si="6"/>
        <v>0</v>
      </c>
      <c r="P5" s="76">
        <f t="shared" si="7"/>
        <v>0</v>
      </c>
      <c r="Q5" s="76">
        <f t="shared" si="7"/>
        <v>0</v>
      </c>
      <c r="R5" s="76">
        <f t="shared" si="8"/>
        <v>0</v>
      </c>
      <c r="S5" s="76">
        <f t="shared" si="8"/>
        <v>0</v>
      </c>
    </row>
    <row r="6" spans="1:19">
      <c r="A6" s="1314"/>
      <c r="B6" s="1156"/>
      <c r="C6" s="1157"/>
      <c r="D6" s="1159">
        <f t="shared" si="0"/>
        <v>0</v>
      </c>
      <c r="E6" s="1157"/>
      <c r="F6" s="1157"/>
      <c r="G6" s="1157"/>
      <c r="H6" s="1315">
        <f t="shared" si="9"/>
        <v>0</v>
      </c>
      <c r="I6" s="45">
        <f t="shared" si="10"/>
        <v>0</v>
      </c>
      <c r="J6" s="68">
        <f t="shared" si="11"/>
        <v>0</v>
      </c>
      <c r="K6" s="45">
        <f t="shared" si="3"/>
        <v>0</v>
      </c>
      <c r="L6" s="45">
        <f t="shared" si="12"/>
        <v>0</v>
      </c>
      <c r="M6" s="1156">
        <v>0.48</v>
      </c>
      <c r="N6" s="45">
        <f t="shared" si="5"/>
        <v>0</v>
      </c>
      <c r="O6" s="76">
        <f t="shared" si="6"/>
        <v>0</v>
      </c>
      <c r="P6" s="76">
        <f t="shared" si="7"/>
        <v>0</v>
      </c>
      <c r="Q6" s="76">
        <f t="shared" si="7"/>
        <v>0</v>
      </c>
      <c r="R6" s="76">
        <f t="shared" si="8"/>
        <v>0</v>
      </c>
      <c r="S6" s="76">
        <f t="shared" si="8"/>
        <v>0</v>
      </c>
    </row>
    <row r="7" spans="1:19">
      <c r="A7" s="1314"/>
      <c r="B7" s="1156"/>
      <c r="C7" s="1157"/>
      <c r="D7" s="1159">
        <f t="shared" si="0"/>
        <v>0</v>
      </c>
      <c r="E7" s="1157"/>
      <c r="F7" s="1157"/>
      <c r="G7" s="1157"/>
      <c r="H7" s="1315">
        <f t="shared" si="9"/>
        <v>0</v>
      </c>
      <c r="I7" s="45">
        <f t="shared" si="10"/>
        <v>0</v>
      </c>
      <c r="J7" s="68">
        <f t="shared" si="11"/>
        <v>0</v>
      </c>
      <c r="K7" s="45">
        <f t="shared" si="3"/>
        <v>0</v>
      </c>
      <c r="L7" s="45">
        <f t="shared" si="12"/>
        <v>0</v>
      </c>
      <c r="M7" s="1156">
        <v>0.48</v>
      </c>
      <c r="N7" s="45">
        <f t="shared" si="5"/>
        <v>0</v>
      </c>
      <c r="O7" s="76">
        <f t="shared" si="6"/>
        <v>0</v>
      </c>
      <c r="P7" s="76">
        <f t="shared" si="7"/>
        <v>0</v>
      </c>
      <c r="Q7" s="76">
        <f t="shared" si="7"/>
        <v>0</v>
      </c>
      <c r="R7" s="76">
        <f t="shared" si="8"/>
        <v>0</v>
      </c>
      <c r="S7" s="76">
        <f t="shared" si="8"/>
        <v>0</v>
      </c>
    </row>
    <row r="8" spans="1:19">
      <c r="A8" s="1314"/>
      <c r="B8" s="1156"/>
      <c r="C8" s="1157"/>
      <c r="D8" s="1159">
        <f t="shared" si="0"/>
        <v>0</v>
      </c>
      <c r="E8" s="1157"/>
      <c r="F8" s="1157"/>
      <c r="G8" s="1157"/>
      <c r="H8" s="1315">
        <f t="shared" si="9"/>
        <v>0</v>
      </c>
      <c r="I8" s="45">
        <f t="shared" si="10"/>
        <v>0</v>
      </c>
      <c r="J8" s="68">
        <f t="shared" si="11"/>
        <v>0</v>
      </c>
      <c r="K8" s="45">
        <f t="shared" si="3"/>
        <v>0</v>
      </c>
      <c r="L8" s="45">
        <f t="shared" si="12"/>
        <v>0</v>
      </c>
      <c r="M8" s="1156">
        <v>0.48</v>
      </c>
      <c r="N8" s="45">
        <f t="shared" si="5"/>
        <v>0</v>
      </c>
      <c r="O8" s="76">
        <f t="shared" si="6"/>
        <v>0</v>
      </c>
      <c r="P8" s="76">
        <f t="shared" si="7"/>
        <v>0</v>
      </c>
      <c r="Q8" s="76">
        <f t="shared" si="7"/>
        <v>0</v>
      </c>
      <c r="R8" s="76">
        <f t="shared" si="8"/>
        <v>0</v>
      </c>
      <c r="S8" s="76">
        <f t="shared" si="8"/>
        <v>0</v>
      </c>
    </row>
    <row r="9" spans="1:19">
      <c r="A9" s="14" t="s">
        <v>208</v>
      </c>
      <c r="B9" s="14"/>
      <c r="C9" s="14"/>
      <c r="D9" s="14"/>
      <c r="E9" s="14"/>
      <c r="F9" s="14"/>
      <c r="G9" s="14"/>
      <c r="H9" s="14"/>
      <c r="I9" s="45">
        <f>SUM(I2:I8)</f>
        <v>141.75480994790612</v>
      </c>
      <c r="J9" s="45">
        <f t="shared" ref="J9:L9" si="13">SUM(J2:J8)</f>
        <v>882.99536433846345</v>
      </c>
      <c r="K9" s="45">
        <f t="shared" si="13"/>
        <v>23.360817659118666</v>
      </c>
      <c r="L9" s="45">
        <f t="shared" si="13"/>
        <v>1.9467348049265556</v>
      </c>
      <c r="M9" s="45"/>
      <c r="N9" s="45">
        <f t="shared" ref="N9:S9" si="14">SUM(N2:N8)</f>
        <v>0.93443270636474662</v>
      </c>
      <c r="O9" s="45">
        <f t="shared" si="14"/>
        <v>3.4262532566707375</v>
      </c>
      <c r="P9" s="45">
        <f t="shared" si="14"/>
        <v>0.23360817659118666</v>
      </c>
      <c r="Q9" s="45">
        <f t="shared" si="14"/>
        <v>0.85656331416768439</v>
      </c>
      <c r="R9" s="45">
        <f t="shared" si="14"/>
        <v>1.1680408829559332</v>
      </c>
      <c r="S9" s="45">
        <f t="shared" si="14"/>
        <v>4.2828165708384223</v>
      </c>
    </row>
    <row r="11" spans="1:19">
      <c r="A11" s="37" t="s">
        <v>1833</v>
      </c>
      <c r="F11" s="37" t="s">
        <v>1834</v>
      </c>
    </row>
    <row r="12" spans="1:19">
      <c r="A12" s="1325" t="s">
        <v>1735</v>
      </c>
      <c r="B12" s="1325" t="s">
        <v>463</v>
      </c>
      <c r="C12" s="1325" t="s">
        <v>1736</v>
      </c>
      <c r="D12" s="1325" t="s">
        <v>1737</v>
      </c>
      <c r="E12" s="1325" t="s">
        <v>1738</v>
      </c>
      <c r="F12" s="1325" t="s">
        <v>1735</v>
      </c>
      <c r="G12" s="1325" t="s">
        <v>463</v>
      </c>
      <c r="H12" s="1325" t="s">
        <v>1736</v>
      </c>
      <c r="I12" s="1325" t="s">
        <v>1737</v>
      </c>
      <c r="J12" s="1325" t="s">
        <v>1738</v>
      </c>
    </row>
    <row r="13" spans="1:19">
      <c r="A13" s="1325">
        <v>1</v>
      </c>
      <c r="B13" s="1325">
        <v>1.25</v>
      </c>
      <c r="C13" s="1325">
        <f>0.7*A13</f>
        <v>0.7</v>
      </c>
      <c r="D13" s="1042">
        <f>(3.14*((B13/100)/2)^2)*C13*0.5</f>
        <v>4.2929687500000006E-5</v>
      </c>
      <c r="E13" s="39">
        <f>EXP(-1.996+2.32*LN(B13))</f>
        <v>0.2280234143116556</v>
      </c>
      <c r="F13" s="1325">
        <v>1</v>
      </c>
      <c r="G13" s="1325">
        <v>2</v>
      </c>
      <c r="H13" s="1325">
        <f t="shared" ref="H13:H24" si="15">0.7*F13</f>
        <v>0.7</v>
      </c>
      <c r="I13" s="1042">
        <f>(3.14*((G13/100)/2)^2)*H13*0.5</f>
        <v>1.099E-4</v>
      </c>
      <c r="J13" s="39">
        <f>EXP(-1.996+2.32*LN(G13))</f>
        <v>0.67848117772544447</v>
      </c>
    </row>
    <row r="14" spans="1:19">
      <c r="A14" s="1325">
        <v>2</v>
      </c>
      <c r="B14" s="1325">
        <f>B13+1.25</f>
        <v>2.5</v>
      </c>
      <c r="C14" s="1325">
        <f t="shared" ref="C14:C24" si="16">0.7*A14</f>
        <v>1.4</v>
      </c>
      <c r="D14" s="1042">
        <f t="shared" ref="D14:D24" si="17">(3.14*((B14/100)/2)^2)*C14*0.5</f>
        <v>3.4343750000000005E-4</v>
      </c>
      <c r="E14" s="39">
        <f t="shared" ref="E14:E24" si="18">EXP(-1.996+2.32*LN(B14))</f>
        <v>1.1385943758003547</v>
      </c>
      <c r="F14" s="1325">
        <v>2</v>
      </c>
      <c r="G14" s="1325">
        <f>G13+2</f>
        <v>4</v>
      </c>
      <c r="H14" s="1325">
        <f t="shared" si="15"/>
        <v>1.4</v>
      </c>
      <c r="I14" s="1042">
        <f t="shared" ref="I14:I24" si="19">(3.14*((G14/100)/2)^2)*H14*0.5</f>
        <v>8.7920000000000001E-4</v>
      </c>
      <c r="J14" s="39">
        <f t="shared" ref="J14:J24" si="20">EXP(-1.996+2.32*LN(G14))</f>
        <v>3.3878751240376643</v>
      </c>
    </row>
    <row r="15" spans="1:19">
      <c r="A15" s="1325">
        <v>3</v>
      </c>
      <c r="B15" s="1325">
        <f t="shared" ref="B15:B24" si="21">B14+1.25</f>
        <v>3.75</v>
      </c>
      <c r="C15" s="1325">
        <f t="shared" si="16"/>
        <v>2.0999999999999996</v>
      </c>
      <c r="D15" s="1042">
        <f t="shared" si="17"/>
        <v>1.1591015625E-3</v>
      </c>
      <c r="E15" s="39">
        <f t="shared" si="18"/>
        <v>2.9167604012574082</v>
      </c>
      <c r="F15" s="1325">
        <v>3</v>
      </c>
      <c r="G15" s="1325">
        <f t="shared" ref="G15:G24" si="22">G14+2</f>
        <v>6</v>
      </c>
      <c r="H15" s="1325">
        <f t="shared" si="15"/>
        <v>2.0999999999999996</v>
      </c>
      <c r="I15" s="1042">
        <f t="shared" si="19"/>
        <v>2.9672999999999995E-3</v>
      </c>
      <c r="J15" s="39">
        <f t="shared" si="20"/>
        <v>8.6787887031779682</v>
      </c>
    </row>
    <row r="16" spans="1:19">
      <c r="A16" s="1325">
        <v>4</v>
      </c>
      <c r="B16" s="1325">
        <f t="shared" si="21"/>
        <v>5</v>
      </c>
      <c r="C16" s="1325">
        <f t="shared" si="16"/>
        <v>2.8</v>
      </c>
      <c r="D16" s="1042">
        <f t="shared" si="17"/>
        <v>2.7475000000000004E-3</v>
      </c>
      <c r="E16" s="39">
        <f t="shared" si="18"/>
        <v>5.6853685684765791</v>
      </c>
      <c r="F16" s="1325">
        <v>4</v>
      </c>
      <c r="G16" s="1325">
        <f t="shared" si="22"/>
        <v>8</v>
      </c>
      <c r="H16" s="1325">
        <f t="shared" si="15"/>
        <v>2.8</v>
      </c>
      <c r="I16" s="1042">
        <f t="shared" si="19"/>
        <v>7.0336000000000001E-3</v>
      </c>
      <c r="J16" s="39">
        <f t="shared" si="20"/>
        <v>16.916752052800213</v>
      </c>
    </row>
    <row r="17" spans="1:10">
      <c r="A17" s="1325">
        <v>5</v>
      </c>
      <c r="B17" s="1325">
        <f t="shared" si="21"/>
        <v>6.25</v>
      </c>
      <c r="C17" s="1325">
        <f t="shared" si="16"/>
        <v>3.5</v>
      </c>
      <c r="D17" s="1042">
        <f t="shared" si="17"/>
        <v>5.3662109375000001E-3</v>
      </c>
      <c r="E17" s="39">
        <f t="shared" si="18"/>
        <v>9.5409112130728211</v>
      </c>
      <c r="F17" s="1325">
        <v>5</v>
      </c>
      <c r="G17" s="1325">
        <f t="shared" si="22"/>
        <v>10</v>
      </c>
      <c r="H17" s="1325">
        <f t="shared" si="15"/>
        <v>3.5</v>
      </c>
      <c r="I17" s="1042">
        <f t="shared" si="19"/>
        <v>1.3737500000000001E-2</v>
      </c>
      <c r="J17" s="39">
        <f t="shared" si="20"/>
        <v>28.388877063177365</v>
      </c>
    </row>
    <row r="18" spans="1:10">
      <c r="A18" s="1325">
        <v>6</v>
      </c>
      <c r="B18" s="1325">
        <f t="shared" si="21"/>
        <v>7.5</v>
      </c>
      <c r="C18" s="1325">
        <f t="shared" si="16"/>
        <v>4.1999999999999993</v>
      </c>
      <c r="D18" s="1042">
        <f t="shared" si="17"/>
        <v>9.2728124999999998E-3</v>
      </c>
      <c r="E18" s="39">
        <f t="shared" si="18"/>
        <v>14.564324450864577</v>
      </c>
      <c r="F18" s="1325">
        <v>6</v>
      </c>
      <c r="G18" s="1325">
        <f t="shared" si="22"/>
        <v>12</v>
      </c>
      <c r="H18" s="1325">
        <f t="shared" si="15"/>
        <v>4.1999999999999993</v>
      </c>
      <c r="I18" s="1042">
        <f t="shared" si="19"/>
        <v>2.3738399999999996E-2</v>
      </c>
      <c r="J18" s="39">
        <f t="shared" si="20"/>
        <v>43.335988262557045</v>
      </c>
    </row>
    <row r="19" spans="1:10">
      <c r="A19" s="1325">
        <v>7</v>
      </c>
      <c r="B19" s="1325">
        <f t="shared" si="21"/>
        <v>8.75</v>
      </c>
      <c r="C19" s="1325">
        <f t="shared" si="16"/>
        <v>4.8999999999999995</v>
      </c>
      <c r="D19" s="1042">
        <f t="shared" si="17"/>
        <v>1.4724882812499998E-2</v>
      </c>
      <c r="E19" s="39">
        <f t="shared" si="18"/>
        <v>20.826049539897866</v>
      </c>
      <c r="F19" s="1325">
        <v>7</v>
      </c>
      <c r="G19" s="1325">
        <f t="shared" si="22"/>
        <v>14</v>
      </c>
      <c r="H19" s="1325">
        <f t="shared" si="15"/>
        <v>4.8999999999999995</v>
      </c>
      <c r="I19" s="1042">
        <f t="shared" si="19"/>
        <v>3.7695699999999999E-2</v>
      </c>
      <c r="J19" s="39">
        <f t="shared" si="20"/>
        <v>61.967682844559896</v>
      </c>
    </row>
    <row r="20" spans="1:10">
      <c r="A20" s="1325">
        <v>8</v>
      </c>
      <c r="B20" s="1325">
        <f t="shared" si="21"/>
        <v>10</v>
      </c>
      <c r="C20" s="1325">
        <f t="shared" si="16"/>
        <v>5.6</v>
      </c>
      <c r="D20" s="1042">
        <f t="shared" si="17"/>
        <v>2.1980000000000003E-2</v>
      </c>
      <c r="E20" s="39">
        <f t="shared" si="18"/>
        <v>28.388877063177365</v>
      </c>
      <c r="F20" s="1325">
        <v>8</v>
      </c>
      <c r="G20" s="1325">
        <f t="shared" si="22"/>
        <v>16</v>
      </c>
      <c r="H20" s="1325">
        <f t="shared" si="15"/>
        <v>5.6</v>
      </c>
      <c r="I20" s="1042">
        <f t="shared" si="19"/>
        <v>5.6268800000000001E-2</v>
      </c>
      <c r="J20" s="39">
        <f t="shared" si="20"/>
        <v>84.470793502818196</v>
      </c>
    </row>
    <row r="21" spans="1:10">
      <c r="A21" s="1325">
        <v>9</v>
      </c>
      <c r="B21" s="1325">
        <f t="shared" si="21"/>
        <v>11.25</v>
      </c>
      <c r="C21" s="1325">
        <f t="shared" si="16"/>
        <v>6.3</v>
      </c>
      <c r="D21" s="1042">
        <f t="shared" si="17"/>
        <v>3.1295742187500003E-2</v>
      </c>
      <c r="E21" s="39">
        <f t="shared" si="18"/>
        <v>37.309726564814468</v>
      </c>
      <c r="F21" s="1325">
        <v>9</v>
      </c>
      <c r="G21" s="1325">
        <f t="shared" si="22"/>
        <v>18</v>
      </c>
      <c r="H21" s="1325">
        <f t="shared" si="15"/>
        <v>6.3</v>
      </c>
      <c r="I21" s="1042">
        <f t="shared" si="19"/>
        <v>8.0117099999999997E-2</v>
      </c>
      <c r="J21" s="39">
        <f t="shared" si="20"/>
        <v>111.01468371888895</v>
      </c>
    </row>
    <row r="22" spans="1:10">
      <c r="A22" s="1325">
        <v>10</v>
      </c>
      <c r="B22" s="1325">
        <f t="shared" si="21"/>
        <v>12.5</v>
      </c>
      <c r="C22" s="1325">
        <f t="shared" si="16"/>
        <v>7</v>
      </c>
      <c r="D22" s="1042">
        <f t="shared" si="17"/>
        <v>4.2929687500000001E-2</v>
      </c>
      <c r="E22" s="39">
        <f t="shared" si="18"/>
        <v>47.640843726546947</v>
      </c>
      <c r="F22" s="1325">
        <v>10</v>
      </c>
      <c r="G22" s="1325">
        <f t="shared" si="22"/>
        <v>20</v>
      </c>
      <c r="H22" s="1325">
        <f t="shared" si="15"/>
        <v>7</v>
      </c>
      <c r="I22" s="1042">
        <f t="shared" si="19"/>
        <v>0.10990000000000001</v>
      </c>
      <c r="J22" s="39">
        <f t="shared" si="20"/>
        <v>141.75480994790612</v>
      </c>
    </row>
    <row r="23" spans="1:10">
      <c r="A23" s="1325">
        <v>11</v>
      </c>
      <c r="B23" s="1325">
        <f t="shared" si="21"/>
        <v>13.75</v>
      </c>
      <c r="C23" s="1325">
        <f t="shared" si="16"/>
        <v>7.6999999999999993</v>
      </c>
      <c r="D23" s="1042">
        <f t="shared" si="17"/>
        <v>5.7139414062500005E-2</v>
      </c>
      <c r="E23" s="39">
        <f t="shared" si="18"/>
        <v>59.43064913144142</v>
      </c>
      <c r="F23" s="1325">
        <v>11</v>
      </c>
      <c r="G23" s="1325">
        <f t="shared" si="22"/>
        <v>22</v>
      </c>
      <c r="H23" s="1325">
        <f t="shared" si="15"/>
        <v>7.6999999999999993</v>
      </c>
      <c r="I23" s="1042">
        <f t="shared" si="19"/>
        <v>0.14627689999999999</v>
      </c>
      <c r="J23" s="39">
        <f t="shared" si="20"/>
        <v>176.8352471057045</v>
      </c>
    </row>
    <row r="24" spans="1:10">
      <c r="A24" s="1325">
        <v>12</v>
      </c>
      <c r="B24" s="1325">
        <f t="shared" si="21"/>
        <v>15</v>
      </c>
      <c r="C24" s="1325">
        <f t="shared" si="16"/>
        <v>8.3999999999999986</v>
      </c>
      <c r="D24" s="1042">
        <f t="shared" si="17"/>
        <v>7.4182499999999998E-2</v>
      </c>
      <c r="E24" s="39">
        <f t="shared" si="18"/>
        <v>72.724364544515794</v>
      </c>
      <c r="F24" s="1325">
        <v>12</v>
      </c>
      <c r="G24" s="1325">
        <f t="shared" si="22"/>
        <v>24</v>
      </c>
      <c r="H24" s="1325">
        <f t="shared" si="15"/>
        <v>8.3999999999999986</v>
      </c>
      <c r="I24" s="1042">
        <f t="shared" si="19"/>
        <v>0.18990719999999997</v>
      </c>
      <c r="J24" s="39">
        <f t="shared" si="20"/>
        <v>216.39055205996667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51</vt:i4>
      </vt:variant>
    </vt:vector>
  </HeadingPairs>
  <TitlesOfParts>
    <vt:vector size="83" baseType="lpstr">
      <vt:lpstr>INPUTS</vt:lpstr>
      <vt:lpstr>Land requirements</vt:lpstr>
      <vt:lpstr>Economics </vt:lpstr>
      <vt:lpstr>Productivity</vt:lpstr>
      <vt:lpstr>Soil impacts</vt:lpstr>
      <vt:lpstr>Water Impacts</vt:lpstr>
      <vt:lpstr>GHG emissions</vt:lpstr>
      <vt:lpstr>SUMMARY</vt:lpstr>
      <vt:lpstr>Livestock parameters</vt:lpstr>
      <vt:lpstr>Area Parameters</vt:lpstr>
      <vt:lpstr>Crop parameters</vt:lpstr>
      <vt:lpstr>Feed parameters</vt:lpstr>
      <vt:lpstr>Economics_Parameters</vt:lpstr>
      <vt:lpstr>GHG Parameters</vt:lpstr>
      <vt:lpstr>SOC parameters</vt:lpstr>
      <vt:lpstr>Soil erosion parameters</vt:lpstr>
      <vt:lpstr>Feed</vt:lpstr>
      <vt:lpstr>Land Requirement </vt:lpstr>
      <vt:lpstr>Meat &amp; Milk </vt:lpstr>
      <vt:lpstr>Economics_Payback </vt:lpstr>
      <vt:lpstr>N balance</vt:lpstr>
      <vt:lpstr>Water</vt:lpstr>
      <vt:lpstr>SOC</vt:lpstr>
      <vt:lpstr>Biomass</vt:lpstr>
      <vt:lpstr>Soil erosion</vt:lpstr>
      <vt:lpstr>GHG Ent fermentation</vt:lpstr>
      <vt:lpstr>GHG Manure</vt:lpstr>
      <vt:lpstr>GHG Soil</vt:lpstr>
      <vt:lpstr>GHG Burning</vt:lpstr>
      <vt:lpstr>GHG Off-farm</vt:lpstr>
      <vt:lpstr>GHG Rice</vt:lpstr>
      <vt:lpstr>Trees-Carbon</vt:lpstr>
      <vt:lpstr>animalha</vt:lpstr>
      <vt:lpstr>Brach</vt:lpstr>
      <vt:lpstr>Cowimpr</vt:lpstr>
      <vt:lpstr>Cowloc</vt:lpstr>
      <vt:lpstr>crop_parameters</vt:lpstr>
      <vt:lpstr>Cstockch</vt:lpstr>
      <vt:lpstr>erosion</vt:lpstr>
      <vt:lpstr>erosion__t_yr</vt:lpstr>
      <vt:lpstr>'Feed parameters'!Feed</vt:lpstr>
      <vt:lpstr>Feed</vt:lpstr>
      <vt:lpstr>'Feed parameters'!feedlist</vt:lpstr>
      <vt:lpstr>feedlist</vt:lpstr>
      <vt:lpstr>'Feed parameters'!feedparameters_tbl</vt:lpstr>
      <vt:lpstr>feedparameters_tbl</vt:lpstr>
      <vt:lpstr>GHGha</vt:lpstr>
      <vt:lpstr>GHGmeat</vt:lpstr>
      <vt:lpstr>GHGmilk</vt:lpstr>
      <vt:lpstr>GHGprotein</vt:lpstr>
      <vt:lpstr>GHGtot</vt:lpstr>
      <vt:lpstr>Glir</vt:lpstr>
      <vt:lpstr>Hyp</vt:lpstr>
      <vt:lpstr>Land_cover_erosion</vt:lpstr>
      <vt:lpstr>land_req</vt:lpstr>
      <vt:lpstr>Landuse_System_RUSLE</vt:lpstr>
      <vt:lpstr>Maize</vt:lpstr>
      <vt:lpstr>meat</vt:lpstr>
      <vt:lpstr>milk</vt:lpstr>
      <vt:lpstr>MMS</vt:lpstr>
      <vt:lpstr>molasses</vt:lpstr>
      <vt:lpstr>Nbal</vt:lpstr>
      <vt:lpstr>Nbalha</vt:lpstr>
      <vt:lpstr>Nbaltot</vt:lpstr>
      <vt:lpstr>OrganicAmendment</vt:lpstr>
      <vt:lpstr>Penn</vt:lpstr>
      <vt:lpstr>protein</vt:lpstr>
      <vt:lpstr>RiceEcosystem</vt:lpstr>
      <vt:lpstr>Slope</vt:lpstr>
      <vt:lpstr>Slope_adj</vt:lpstr>
      <vt:lpstr>Slope_erosion</vt:lpstr>
      <vt:lpstr>Slope_length</vt:lpstr>
      <vt:lpstr>Soil_class</vt:lpstr>
      <vt:lpstr>soil_leaching</vt:lpstr>
      <vt:lpstr>soil_mining</vt:lpstr>
      <vt:lpstr>soilleach</vt:lpstr>
      <vt:lpstr>soilmining</vt:lpstr>
      <vt:lpstr>Sorghum</vt:lpstr>
      <vt:lpstr>wateregime</vt:lpstr>
      <vt:lpstr>waterha</vt:lpstr>
      <vt:lpstr>watermeat</vt:lpstr>
      <vt:lpstr>watermilk</vt:lpstr>
      <vt:lpstr>waterprotein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celine birnholz</dc:creator>
  <cp:lastModifiedBy>John Mutua</cp:lastModifiedBy>
  <cp:lastPrinted>2019-02-05T12:26:46Z</cp:lastPrinted>
  <dcterms:created xsi:type="dcterms:W3CDTF">2014-10-29T15:17:25Z</dcterms:created>
  <dcterms:modified xsi:type="dcterms:W3CDTF">2020-09-19T16:48:48Z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cb7bccd0-7c7d-43e9-bbaa-f1f400dbfae0</vt:lpwstr>
  </property>
  <property fmtid="{D5CDD505-2E9C-101B-9397-08002B2CF9AE}" pid="3" name="ConnectionInfosStorage">
    <vt:lpwstr>WorkbookXmlParts</vt:lpwstr>
  </property>
</Properties>
</file>