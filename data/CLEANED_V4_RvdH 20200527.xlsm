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3D1A710C-6663-3D7B-7F91-EC182F24A4BC}"/>
  <workbookPr showInkAnnotation="0" updateLinks="never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Z:\projects2017\CLEANNED\xlsm\"/>
    </mc:Choice>
  </mc:AlternateContent>
  <xr:revisionPtr revIDLastSave="0" documentId="13_ncr:1_{4DFADD65-F89C-49AE-9554-D365DE541C6D}" xr6:coauthVersionLast="45" xr6:coauthVersionMax="45" xr10:uidLastSave="{00000000-0000-0000-0000-000000000000}"/>
  <bookViews>
    <workbookView xWindow="-120" yWindow="-120" windowWidth="36960" windowHeight="19260" firstSheet="7" activeTab="13" xr2:uid="{00000000-000D-0000-FFFF-FFFF00000000}"/>
  </bookViews>
  <sheets>
    <sheet name="INPUTS" sheetId="1" r:id="rId1"/>
    <sheet name="Land requirements" sheetId="29" r:id="rId2"/>
    <sheet name="Productivity" sheetId="20" r:id="rId3"/>
    <sheet name="Economics " sheetId="35" r:id="rId4"/>
    <sheet name="Soil impacts" sheetId="19" r:id="rId5"/>
    <sheet name="Water Impacts" sheetId="37" r:id="rId6"/>
    <sheet name="GHG emissions" sheetId="7" r:id="rId7"/>
    <sheet name="SUMMARY" sheetId="41" r:id="rId8"/>
    <sheet name="Area Parameters" sheetId="38" r:id="rId9"/>
    <sheet name="Livestock parameters" sheetId="24" r:id="rId10"/>
    <sheet name="Crop parameters" sheetId="23" r:id="rId11"/>
    <sheet name="Feed parameters" sheetId="36" r:id="rId12"/>
    <sheet name="Economics_Parameters" sheetId="33" r:id="rId13"/>
    <sheet name="GHG Parameters" sheetId="9" r:id="rId14"/>
    <sheet name="SOC parameters" sheetId="40" r:id="rId15"/>
    <sheet name="Soil erosion parameters" sheetId="25" r:id="rId16"/>
    <sheet name="Feed" sheetId="30" r:id="rId17"/>
    <sheet name="Land Requirement " sheetId="32" r:id="rId18"/>
    <sheet name="Meat &amp; Milk " sheetId="27" r:id="rId19"/>
    <sheet name="Economics_Payback " sheetId="34" r:id="rId20"/>
    <sheet name="N balance" sheetId="17" r:id="rId21"/>
    <sheet name="Water" sheetId="39" r:id="rId22"/>
    <sheet name="SOC" sheetId="10" r:id="rId23"/>
    <sheet name="Biomass" sheetId="11" r:id="rId24"/>
    <sheet name="Soil erosion" sheetId="18" r:id="rId25"/>
    <sheet name="GHG Ent fermentation" sheetId="2" r:id="rId26"/>
    <sheet name="GHG Manure" sheetId="3" r:id="rId27"/>
    <sheet name="GHG Soil" sheetId="14" r:id="rId28"/>
    <sheet name="GHG Burning" sheetId="16" r:id="rId29"/>
    <sheet name="GHG Off-farm" sheetId="28" r:id="rId30"/>
    <sheet name="GHG Rice" sheetId="13" r:id="rId31"/>
    <sheet name="Trees-Carbon" sheetId="44" r:id="rId32"/>
  </sheets>
  <externalReferences>
    <externalReference r:id="rId33"/>
    <externalReference r:id="rId34"/>
    <externalReference r:id="rId35"/>
    <externalReference r:id="rId36"/>
  </externalReferences>
  <definedNames>
    <definedName name="_xlnm._FilterDatabase" localSheetId="10" hidden="1">'Crop parameters'!$A$2:$Q$28</definedName>
    <definedName name="_xlnm._FilterDatabase" localSheetId="12" hidden="1">Economics_Parameters!$B$2:$E$16</definedName>
    <definedName name="_xlnm._FilterDatabase" localSheetId="16" hidden="1">Feed!$B$5:$U$11</definedName>
    <definedName name="animalha">INPUTS!$C$205</definedName>
    <definedName name="Brach">INPUTS!$C$209</definedName>
    <definedName name="Cowimpr">INPUTS!$C$217</definedName>
    <definedName name="Cowloc">INPUTS!$C$216</definedName>
    <definedName name="crop_parameters" localSheetId="11">'[1]Crop parameters'!$A$3:$Q$27</definedName>
    <definedName name="crop_parameters">'Crop parameters'!$A$3:$Q$28</definedName>
    <definedName name="Cstockch">INPUTS!$C$200</definedName>
    <definedName name="erosion">INPUTS!$C$190</definedName>
    <definedName name="erosion__t_yr">INPUTS!$C$190</definedName>
    <definedName name="Feed" localSheetId="11">'Feed parameters'!$A$2:$I$113</definedName>
    <definedName name="Feed">'Feed parameters'!$A$2:$I$53</definedName>
    <definedName name="feedlist" localSheetId="11">'Feed parameters'!$A$3:$A$113</definedName>
    <definedName name="feedlist">'Feed parameters'!$A$3:$A$53</definedName>
    <definedName name="feedparameters_tbl" localSheetId="11">'Feed parameters'!$A$2:$I$113</definedName>
    <definedName name="feedparameters_tbl">'Feed parameters'!$A$2:$I$53</definedName>
    <definedName name="GHGha">INPUTS!$C$199</definedName>
    <definedName name="GHGmeat">INPUTS!$C$197</definedName>
    <definedName name="GHGmilk">INPUTS!$C$196</definedName>
    <definedName name="GHGprotein">INPUTS!$C$198</definedName>
    <definedName name="GHGtot">INPUTS!$C$195</definedName>
    <definedName name="Glir">INPUTS!$C$215</definedName>
    <definedName name="Hyp">INPUTS!$C$210</definedName>
    <definedName name="Land_cover_erosion" localSheetId="11">'[1]Soil erosion parameters'!$B$23:$B$36</definedName>
    <definedName name="Land_cover_erosion">'Soil erosion parameters'!$B$23:$B$36</definedName>
    <definedName name="land_req">INPUTS!$C$191</definedName>
    <definedName name="Landarea">[2]Input!$D$30</definedName>
    <definedName name="Landuse_System_RUSLE">'Soil erosion parameters'!$B$39:$B$41</definedName>
    <definedName name="Maize">INPUTS!$C$211</definedName>
    <definedName name="meat">INPUTS!$C$193</definedName>
    <definedName name="milk">INPUTS!$C$192</definedName>
    <definedName name="milkha">INPUTS!#REF!</definedName>
    <definedName name="MMS">'Crop parameters'!$A$53:$A$55</definedName>
    <definedName name="molasses">INPUTS!$C$214</definedName>
    <definedName name="Nbal">INPUTS!$C$187</definedName>
    <definedName name="Nbalha">INPUTS!$C$187</definedName>
    <definedName name="Nbaltot">INPUTS!$C$186</definedName>
    <definedName name="OrganicAmendment">'GHG Rice'!$A$42:$A$47</definedName>
    <definedName name="Penn">INPUTS!$C$212</definedName>
    <definedName name="_xlnm.Print_Area" localSheetId="13">'GHG Parameters'!#REF!</definedName>
    <definedName name="protein">INPUTS!$C$194</definedName>
    <definedName name="RiceEcosystem">'GHG Rice'!$A$53:$A$60</definedName>
    <definedName name="Slope" localSheetId="11">'[1]Soil erosion parameters'!$F$3:$F$7</definedName>
    <definedName name="Slope">'Soil erosion parameters'!$F$3:$F$7</definedName>
    <definedName name="Slope_adj">'Soil erosion parameters'!$F$3:$F$6</definedName>
    <definedName name="Slope_erosion">'Soil erosion parameters'!$C$3:$C$9</definedName>
    <definedName name="Slope_length" localSheetId="11">'[1]Soil erosion parameters'!$C$44:$H$44</definedName>
    <definedName name="Slope_length">'Soil erosion parameters'!$C$44:$H$44</definedName>
    <definedName name="Soil_class" localSheetId="11">'[1]Soil erosion parameters'!$B$13:$B$20</definedName>
    <definedName name="Soil_class">'Soil erosion parameters'!$B$13:$B$20</definedName>
    <definedName name="soil_leaching">INPUTS!$C$189</definedName>
    <definedName name="soil_mining">INPUTS!$C$188</definedName>
    <definedName name="soilleach">INPUTS!$B$189</definedName>
    <definedName name="soilmining">INPUTS!$B$188</definedName>
    <definedName name="Sorghum">INPUTS!$C$213</definedName>
    <definedName name="USDbalha">INPUTS!#REF!</definedName>
    <definedName name="USDcostha">INPUTS!#REF!</definedName>
    <definedName name="USDvalha">INPUTS!#REF!</definedName>
    <definedName name="wateregime">'GHG Rice'!$A$65:$A$68</definedName>
    <definedName name="waterha">INPUTS!$C$204</definedName>
    <definedName name="watermeat">INPUTS!$C$202</definedName>
    <definedName name="watermilk">INPUTS!$C$201</definedName>
    <definedName name="waterprotein">INPUTS!$C$203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2" i="24" l="1"/>
  <c r="H22" i="24"/>
  <c r="G16" i="9" l="1"/>
  <c r="G15" i="9"/>
  <c r="G14" i="9"/>
  <c r="G13" i="9"/>
  <c r="G12" i="9"/>
  <c r="G11" i="9"/>
  <c r="G10" i="9"/>
  <c r="A10" i="9"/>
  <c r="A11" i="9"/>
  <c r="A12" i="9"/>
  <c r="A13" i="9"/>
  <c r="A14" i="9"/>
  <c r="A15" i="9"/>
  <c r="A16" i="9"/>
  <c r="F26" i="18" l="1"/>
  <c r="F24" i="18"/>
  <c r="F25" i="18"/>
  <c r="C14" i="1" l="1"/>
  <c r="C15" i="1" s="1"/>
  <c r="D14" i="1"/>
  <c r="G3" i="30" s="1"/>
  <c r="C16" i="1" l="1"/>
  <c r="D15" i="1"/>
  <c r="P3" i="30" s="1"/>
  <c r="A11" i="24"/>
  <c r="D16" i="1" l="1"/>
  <c r="N26" i="24"/>
  <c r="H26" i="24"/>
  <c r="G26" i="24"/>
  <c r="V21" i="24" l="1"/>
  <c r="N21" i="24"/>
  <c r="H21" i="24" l="1"/>
  <c r="A190" i="3" l="1"/>
  <c r="A189" i="3"/>
  <c r="A188" i="3"/>
  <c r="A187" i="3"/>
  <c r="A186" i="3"/>
  <c r="A185" i="3"/>
  <c r="A184" i="3"/>
  <c r="A183" i="3"/>
  <c r="A182" i="3"/>
  <c r="A181" i="3"/>
  <c r="A180" i="3"/>
  <c r="A179" i="3"/>
  <c r="A178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K143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71" i="3"/>
  <c r="D71" i="3" s="1"/>
  <c r="B70" i="3"/>
  <c r="D70" i="3" s="1"/>
  <c r="B69" i="3"/>
  <c r="D69" i="3" s="1"/>
  <c r="B68" i="3"/>
  <c r="D68" i="3" s="1"/>
  <c r="B67" i="3"/>
  <c r="D67" i="3" s="1"/>
  <c r="B66" i="3"/>
  <c r="D66" i="3" s="1"/>
  <c r="B65" i="3"/>
  <c r="D65" i="3" s="1"/>
  <c r="B64" i="3"/>
  <c r="D64" i="3" s="1"/>
  <c r="B63" i="3"/>
  <c r="D63" i="3" s="1"/>
  <c r="B62" i="3"/>
  <c r="D62" i="3" s="1"/>
  <c r="B61" i="3"/>
  <c r="D61" i="3" s="1"/>
  <c r="B60" i="3"/>
  <c r="D60" i="3" s="1"/>
  <c r="B59" i="3"/>
  <c r="D59" i="3" s="1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C22" i="3"/>
  <c r="C21" i="3"/>
  <c r="C20" i="3"/>
  <c r="C19" i="3"/>
  <c r="C18" i="3"/>
  <c r="B22" i="3"/>
  <c r="D22" i="3" s="1"/>
  <c r="B21" i="3"/>
  <c r="D21" i="3" s="1"/>
  <c r="B20" i="3"/>
  <c r="D20" i="3" s="1"/>
  <c r="B19" i="3"/>
  <c r="D19" i="3" s="1"/>
  <c r="B18" i="3"/>
  <c r="D18" i="3" s="1"/>
  <c r="B98" i="30" l="1"/>
  <c r="B91" i="30"/>
  <c r="B84" i="30"/>
  <c r="B77" i="30"/>
  <c r="B70" i="30"/>
  <c r="P59" i="1"/>
  <c r="O59" i="1"/>
  <c r="N59" i="1"/>
  <c r="M59" i="1"/>
  <c r="L59" i="1"/>
  <c r="D44" i="2" l="1"/>
  <c r="D43" i="2"/>
  <c r="D42" i="2"/>
  <c r="D41" i="2"/>
  <c r="D40" i="2"/>
  <c r="D39" i="2"/>
  <c r="C21" i="2" l="1"/>
  <c r="C20" i="2"/>
  <c r="C19" i="2"/>
  <c r="C18" i="2"/>
  <c r="C17" i="2"/>
  <c r="C16" i="2"/>
  <c r="C15" i="2"/>
  <c r="C14" i="2"/>
  <c r="C13" i="2"/>
  <c r="C12" i="2"/>
  <c r="C11" i="2"/>
  <c r="C10" i="2"/>
  <c r="C9" i="2"/>
  <c r="K16" i="27" l="1"/>
  <c r="C16" i="27"/>
  <c r="B16" i="27"/>
  <c r="A16" i="27"/>
  <c r="K15" i="27"/>
  <c r="C15" i="27"/>
  <c r="B15" i="27"/>
  <c r="A15" i="27"/>
  <c r="K14" i="27"/>
  <c r="C14" i="27"/>
  <c r="B14" i="27"/>
  <c r="A14" i="27"/>
  <c r="K13" i="27"/>
  <c r="C13" i="27"/>
  <c r="B13" i="27"/>
  <c r="A13" i="27"/>
  <c r="K12" i="27"/>
  <c r="C12" i="27"/>
  <c r="B12" i="27"/>
  <c r="A12" i="27"/>
  <c r="K11" i="27"/>
  <c r="C11" i="27"/>
  <c r="B11" i="27"/>
  <c r="A11" i="27"/>
  <c r="B10" i="27"/>
  <c r="G11" i="27" l="1"/>
  <c r="G12" i="27"/>
  <c r="G13" i="27"/>
  <c r="G15" i="27"/>
  <c r="G16" i="27"/>
  <c r="G14" i="27"/>
  <c r="M174" i="30"/>
  <c r="L174" i="30"/>
  <c r="K174" i="30"/>
  <c r="J174" i="30"/>
  <c r="I174" i="30"/>
  <c r="H174" i="30"/>
  <c r="G174" i="30"/>
  <c r="F174" i="30"/>
  <c r="M173" i="30"/>
  <c r="L173" i="30"/>
  <c r="K173" i="30"/>
  <c r="J173" i="30"/>
  <c r="I173" i="30"/>
  <c r="H173" i="30"/>
  <c r="G173" i="30"/>
  <c r="F173" i="30"/>
  <c r="M172" i="30"/>
  <c r="L172" i="30"/>
  <c r="K172" i="30"/>
  <c r="J172" i="30"/>
  <c r="I172" i="30"/>
  <c r="H172" i="30"/>
  <c r="G172" i="30"/>
  <c r="F172" i="30"/>
  <c r="M171" i="30"/>
  <c r="L171" i="30"/>
  <c r="K171" i="30"/>
  <c r="J171" i="30"/>
  <c r="I171" i="30"/>
  <c r="H171" i="30"/>
  <c r="G171" i="30"/>
  <c r="F171" i="30"/>
  <c r="M170" i="30"/>
  <c r="L170" i="30"/>
  <c r="K170" i="30"/>
  <c r="J170" i="30"/>
  <c r="I170" i="30"/>
  <c r="H170" i="30"/>
  <c r="G170" i="30"/>
  <c r="F170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39" i="30" l="1"/>
  <c r="A121" i="30" s="1"/>
  <c r="A138" i="30"/>
  <c r="A120" i="30" s="1"/>
  <c r="A137" i="30"/>
  <c r="A119" i="30" s="1"/>
  <c r="A136" i="30"/>
  <c r="A118" i="30" s="1"/>
  <c r="A135" i="30"/>
  <c r="A15" i="24"/>
  <c r="A14" i="24"/>
  <c r="A13" i="24"/>
  <c r="A12" i="24"/>
  <c r="AC14" i="24" l="1"/>
  <c r="U14" i="24"/>
  <c r="M14" i="24"/>
  <c r="G120" i="30" s="1"/>
  <c r="E14" i="24"/>
  <c r="AJ14" i="24"/>
  <c r="AB14" i="24"/>
  <c r="H15" i="27" s="1"/>
  <c r="T14" i="24"/>
  <c r="L14" i="24"/>
  <c r="F120" i="30" s="1"/>
  <c r="D14" i="24"/>
  <c r="AI14" i="24"/>
  <c r="AA14" i="24"/>
  <c r="S14" i="24"/>
  <c r="M120" i="30" s="1"/>
  <c r="K14" i="24"/>
  <c r="C14" i="24"/>
  <c r="AH14" i="24"/>
  <c r="Z14" i="24"/>
  <c r="R14" i="24"/>
  <c r="L120" i="30" s="1"/>
  <c r="J14" i="24"/>
  <c r="B14" i="24"/>
  <c r="AG14" i="24"/>
  <c r="Y14" i="24"/>
  <c r="Q14" i="24"/>
  <c r="I14" i="24"/>
  <c r="F14" i="24"/>
  <c r="AF14" i="24"/>
  <c r="X14" i="24"/>
  <c r="P14" i="24"/>
  <c r="H14" i="24"/>
  <c r="B120" i="30" s="1"/>
  <c r="AE14" i="24"/>
  <c r="W14" i="24"/>
  <c r="O14" i="24"/>
  <c r="G14" i="24"/>
  <c r="AD14" i="24"/>
  <c r="V14" i="24"/>
  <c r="E15" i="27" s="1"/>
  <c r="N14" i="24"/>
  <c r="H120" i="30" s="1"/>
  <c r="AH15" i="24"/>
  <c r="Z15" i="24"/>
  <c r="R15" i="24"/>
  <c r="L121" i="30" s="1"/>
  <c r="J15" i="24"/>
  <c r="B15" i="24"/>
  <c r="AG15" i="24"/>
  <c r="Y15" i="24"/>
  <c r="Q15" i="24"/>
  <c r="I15" i="24"/>
  <c r="AF15" i="24"/>
  <c r="X15" i="24"/>
  <c r="P15" i="24"/>
  <c r="H15" i="24"/>
  <c r="B121" i="30" s="1"/>
  <c r="AA15" i="24"/>
  <c r="AE15" i="24"/>
  <c r="W15" i="24"/>
  <c r="O15" i="24"/>
  <c r="G15" i="24"/>
  <c r="AD15" i="24"/>
  <c r="V15" i="24"/>
  <c r="E16" i="27" s="1"/>
  <c r="N15" i="24"/>
  <c r="H121" i="30" s="1"/>
  <c r="F15" i="24"/>
  <c r="AC15" i="24"/>
  <c r="U15" i="24"/>
  <c r="M15" i="24"/>
  <c r="G121" i="30" s="1"/>
  <c r="E15" i="24"/>
  <c r="K15" i="24"/>
  <c r="AJ15" i="24"/>
  <c r="AB15" i="24"/>
  <c r="H16" i="27" s="1"/>
  <c r="T15" i="24"/>
  <c r="L15" i="24"/>
  <c r="F121" i="30" s="1"/>
  <c r="D15" i="24"/>
  <c r="AI15" i="24"/>
  <c r="S15" i="24"/>
  <c r="M121" i="30" s="1"/>
  <c r="C15" i="24"/>
  <c r="AD11" i="24"/>
  <c r="V11" i="24"/>
  <c r="E12" i="27" s="1"/>
  <c r="N11" i="24"/>
  <c r="H117" i="30" s="1"/>
  <c r="F11" i="24"/>
  <c r="AJ11" i="24"/>
  <c r="AB11" i="24"/>
  <c r="H12" i="27" s="1"/>
  <c r="T11" i="24"/>
  <c r="L11" i="24"/>
  <c r="F117" i="30" s="1"/>
  <c r="D11" i="24"/>
  <c r="O11" i="24"/>
  <c r="AI11" i="24"/>
  <c r="AA11" i="24"/>
  <c r="S11" i="24"/>
  <c r="M117" i="30" s="1"/>
  <c r="K11" i="24"/>
  <c r="C11" i="24"/>
  <c r="AH11" i="24"/>
  <c r="Z11" i="24"/>
  <c r="R11" i="24"/>
  <c r="L117" i="30" s="1"/>
  <c r="J11" i="24"/>
  <c r="B11" i="24"/>
  <c r="AG11" i="24"/>
  <c r="Y11" i="24"/>
  <c r="Q11" i="24"/>
  <c r="I11" i="24"/>
  <c r="G11" i="24"/>
  <c r="AF11" i="24"/>
  <c r="X11" i="24"/>
  <c r="P11" i="24"/>
  <c r="H11" i="24"/>
  <c r="B117" i="30" s="1"/>
  <c r="AE11" i="24"/>
  <c r="W11" i="24"/>
  <c r="E11" i="24"/>
  <c r="AC11" i="24"/>
  <c r="U11" i="24"/>
  <c r="M11" i="24"/>
  <c r="G117" i="30" s="1"/>
  <c r="AI12" i="24"/>
  <c r="AA12" i="24"/>
  <c r="S12" i="24"/>
  <c r="M118" i="30" s="1"/>
  <c r="K12" i="24"/>
  <c r="C12" i="24"/>
  <c r="AG12" i="24"/>
  <c r="Y12" i="24"/>
  <c r="Q12" i="24"/>
  <c r="I12" i="24"/>
  <c r="AB12" i="24"/>
  <c r="H13" i="27" s="1"/>
  <c r="AF12" i="24"/>
  <c r="X12" i="24"/>
  <c r="P12" i="24"/>
  <c r="H12" i="24"/>
  <c r="B118" i="30" s="1"/>
  <c r="AE12" i="24"/>
  <c r="W12" i="24"/>
  <c r="O12" i="24"/>
  <c r="G12" i="24"/>
  <c r="AD12" i="24"/>
  <c r="V12" i="24"/>
  <c r="E13" i="27" s="1"/>
  <c r="N12" i="24"/>
  <c r="H118" i="30" s="1"/>
  <c r="F12" i="24"/>
  <c r="AC12" i="24"/>
  <c r="U12" i="24"/>
  <c r="M12" i="24"/>
  <c r="G118" i="30" s="1"/>
  <c r="E12" i="24"/>
  <c r="AJ12" i="24"/>
  <c r="T12" i="24"/>
  <c r="L12" i="24"/>
  <c r="F118" i="30" s="1"/>
  <c r="D12" i="24"/>
  <c r="AH12" i="24"/>
  <c r="Z12" i="24"/>
  <c r="R12" i="24"/>
  <c r="L118" i="30" s="1"/>
  <c r="B12" i="24"/>
  <c r="J12" i="24"/>
  <c r="AF13" i="24"/>
  <c r="X13" i="24"/>
  <c r="P13" i="24"/>
  <c r="H13" i="24"/>
  <c r="B119" i="30" s="1"/>
  <c r="AE13" i="24"/>
  <c r="W13" i="24"/>
  <c r="AD13" i="24"/>
  <c r="V13" i="24"/>
  <c r="E14" i="27" s="1"/>
  <c r="N13" i="24"/>
  <c r="H119" i="30" s="1"/>
  <c r="F13" i="24"/>
  <c r="AC13" i="24"/>
  <c r="U13" i="24"/>
  <c r="M13" i="24"/>
  <c r="G119" i="30" s="1"/>
  <c r="E13" i="24"/>
  <c r="Q13" i="24"/>
  <c r="AJ13" i="24"/>
  <c r="AB13" i="24"/>
  <c r="H14" i="27" s="1"/>
  <c r="T13" i="24"/>
  <c r="L13" i="24"/>
  <c r="F119" i="30" s="1"/>
  <c r="D13" i="24"/>
  <c r="AI13" i="24"/>
  <c r="AA13" i="24"/>
  <c r="S13" i="24"/>
  <c r="M119" i="30" s="1"/>
  <c r="K13" i="24"/>
  <c r="C13" i="24"/>
  <c r="AH13" i="24"/>
  <c r="Z13" i="24"/>
  <c r="R13" i="24"/>
  <c r="L119" i="30" s="1"/>
  <c r="J13" i="24"/>
  <c r="B13" i="24"/>
  <c r="AG13" i="24"/>
  <c r="Y13" i="24"/>
  <c r="I13" i="24"/>
  <c r="O13" i="24"/>
  <c r="G13" i="24"/>
  <c r="B19" i="2"/>
  <c r="D19" i="2" s="1"/>
  <c r="B20" i="2"/>
  <c r="D20" i="2" s="1"/>
  <c r="B17" i="2"/>
  <c r="D17" i="2" s="1"/>
  <c r="B18" i="2"/>
  <c r="D18" i="2" s="1"/>
  <c r="B21" i="2"/>
  <c r="D21" i="2" s="1"/>
  <c r="A117" i="30"/>
  <c r="L13" i="27" l="1"/>
  <c r="M13" i="27" s="1"/>
  <c r="J14" i="27"/>
  <c r="I14" i="27"/>
  <c r="J16" i="27"/>
  <c r="I16" i="27"/>
  <c r="C71" i="3"/>
  <c r="D16" i="27"/>
  <c r="C68" i="3"/>
  <c r="D13" i="27"/>
  <c r="J13" i="27"/>
  <c r="I13" i="27"/>
  <c r="C70" i="3"/>
  <c r="D15" i="27"/>
  <c r="C69" i="3"/>
  <c r="D14" i="27"/>
  <c r="L14" i="27"/>
  <c r="L16" i="27"/>
  <c r="L15" i="27"/>
  <c r="J15" i="27"/>
  <c r="I15" i="27"/>
  <c r="L12" i="27"/>
  <c r="I12" i="27"/>
  <c r="J12" i="27"/>
  <c r="I117" i="30"/>
  <c r="C67" i="3"/>
  <c r="D12" i="27"/>
  <c r="E120" i="30"/>
  <c r="E117" i="30"/>
  <c r="K121" i="30"/>
  <c r="C119" i="30"/>
  <c r="E21" i="2"/>
  <c r="E18" i="2"/>
  <c r="E20" i="2"/>
  <c r="E17" i="2"/>
  <c r="E19" i="2"/>
  <c r="C121" i="30"/>
  <c r="J120" i="30"/>
  <c r="K119" i="30"/>
  <c r="I119" i="30"/>
  <c r="E119" i="30"/>
  <c r="J118" i="30"/>
  <c r="C120" i="30"/>
  <c r="I120" i="30"/>
  <c r="K117" i="30"/>
  <c r="J121" i="30"/>
  <c r="E121" i="30"/>
  <c r="K120" i="30"/>
  <c r="E118" i="30"/>
  <c r="I118" i="30"/>
  <c r="K118" i="30"/>
  <c r="I121" i="30"/>
  <c r="J117" i="30"/>
  <c r="J119" i="30"/>
  <c r="C118" i="30"/>
  <c r="D119" i="30"/>
  <c r="D121" i="30"/>
  <c r="D120" i="30"/>
  <c r="D118" i="30"/>
  <c r="D117" i="30"/>
  <c r="A10" i="24"/>
  <c r="A9" i="24"/>
  <c r="C135" i="30" l="1"/>
  <c r="N13" i="27"/>
  <c r="N14" i="27"/>
  <c r="M14" i="27"/>
  <c r="N16" i="27"/>
  <c r="M16" i="27"/>
  <c r="N15" i="27"/>
  <c r="M15" i="27"/>
  <c r="M12" i="27"/>
  <c r="N12" i="27"/>
  <c r="B137" i="30"/>
  <c r="C138" i="30"/>
  <c r="AG10" i="24"/>
  <c r="Y10" i="24"/>
  <c r="I10" i="24"/>
  <c r="AE10" i="24"/>
  <c r="W10" i="24"/>
  <c r="O10" i="24"/>
  <c r="Z10" i="24"/>
  <c r="AD10" i="24"/>
  <c r="V10" i="24"/>
  <c r="E11" i="27" s="1"/>
  <c r="F10" i="24"/>
  <c r="AC10" i="24"/>
  <c r="U10" i="24"/>
  <c r="M10" i="24"/>
  <c r="G116" i="30" s="1"/>
  <c r="E10" i="24"/>
  <c r="R10" i="24"/>
  <c r="L116" i="30" s="1"/>
  <c r="AJ10" i="24"/>
  <c r="AB10" i="24"/>
  <c r="H11" i="27" s="1"/>
  <c r="T10" i="24"/>
  <c r="L10" i="24"/>
  <c r="F116" i="30" s="1"/>
  <c r="D10" i="24"/>
  <c r="AI10" i="24"/>
  <c r="AA10" i="24"/>
  <c r="S10" i="24"/>
  <c r="M116" i="30" s="1"/>
  <c r="C10" i="24"/>
  <c r="AH10" i="24"/>
  <c r="B10" i="24"/>
  <c r="AF10" i="24"/>
  <c r="X10" i="24"/>
  <c r="AJ9" i="24"/>
  <c r="AB9" i="24"/>
  <c r="T9" i="24"/>
  <c r="L9" i="24"/>
  <c r="F115" i="30" s="1"/>
  <c r="D9" i="24"/>
  <c r="AH9" i="24"/>
  <c r="Z9" i="24"/>
  <c r="R9" i="24"/>
  <c r="L115" i="30" s="1"/>
  <c r="J9" i="24"/>
  <c r="B9" i="24"/>
  <c r="AC9" i="24"/>
  <c r="AG9" i="24"/>
  <c r="Y9" i="24"/>
  <c r="Q9" i="24"/>
  <c r="I9" i="24"/>
  <c r="AF9" i="24"/>
  <c r="X9" i="24"/>
  <c r="P9" i="24"/>
  <c r="E9" i="24"/>
  <c r="AE9" i="24"/>
  <c r="W9" i="24"/>
  <c r="O9" i="24"/>
  <c r="M9" i="24"/>
  <c r="G115" i="30" s="1"/>
  <c r="AD9" i="24"/>
  <c r="V9" i="24"/>
  <c r="E10" i="27" s="1"/>
  <c r="F9" i="24"/>
  <c r="U9" i="24"/>
  <c r="K9" i="24"/>
  <c r="AI9" i="24"/>
  <c r="C9" i="24"/>
  <c r="AA9" i="24"/>
  <c r="S9" i="24"/>
  <c r="M115" i="30" s="1"/>
  <c r="C136" i="30"/>
  <c r="C139" i="30"/>
  <c r="B139" i="30"/>
  <c r="B138" i="30"/>
  <c r="C137" i="30"/>
  <c r="B136" i="30"/>
  <c r="B15" i="2"/>
  <c r="D15" i="2" s="1"/>
  <c r="B16" i="2"/>
  <c r="D16" i="2" s="1"/>
  <c r="A8" i="24"/>
  <c r="A7" i="24"/>
  <c r="A6" i="24"/>
  <c r="A5" i="24"/>
  <c r="A4" i="24"/>
  <c r="A3" i="24"/>
  <c r="A2" i="24"/>
  <c r="L11" i="27" l="1"/>
  <c r="N11" i="27" s="1"/>
  <c r="L10" i="27"/>
  <c r="M10" i="27" s="1"/>
  <c r="J11" i="27"/>
  <c r="I11" i="27"/>
  <c r="M11" i="27"/>
  <c r="C66" i="3"/>
  <c r="D11" i="27"/>
  <c r="C65" i="3"/>
  <c r="D10" i="27"/>
  <c r="AC6" i="24"/>
  <c r="U6" i="24"/>
  <c r="M6" i="24"/>
  <c r="G112" i="30" s="1"/>
  <c r="E6" i="24"/>
  <c r="AI6" i="24"/>
  <c r="AA6" i="24"/>
  <c r="S6" i="24"/>
  <c r="M112" i="30" s="1"/>
  <c r="C6" i="24"/>
  <c r="AH6" i="24"/>
  <c r="Z6" i="24"/>
  <c r="R6" i="24"/>
  <c r="L112" i="30" s="1"/>
  <c r="B6" i="24"/>
  <c r="AG6" i="24"/>
  <c r="Y6" i="24"/>
  <c r="I6" i="24"/>
  <c r="AF6" i="24"/>
  <c r="X6" i="24"/>
  <c r="AE6" i="24"/>
  <c r="W6" i="24"/>
  <c r="O6" i="24"/>
  <c r="AJ6" i="24"/>
  <c r="D6" i="24"/>
  <c r="T6" i="24"/>
  <c r="AD6" i="24"/>
  <c r="AB6" i="24"/>
  <c r="V6" i="24"/>
  <c r="E7" i="27" s="1"/>
  <c r="L6" i="24"/>
  <c r="F112" i="30" s="1"/>
  <c r="F6" i="24"/>
  <c r="AH7" i="24"/>
  <c r="Z7" i="24"/>
  <c r="R7" i="24"/>
  <c r="L113" i="30" s="1"/>
  <c r="B7" i="24"/>
  <c r="AF7" i="24"/>
  <c r="X7" i="24"/>
  <c r="AE7" i="24"/>
  <c r="W7" i="24"/>
  <c r="O7" i="24"/>
  <c r="AD7" i="24"/>
  <c r="V7" i="24"/>
  <c r="E8" i="27" s="1"/>
  <c r="F7" i="24"/>
  <c r="AC7" i="24"/>
  <c r="U7" i="24"/>
  <c r="M7" i="24"/>
  <c r="G113" i="30" s="1"/>
  <c r="E7" i="24"/>
  <c r="AJ7" i="24"/>
  <c r="AB7" i="24"/>
  <c r="T7" i="24"/>
  <c r="L7" i="24"/>
  <c r="F113" i="30" s="1"/>
  <c r="D7" i="24"/>
  <c r="AG7" i="24"/>
  <c r="AA7" i="24"/>
  <c r="Y7" i="24"/>
  <c r="S7" i="24"/>
  <c r="M113" i="30" s="1"/>
  <c r="I7" i="24"/>
  <c r="AI7" i="24"/>
  <c r="C7" i="24"/>
  <c r="AF5" i="24"/>
  <c r="X5" i="24"/>
  <c r="P5" i="24"/>
  <c r="AD5" i="24"/>
  <c r="V5" i="24"/>
  <c r="E6" i="27" s="1"/>
  <c r="F5" i="24"/>
  <c r="AC5" i="24"/>
  <c r="U5" i="24"/>
  <c r="M5" i="24"/>
  <c r="G111" i="30" s="1"/>
  <c r="E5" i="24"/>
  <c r="AJ5" i="24"/>
  <c r="AB5" i="24"/>
  <c r="T5" i="24"/>
  <c r="L5" i="24"/>
  <c r="F111" i="30" s="1"/>
  <c r="D5" i="24"/>
  <c r="AI5" i="24"/>
  <c r="AA5" i="24"/>
  <c r="S5" i="24"/>
  <c r="M111" i="30" s="1"/>
  <c r="K5" i="24"/>
  <c r="C5" i="24"/>
  <c r="AH5" i="24"/>
  <c r="Z5" i="24"/>
  <c r="R5" i="24"/>
  <c r="L111" i="30" s="1"/>
  <c r="J5" i="24"/>
  <c r="B5" i="24"/>
  <c r="AG5" i="24"/>
  <c r="AE5" i="24"/>
  <c r="W5" i="24"/>
  <c r="Q5" i="24"/>
  <c r="K111" i="30" s="1"/>
  <c r="Y5" i="24"/>
  <c r="O5" i="24"/>
  <c r="I5" i="24"/>
  <c r="AE8" i="24"/>
  <c r="W8" i="24"/>
  <c r="O8" i="24"/>
  <c r="G8" i="24"/>
  <c r="AC8" i="24"/>
  <c r="U8" i="24"/>
  <c r="M8" i="24"/>
  <c r="G114" i="30" s="1"/>
  <c r="E8" i="24"/>
  <c r="X8" i="24"/>
  <c r="AJ8" i="24"/>
  <c r="AB8" i="24"/>
  <c r="T8" i="24"/>
  <c r="L8" i="24"/>
  <c r="F114" i="30" s="1"/>
  <c r="D8" i="24"/>
  <c r="AI8" i="24"/>
  <c r="AA8" i="24"/>
  <c r="S8" i="24"/>
  <c r="M114" i="30" s="1"/>
  <c r="C8" i="24"/>
  <c r="AH8" i="24"/>
  <c r="Z8" i="24"/>
  <c r="R8" i="24"/>
  <c r="L114" i="30" s="1"/>
  <c r="J8" i="24"/>
  <c r="B8" i="24"/>
  <c r="AG8" i="24"/>
  <c r="Y8" i="24"/>
  <c r="I8" i="24"/>
  <c r="AF8" i="24"/>
  <c r="AD8" i="24"/>
  <c r="V8" i="24"/>
  <c r="E9" i="27" s="1"/>
  <c r="F8" i="24"/>
  <c r="E16" i="2"/>
  <c r="E15" i="2"/>
  <c r="AG2" i="24"/>
  <c r="Y2" i="24"/>
  <c r="Q2" i="24"/>
  <c r="I2" i="24"/>
  <c r="AE2" i="24"/>
  <c r="W2" i="24"/>
  <c r="O2" i="24"/>
  <c r="L2" i="24"/>
  <c r="F108" i="30" s="1"/>
  <c r="D2" i="24"/>
  <c r="AD2" i="24"/>
  <c r="F2" i="24"/>
  <c r="AB2" i="24"/>
  <c r="AC2" i="24"/>
  <c r="U2" i="24"/>
  <c r="M2" i="24"/>
  <c r="G108" i="30" s="1"/>
  <c r="E2" i="24"/>
  <c r="AJ2" i="24"/>
  <c r="T2" i="24"/>
  <c r="AI2" i="24"/>
  <c r="AA2" i="24"/>
  <c r="S2" i="24"/>
  <c r="M108" i="30" s="1"/>
  <c r="K2" i="24"/>
  <c r="C2" i="24"/>
  <c r="P2" i="24"/>
  <c r="J2" i="24"/>
  <c r="AF2" i="24"/>
  <c r="Z2" i="24"/>
  <c r="R2" i="24"/>
  <c r="L108" i="30" s="1"/>
  <c r="AH2" i="24"/>
  <c r="B2" i="24"/>
  <c r="X2" i="24"/>
  <c r="B8" i="2"/>
  <c r="D8" i="2" s="1"/>
  <c r="AD3" i="24"/>
  <c r="V3" i="24"/>
  <c r="E4" i="27" s="1"/>
  <c r="F3" i="24"/>
  <c r="AJ3" i="24"/>
  <c r="AB3" i="24"/>
  <c r="T3" i="24"/>
  <c r="L3" i="24"/>
  <c r="F109" i="30" s="1"/>
  <c r="D3" i="24"/>
  <c r="Q3" i="24"/>
  <c r="AI3" i="24"/>
  <c r="AA3" i="24"/>
  <c r="S3" i="24"/>
  <c r="M109" i="30" s="1"/>
  <c r="K3" i="24"/>
  <c r="C3" i="24"/>
  <c r="AH3" i="24"/>
  <c r="Z3" i="24"/>
  <c r="R3" i="24"/>
  <c r="L109" i="30" s="1"/>
  <c r="J3" i="24"/>
  <c r="B3" i="24"/>
  <c r="AG3" i="24"/>
  <c r="Y3" i="24"/>
  <c r="I3" i="24"/>
  <c r="AF3" i="24"/>
  <c r="X3" i="24"/>
  <c r="P3" i="24"/>
  <c r="M3" i="24"/>
  <c r="G109" i="30" s="1"/>
  <c r="W3" i="24"/>
  <c r="E3" i="24"/>
  <c r="AE3" i="24"/>
  <c r="AC3" i="24"/>
  <c r="U3" i="24"/>
  <c r="O3" i="24"/>
  <c r="AI4" i="24"/>
  <c r="AA4" i="24"/>
  <c r="S4" i="24"/>
  <c r="M110" i="30" s="1"/>
  <c r="K4" i="24"/>
  <c r="C4" i="24"/>
  <c r="AG4" i="24"/>
  <c r="Y4" i="24"/>
  <c r="Q4" i="24"/>
  <c r="I4" i="24"/>
  <c r="AF4" i="24"/>
  <c r="X4" i="24"/>
  <c r="P4" i="24"/>
  <c r="AE4" i="24"/>
  <c r="W4" i="24"/>
  <c r="O4" i="24"/>
  <c r="AD4" i="24"/>
  <c r="V4" i="24"/>
  <c r="E5" i="27" s="1"/>
  <c r="F4" i="24"/>
  <c r="AC4" i="24"/>
  <c r="U4" i="24"/>
  <c r="M4" i="24"/>
  <c r="G110" i="30" s="1"/>
  <c r="E4" i="24"/>
  <c r="J4" i="24"/>
  <c r="Z4" i="24"/>
  <c r="AJ4" i="24"/>
  <c r="D4" i="24"/>
  <c r="AH4" i="24"/>
  <c r="B4" i="24"/>
  <c r="AB4" i="24"/>
  <c r="T4" i="24"/>
  <c r="R4" i="24"/>
  <c r="L110" i="30" s="1"/>
  <c r="L4" i="24"/>
  <c r="F110" i="30" s="1"/>
  <c r="B10" i="2"/>
  <c r="D10" i="2" s="1"/>
  <c r="B11" i="2"/>
  <c r="D11" i="2" s="1"/>
  <c r="B12" i="2"/>
  <c r="D12" i="2" s="1"/>
  <c r="K115" i="30"/>
  <c r="B14" i="2"/>
  <c r="D14" i="2" s="1"/>
  <c r="E115" i="30"/>
  <c r="B9" i="2"/>
  <c r="D9" i="2" s="1"/>
  <c r="B13" i="2"/>
  <c r="D13" i="2" s="1"/>
  <c r="J115" i="30"/>
  <c r="D115" i="30"/>
  <c r="N10" i="27" l="1"/>
  <c r="L7" i="27"/>
  <c r="M7" i="27" s="1"/>
  <c r="C63" i="3"/>
  <c r="L6" i="27"/>
  <c r="N6" i="27" s="1"/>
  <c r="L4" i="27"/>
  <c r="M4" i="27" s="1"/>
  <c r="C58" i="3"/>
  <c r="C62" i="3"/>
  <c r="C60" i="3"/>
  <c r="L8" i="27"/>
  <c r="N7" i="27"/>
  <c r="L9" i="27"/>
  <c r="C61" i="3"/>
  <c r="L5" i="27"/>
  <c r="C59" i="3"/>
  <c r="L3" i="27"/>
  <c r="C64" i="3"/>
  <c r="J110" i="30"/>
  <c r="K109" i="30"/>
  <c r="E14" i="2"/>
  <c r="E12" i="2"/>
  <c r="E10" i="2"/>
  <c r="E11" i="2"/>
  <c r="E9" i="2"/>
  <c r="E13" i="2"/>
  <c r="E111" i="30"/>
  <c r="E109" i="30"/>
  <c r="E110" i="30"/>
  <c r="J111" i="30"/>
  <c r="K110" i="30"/>
  <c r="J109" i="30"/>
  <c r="D110" i="30"/>
  <c r="D109" i="30"/>
  <c r="D111" i="30"/>
  <c r="D114" i="30"/>
  <c r="M6" i="27" l="1"/>
  <c r="N4" i="27"/>
  <c r="N3" i="27"/>
  <c r="M3" i="27"/>
  <c r="N8" i="27"/>
  <c r="M8" i="27"/>
  <c r="N9" i="27"/>
  <c r="M9" i="27"/>
  <c r="N5" i="27"/>
  <c r="M5" i="27"/>
  <c r="H13" i="10"/>
  <c r="K139" i="3" l="1"/>
  <c r="K138" i="3"/>
  <c r="E68" i="3"/>
  <c r="B163" i="3" s="1"/>
  <c r="C163" i="3" s="1"/>
  <c r="E67" i="3"/>
  <c r="B162" i="3" s="1"/>
  <c r="C162" i="3" s="1"/>
  <c r="N42" i="3"/>
  <c r="K42" i="3" s="1"/>
  <c r="N41" i="3"/>
  <c r="K41" i="3" s="1"/>
  <c r="M42" i="3"/>
  <c r="J42" i="3" s="1"/>
  <c r="M41" i="3"/>
  <c r="J41" i="3" s="1"/>
  <c r="L42" i="3"/>
  <c r="I42" i="3" s="1"/>
  <c r="L41" i="3"/>
  <c r="I41" i="3" s="1"/>
  <c r="B40" i="2"/>
  <c r="B39" i="2"/>
  <c r="K10" i="27"/>
  <c r="C10" i="27"/>
  <c r="K9" i="27"/>
  <c r="C9" i="27"/>
  <c r="B9" i="27"/>
  <c r="D9" i="27" s="1"/>
  <c r="K8" i="27"/>
  <c r="C8" i="27"/>
  <c r="B8" i="27"/>
  <c r="D8" i="27" s="1"/>
  <c r="K7" i="27"/>
  <c r="C7" i="27"/>
  <c r="B7" i="27"/>
  <c r="D7" i="27" s="1"/>
  <c r="K6" i="27"/>
  <c r="C6" i="27"/>
  <c r="B6" i="27"/>
  <c r="D6" i="27" s="1"/>
  <c r="K5" i="27"/>
  <c r="C5" i="27"/>
  <c r="B5" i="27"/>
  <c r="D5" i="27" s="1"/>
  <c r="K4" i="27"/>
  <c r="C4" i="27"/>
  <c r="B4" i="27"/>
  <c r="D4" i="27" s="1"/>
  <c r="CA16" i="32"/>
  <c r="BY16" i="32"/>
  <c r="CA15" i="32"/>
  <c r="CE15" i="32" s="1"/>
  <c r="BY15" i="32"/>
  <c r="BO16" i="32"/>
  <c r="BM16" i="32"/>
  <c r="BO15" i="32"/>
  <c r="BS15" i="32" s="1"/>
  <c r="BM15" i="32"/>
  <c r="BC16" i="32"/>
  <c r="BA16" i="32"/>
  <c r="BC15" i="32"/>
  <c r="BA15" i="32"/>
  <c r="AQ16" i="32"/>
  <c r="AO16" i="32"/>
  <c r="AQ15" i="32"/>
  <c r="AT15" i="32" s="1"/>
  <c r="AO15" i="32"/>
  <c r="AE16" i="32"/>
  <c r="AH16" i="32" s="1"/>
  <c r="AC16" i="32"/>
  <c r="AE15" i="32"/>
  <c r="AC15" i="32"/>
  <c r="S16" i="32"/>
  <c r="Q16" i="32"/>
  <c r="G16" i="32"/>
  <c r="J16" i="32" s="1"/>
  <c r="S15" i="32"/>
  <c r="W15" i="32" s="1"/>
  <c r="Q15" i="32"/>
  <c r="G15" i="32"/>
  <c r="K15" i="32" s="1"/>
  <c r="E16" i="32"/>
  <c r="E15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M169" i="30"/>
  <c r="L169" i="30"/>
  <c r="K169" i="30"/>
  <c r="J169" i="30"/>
  <c r="I169" i="30"/>
  <c r="H169" i="30"/>
  <c r="G169" i="30"/>
  <c r="F169" i="30"/>
  <c r="M168" i="30"/>
  <c r="L168" i="30"/>
  <c r="K168" i="30"/>
  <c r="J168" i="30"/>
  <c r="I168" i="30"/>
  <c r="H168" i="30"/>
  <c r="G168" i="30"/>
  <c r="F168" i="30"/>
  <c r="M167" i="30"/>
  <c r="L167" i="30"/>
  <c r="K167" i="30"/>
  <c r="J167" i="30"/>
  <c r="I167" i="30"/>
  <c r="H167" i="30"/>
  <c r="G167" i="30"/>
  <c r="F167" i="30"/>
  <c r="M166" i="30"/>
  <c r="L166" i="30"/>
  <c r="K166" i="30"/>
  <c r="J166" i="30"/>
  <c r="I166" i="30"/>
  <c r="H166" i="30"/>
  <c r="G166" i="30"/>
  <c r="F166" i="30"/>
  <c r="M165" i="30"/>
  <c r="L165" i="30"/>
  <c r="K165" i="30"/>
  <c r="J165" i="30"/>
  <c r="I165" i="30"/>
  <c r="H165" i="30"/>
  <c r="G165" i="30"/>
  <c r="F165" i="30"/>
  <c r="M164" i="30"/>
  <c r="L164" i="30"/>
  <c r="K164" i="30"/>
  <c r="J164" i="30"/>
  <c r="I164" i="30"/>
  <c r="H164" i="30"/>
  <c r="G164" i="30"/>
  <c r="F164" i="30"/>
  <c r="M163" i="30"/>
  <c r="L163" i="30"/>
  <c r="K163" i="30"/>
  <c r="J163" i="30"/>
  <c r="I163" i="30"/>
  <c r="H163" i="30"/>
  <c r="G163" i="30"/>
  <c r="F163" i="30"/>
  <c r="M162" i="30"/>
  <c r="L162" i="30"/>
  <c r="K162" i="30"/>
  <c r="J162" i="30"/>
  <c r="I162" i="30"/>
  <c r="H162" i="30"/>
  <c r="G162" i="30"/>
  <c r="F162" i="30"/>
  <c r="G162" i="3" l="1"/>
  <c r="F162" i="3"/>
  <c r="D162" i="3"/>
  <c r="E162" i="3"/>
  <c r="G163" i="3"/>
  <c r="F163" i="3"/>
  <c r="E163" i="3"/>
  <c r="D163" i="3"/>
  <c r="F67" i="3"/>
  <c r="F68" i="3"/>
  <c r="G5" i="27"/>
  <c r="H5" i="27" s="1"/>
  <c r="G10" i="27"/>
  <c r="H10" i="27" s="1"/>
  <c r="G4" i="27"/>
  <c r="H4" i="27" s="1"/>
  <c r="K16" i="32"/>
  <c r="AI16" i="32"/>
  <c r="G9" i="27"/>
  <c r="H9" i="27" s="1"/>
  <c r="J15" i="32"/>
  <c r="CD15" i="32"/>
  <c r="BR15" i="32"/>
  <c r="G6" i="27"/>
  <c r="H6" i="27" s="1"/>
  <c r="V15" i="32"/>
  <c r="G7" i="27"/>
  <c r="H7" i="27" s="1"/>
  <c r="G8" i="27"/>
  <c r="H8" i="27" s="1"/>
  <c r="E18" i="3"/>
  <c r="E19" i="3"/>
  <c r="CD16" i="32"/>
  <c r="CE16" i="32"/>
  <c r="BR16" i="32"/>
  <c r="BS16" i="32"/>
  <c r="AT16" i="32"/>
  <c r="AU15" i="32"/>
  <c r="AU16" i="32"/>
  <c r="AH15" i="32"/>
  <c r="AI15" i="32"/>
  <c r="V16" i="32"/>
  <c r="W16" i="32"/>
  <c r="I6" i="27" l="1"/>
  <c r="J6" i="27"/>
  <c r="J9" i="27"/>
  <c r="I9" i="27"/>
  <c r="J8" i="27"/>
  <c r="I8" i="27"/>
  <c r="J5" i="27"/>
  <c r="I5" i="27"/>
  <c r="I7" i="27"/>
  <c r="J7" i="27"/>
  <c r="I4" i="27"/>
  <c r="J4" i="27"/>
  <c r="I10" i="27"/>
  <c r="J10" i="27"/>
  <c r="AB67" i="1"/>
  <c r="AA67" i="1"/>
  <c r="M67" i="1"/>
  <c r="L67" i="1"/>
  <c r="T77" i="30"/>
  <c r="S77" i="30"/>
  <c r="R77" i="30"/>
  <c r="Q77" i="30"/>
  <c r="P77" i="30"/>
  <c r="O77" i="30"/>
  <c r="N77" i="30"/>
  <c r="T70" i="30"/>
  <c r="S70" i="30"/>
  <c r="R70" i="30"/>
  <c r="Q70" i="30"/>
  <c r="P70" i="30"/>
  <c r="O70" i="30"/>
  <c r="N70" i="30"/>
  <c r="K77" i="30"/>
  <c r="J77" i="30"/>
  <c r="I77" i="30"/>
  <c r="H77" i="30"/>
  <c r="F77" i="30"/>
  <c r="E77" i="30"/>
  <c r="K70" i="30"/>
  <c r="J70" i="30"/>
  <c r="I70" i="30"/>
  <c r="H70" i="30"/>
  <c r="G70" i="30"/>
  <c r="F70" i="30"/>
  <c r="E70" i="30"/>
  <c r="G77" i="30"/>
  <c r="N32" i="24"/>
  <c r="N31" i="24"/>
  <c r="N30" i="24"/>
  <c r="N29" i="24"/>
  <c r="N10" i="24" s="1"/>
  <c r="H116" i="30" s="1"/>
  <c r="C137" i="1"/>
  <c r="C155" i="1"/>
  <c r="C139" i="1"/>
  <c r="C148" i="1"/>
  <c r="C149" i="1"/>
  <c r="C147" i="1"/>
  <c r="C156" i="1"/>
  <c r="C145" i="1"/>
  <c r="C136" i="1"/>
  <c r="C130" i="1"/>
  <c r="C157" i="1"/>
  <c r="C135" i="1"/>
  <c r="C138" i="1"/>
  <c r="C151" i="1"/>
  <c r="C128" i="1"/>
  <c r="C153" i="1"/>
  <c r="C150" i="1"/>
  <c r="C146" i="1"/>
  <c r="C154" i="1"/>
  <c r="C131" i="1"/>
  <c r="C127" i="1"/>
  <c r="P29" i="24" l="1"/>
  <c r="N6" i="24"/>
  <c r="H112" i="30" s="1"/>
  <c r="Q29" i="24"/>
  <c r="B133" i="1"/>
  <c r="B151" i="1" s="1"/>
  <c r="F151" i="1" s="1"/>
  <c r="A10" i="27"/>
  <c r="B138" i="1"/>
  <c r="B156" i="1" s="1"/>
  <c r="G156" i="1" s="1"/>
  <c r="B127" i="1"/>
  <c r="D127" i="1" s="1"/>
  <c r="A4" i="27"/>
  <c r="B135" i="1"/>
  <c r="D135" i="1" s="1"/>
  <c r="A33" i="34"/>
  <c r="B139" i="1"/>
  <c r="B157" i="1" s="1"/>
  <c r="F157" i="1" s="1"/>
  <c r="B129" i="1"/>
  <c r="B147" i="1" s="1"/>
  <c r="F147" i="1" s="1"/>
  <c r="A6" i="27"/>
  <c r="B137" i="1"/>
  <c r="B155" i="1" s="1"/>
  <c r="F155" i="1" s="1"/>
  <c r="B130" i="1"/>
  <c r="B148" i="1" s="1"/>
  <c r="D148" i="1" s="1"/>
  <c r="A7" i="27"/>
  <c r="B134" i="1"/>
  <c r="D134" i="1" s="1"/>
  <c r="B131" i="1"/>
  <c r="B149" i="1" s="1"/>
  <c r="F149" i="1" s="1"/>
  <c r="A8" i="27"/>
  <c r="B128" i="1"/>
  <c r="E128" i="1" s="1"/>
  <c r="A5" i="27"/>
  <c r="B132" i="1"/>
  <c r="B150" i="1" s="1"/>
  <c r="D150" i="1" s="1"/>
  <c r="A9" i="27"/>
  <c r="B136" i="1"/>
  <c r="B154" i="1" s="1"/>
  <c r="G154" i="1" s="1"/>
  <c r="A34" i="34"/>
  <c r="AA59" i="1"/>
  <c r="AB59" i="1"/>
  <c r="H32" i="24"/>
  <c r="H31" i="24"/>
  <c r="H30" i="24"/>
  <c r="H29" i="24"/>
  <c r="C152" i="1"/>
  <c r="C129" i="1"/>
  <c r="C133" i="1"/>
  <c r="C132" i="1"/>
  <c r="C134" i="1"/>
  <c r="H6" i="24" l="1"/>
  <c r="B112" i="30" s="1"/>
  <c r="H10" i="24"/>
  <c r="B116" i="30" s="1"/>
  <c r="Q6" i="24"/>
  <c r="K112" i="30" s="1"/>
  <c r="Q10" i="24"/>
  <c r="K116" i="30" s="1"/>
  <c r="P6" i="24"/>
  <c r="J112" i="30" s="1"/>
  <c r="P10" i="24"/>
  <c r="J116" i="30" s="1"/>
  <c r="G151" i="1"/>
  <c r="D129" i="1"/>
  <c r="D156" i="1"/>
  <c r="E156" i="1"/>
  <c r="G149" i="1"/>
  <c r="E137" i="1"/>
  <c r="D155" i="1"/>
  <c r="B33" i="34" s="1"/>
  <c r="E138" i="1"/>
  <c r="B145" i="1"/>
  <c r="G145" i="1" s="1"/>
  <c r="D128" i="1"/>
  <c r="D137" i="1"/>
  <c r="E155" i="1"/>
  <c r="G155" i="1"/>
  <c r="B153" i="1"/>
  <c r="F153" i="1" s="1"/>
  <c r="D138" i="1"/>
  <c r="F156" i="1"/>
  <c r="E133" i="1"/>
  <c r="D133" i="1"/>
  <c r="E151" i="1"/>
  <c r="D151" i="1"/>
  <c r="E157" i="1"/>
  <c r="E127" i="1"/>
  <c r="D132" i="1"/>
  <c r="B146" i="1"/>
  <c r="G146" i="1" s="1"/>
  <c r="D154" i="1"/>
  <c r="D139" i="1"/>
  <c r="E150" i="1"/>
  <c r="E148" i="1"/>
  <c r="E139" i="1"/>
  <c r="G157" i="1"/>
  <c r="E135" i="1"/>
  <c r="D130" i="1"/>
  <c r="F148" i="1"/>
  <c r="G148" i="1"/>
  <c r="F150" i="1"/>
  <c r="G150" i="1"/>
  <c r="E132" i="1"/>
  <c r="E130" i="1"/>
  <c r="D157" i="1"/>
  <c r="D136" i="1"/>
  <c r="E154" i="1"/>
  <c r="E134" i="1"/>
  <c r="E136" i="1"/>
  <c r="F154" i="1"/>
  <c r="B152" i="1"/>
  <c r="E152" i="1" s="1"/>
  <c r="E131" i="1"/>
  <c r="E147" i="1"/>
  <c r="D147" i="1"/>
  <c r="E129" i="1"/>
  <c r="D131" i="1"/>
  <c r="E149" i="1"/>
  <c r="D149" i="1"/>
  <c r="G147" i="1"/>
  <c r="D153" i="1"/>
  <c r="J29" i="24"/>
  <c r="J10" i="24" s="1"/>
  <c r="D116" i="30" s="1"/>
  <c r="K29" i="24"/>
  <c r="G4" i="36"/>
  <c r="F4" i="36"/>
  <c r="D4" i="36"/>
  <c r="U24" i="23"/>
  <c r="I24" i="23"/>
  <c r="K6" i="24" l="1"/>
  <c r="E112" i="30" s="1"/>
  <c r="K10" i="24"/>
  <c r="E116" i="30" s="1"/>
  <c r="J6" i="24"/>
  <c r="D112" i="30" s="1"/>
  <c r="J7" i="24"/>
  <c r="D113" i="30" s="1"/>
  <c r="B34" i="34"/>
  <c r="C33" i="34"/>
  <c r="F33" i="34" s="1"/>
  <c r="E145" i="1"/>
  <c r="C34" i="34"/>
  <c r="E153" i="1"/>
  <c r="D145" i="1"/>
  <c r="F145" i="1"/>
  <c r="G153" i="1"/>
  <c r="D146" i="1"/>
  <c r="F146" i="1"/>
  <c r="E146" i="1"/>
  <c r="F152" i="1"/>
  <c r="G152" i="1"/>
  <c r="D152" i="1"/>
  <c r="D5" i="44"/>
  <c r="D4" i="44"/>
  <c r="D2" i="44"/>
  <c r="F34" i="34" l="1"/>
  <c r="H24" i="44"/>
  <c r="C24" i="44"/>
  <c r="H23" i="44"/>
  <c r="C23" i="44"/>
  <c r="H22" i="44"/>
  <c r="C22" i="44"/>
  <c r="H21" i="44"/>
  <c r="C21" i="44"/>
  <c r="H20" i="44"/>
  <c r="C20" i="44"/>
  <c r="H19" i="44"/>
  <c r="C19" i="44"/>
  <c r="H18" i="44"/>
  <c r="C18" i="44"/>
  <c r="H17" i="44"/>
  <c r="C17" i="44"/>
  <c r="H16" i="44"/>
  <c r="C16" i="44"/>
  <c r="H15" i="44"/>
  <c r="C15" i="44"/>
  <c r="H14" i="44"/>
  <c r="G14" i="44"/>
  <c r="J14" i="44" s="1"/>
  <c r="C14" i="44"/>
  <c r="B14" i="44"/>
  <c r="E14" i="44" s="1"/>
  <c r="J13" i="44"/>
  <c r="H13" i="44"/>
  <c r="I13" i="44" s="1"/>
  <c r="E13" i="44"/>
  <c r="C13" i="44"/>
  <c r="D13" i="44" s="1"/>
  <c r="I8" i="44"/>
  <c r="H8" i="44"/>
  <c r="J8" i="44" s="1"/>
  <c r="D8" i="44"/>
  <c r="I7" i="44"/>
  <c r="H7" i="44"/>
  <c r="J7" i="44" s="1"/>
  <c r="D7" i="44"/>
  <c r="I6" i="44"/>
  <c r="H6" i="44"/>
  <c r="J6" i="44" s="1"/>
  <c r="D6" i="44"/>
  <c r="I5" i="44"/>
  <c r="H5" i="44"/>
  <c r="J5" i="44" s="1"/>
  <c r="I4" i="44"/>
  <c r="H4" i="44"/>
  <c r="J4" i="44" s="1"/>
  <c r="I3" i="44"/>
  <c r="H3" i="44"/>
  <c r="J3" i="44" s="1"/>
  <c r="I2" i="44"/>
  <c r="H2" i="44"/>
  <c r="J2" i="44" s="1"/>
  <c r="K4" i="44" l="1"/>
  <c r="L4" i="44" s="1"/>
  <c r="N4" i="44" s="1"/>
  <c r="P4" i="44" s="1"/>
  <c r="R4" i="44" s="1"/>
  <c r="K8" i="44"/>
  <c r="L8" i="44" s="1"/>
  <c r="N8" i="44" s="1"/>
  <c r="P8" i="44" s="1"/>
  <c r="R8" i="44" s="1"/>
  <c r="K7" i="44"/>
  <c r="L7" i="44" s="1"/>
  <c r="N7" i="44" s="1"/>
  <c r="O7" i="44" s="1"/>
  <c r="K6" i="44"/>
  <c r="L6" i="44" s="1"/>
  <c r="N6" i="44" s="1"/>
  <c r="O6" i="44" s="1"/>
  <c r="I9" i="44"/>
  <c r="K5" i="44"/>
  <c r="L5" i="44" s="1"/>
  <c r="N5" i="44" s="1"/>
  <c r="O5" i="44" s="1"/>
  <c r="J9" i="44"/>
  <c r="K2" i="44"/>
  <c r="G15" i="44"/>
  <c r="D14" i="44"/>
  <c r="I14" i="44"/>
  <c r="B15" i="44"/>
  <c r="V20" i="24"/>
  <c r="V2" i="24" s="1"/>
  <c r="E3" i="27" s="1"/>
  <c r="J108" i="30" l="1"/>
  <c r="D108" i="30"/>
  <c r="K108" i="30"/>
  <c r="E108" i="30"/>
  <c r="O4" i="44"/>
  <c r="Q4" i="44" s="1"/>
  <c r="S4" i="44" s="1"/>
  <c r="P5" i="44"/>
  <c r="R5" i="44" s="1"/>
  <c r="O8" i="44"/>
  <c r="Q8" i="44" s="1"/>
  <c r="S8" i="44" s="1"/>
  <c r="P7" i="44"/>
  <c r="R7" i="44" s="1"/>
  <c r="P6" i="44"/>
  <c r="R6" i="44" s="1"/>
  <c r="L2" i="44"/>
  <c r="Q5" i="44"/>
  <c r="S5" i="44" s="1"/>
  <c r="E15" i="44"/>
  <c r="D15" i="44"/>
  <c r="B16" i="44"/>
  <c r="Q7" i="44"/>
  <c r="S7" i="44" s="1"/>
  <c r="Q6" i="44"/>
  <c r="S6" i="44" s="1"/>
  <c r="J15" i="44"/>
  <c r="G16" i="44"/>
  <c r="I15" i="44"/>
  <c r="K33" i="24"/>
  <c r="K8" i="24" s="1"/>
  <c r="Q33" i="24"/>
  <c r="Q8" i="24" s="1"/>
  <c r="P33" i="24"/>
  <c r="P8" i="24" s="1"/>
  <c r="J114" i="30" l="1"/>
  <c r="P7" i="24"/>
  <c r="J113" i="30" s="1"/>
  <c r="K114" i="30"/>
  <c r="Q7" i="24"/>
  <c r="K113" i="30" s="1"/>
  <c r="E114" i="30"/>
  <c r="K7" i="24"/>
  <c r="E113" i="30" s="1"/>
  <c r="J16" i="44"/>
  <c r="I16" i="44"/>
  <c r="G17" i="44"/>
  <c r="N2" i="44"/>
  <c r="E16" i="44"/>
  <c r="D16" i="44"/>
  <c r="B17" i="44"/>
  <c r="E17" i="44" l="1"/>
  <c r="B18" i="44"/>
  <c r="D17" i="44"/>
  <c r="J17" i="44"/>
  <c r="I17" i="44"/>
  <c r="G18" i="44"/>
  <c r="O2" i="44"/>
  <c r="P2" i="44"/>
  <c r="Q2" i="44" l="1"/>
  <c r="J18" i="44"/>
  <c r="G19" i="44"/>
  <c r="I18" i="44"/>
  <c r="E18" i="44"/>
  <c r="D18" i="44"/>
  <c r="B19" i="44"/>
  <c r="R2" i="44"/>
  <c r="E19" i="44" l="1"/>
  <c r="D19" i="44"/>
  <c r="B20" i="44"/>
  <c r="J19" i="44"/>
  <c r="I19" i="44"/>
  <c r="G20" i="44"/>
  <c r="S2" i="44"/>
  <c r="J20" i="44" l="1"/>
  <c r="I20" i="44"/>
  <c r="G21" i="44"/>
  <c r="E20" i="44"/>
  <c r="B21" i="44"/>
  <c r="D20" i="44"/>
  <c r="J21" i="44" l="1"/>
  <c r="I21" i="44"/>
  <c r="G22" i="44"/>
  <c r="E21" i="44"/>
  <c r="D21" i="44"/>
  <c r="B22" i="44"/>
  <c r="J22" i="44" l="1"/>
  <c r="I22" i="44"/>
  <c r="G23" i="44"/>
  <c r="E22" i="44"/>
  <c r="B23" i="44"/>
  <c r="D22" i="44"/>
  <c r="J23" i="44" l="1"/>
  <c r="G24" i="44"/>
  <c r="I23" i="44"/>
  <c r="E23" i="44"/>
  <c r="D23" i="44"/>
  <c r="B24" i="44"/>
  <c r="E24" i="44" l="1"/>
  <c r="D24" i="44"/>
  <c r="J24" i="44"/>
  <c r="I24" i="44"/>
  <c r="B161" i="1"/>
  <c r="G161" i="1" l="1"/>
  <c r="H161" i="1"/>
  <c r="F161" i="1"/>
  <c r="E161" i="1"/>
  <c r="G19" i="36"/>
  <c r="F19" i="36"/>
  <c r="U10" i="23"/>
  <c r="B167" i="1"/>
  <c r="C144" i="1"/>
  <c r="B164" i="1"/>
  <c r="B163" i="1"/>
  <c r="B162" i="1"/>
  <c r="B166" i="1"/>
  <c r="B165" i="1"/>
  <c r="G166" i="1" l="1"/>
  <c r="G162" i="1"/>
  <c r="G165" i="1"/>
  <c r="G163" i="1"/>
  <c r="G167" i="1"/>
  <c r="G164" i="1"/>
  <c r="F166" i="1"/>
  <c r="H166" i="1"/>
  <c r="E166" i="1"/>
  <c r="F162" i="1"/>
  <c r="H162" i="1"/>
  <c r="E162" i="1"/>
  <c r="E165" i="1"/>
  <c r="H165" i="1"/>
  <c r="F165" i="1"/>
  <c r="H163" i="1"/>
  <c r="E163" i="1"/>
  <c r="F163" i="1"/>
  <c r="H167" i="1"/>
  <c r="F167" i="1"/>
  <c r="E167" i="1"/>
  <c r="F164" i="1"/>
  <c r="E164" i="1"/>
  <c r="H164" i="1"/>
  <c r="B171" i="1"/>
  <c r="G171" i="1" s="1"/>
  <c r="F171" i="1" l="1"/>
  <c r="E171" i="1"/>
  <c r="H171" i="1"/>
  <c r="AC6" i="32"/>
  <c r="G103" i="36" l="1"/>
  <c r="D103" i="36"/>
  <c r="G72" i="36" l="1"/>
  <c r="D72" i="36"/>
  <c r="F72" i="36" l="1"/>
  <c r="F103" i="36"/>
  <c r="Q66" i="1" l="1"/>
  <c r="Q65" i="1"/>
  <c r="Q64" i="1"/>
  <c r="Q63" i="1"/>
  <c r="Q62" i="1"/>
  <c r="Q61" i="1"/>
  <c r="Q60" i="1"/>
  <c r="U16" i="23" l="1"/>
  <c r="U15" i="23"/>
  <c r="J16" i="23"/>
  <c r="U11" i="23"/>
  <c r="J11" i="23"/>
  <c r="G20" i="36" l="1"/>
  <c r="F20" i="36"/>
  <c r="D20" i="36"/>
  <c r="G26" i="36"/>
  <c r="D26" i="36"/>
  <c r="F26" i="36"/>
  <c r="CA18" i="32"/>
  <c r="CE18" i="32" s="1"/>
  <c r="BY18" i="32"/>
  <c r="BO18" i="32"/>
  <c r="BS18" i="32" s="1"/>
  <c r="BM18" i="32"/>
  <c r="BC18" i="32"/>
  <c r="BA18" i="32"/>
  <c r="AQ18" i="32"/>
  <c r="AU18" i="32" s="1"/>
  <c r="AO18" i="32"/>
  <c r="AE18" i="32"/>
  <c r="AC18" i="32"/>
  <c r="CA17" i="32"/>
  <c r="BY17" i="32"/>
  <c r="BO17" i="32"/>
  <c r="BM17" i="32"/>
  <c r="BC17" i="32"/>
  <c r="BA17" i="32"/>
  <c r="AQ17" i="32"/>
  <c r="AO17" i="32"/>
  <c r="AE17" i="32"/>
  <c r="AC17" i="32"/>
  <c r="S18" i="32"/>
  <c r="V18" i="32" s="1"/>
  <c r="Q18" i="32"/>
  <c r="S17" i="32"/>
  <c r="W17" i="32" s="1"/>
  <c r="Q17" i="32"/>
  <c r="G18" i="32"/>
  <c r="J18" i="32" s="1"/>
  <c r="G17" i="32"/>
  <c r="J17" i="32" s="1"/>
  <c r="E18" i="32"/>
  <c r="E17" i="32"/>
  <c r="G46" i="36"/>
  <c r="F46" i="36"/>
  <c r="D46" i="36"/>
  <c r="BR18" i="32" l="1"/>
  <c r="AT18" i="32"/>
  <c r="CD18" i="32"/>
  <c r="V17" i="32"/>
  <c r="AT17" i="32"/>
  <c r="BR17" i="32"/>
  <c r="CD17" i="32"/>
  <c r="AU17" i="32"/>
  <c r="BS17" i="32"/>
  <c r="CE17" i="32"/>
  <c r="W18" i="32"/>
  <c r="K18" i="32"/>
  <c r="K17" i="32"/>
  <c r="U23" i="23"/>
  <c r="K142" i="3" l="1"/>
  <c r="K141" i="3"/>
  <c r="K140" i="3"/>
  <c r="E70" i="3"/>
  <c r="B165" i="3" s="1"/>
  <c r="C165" i="3" s="1"/>
  <c r="E69" i="3"/>
  <c r="B164" i="3" s="1"/>
  <c r="C164" i="3" s="1"/>
  <c r="N45" i="3"/>
  <c r="K45" i="3" s="1"/>
  <c r="M45" i="3"/>
  <c r="J45" i="3" s="1"/>
  <c r="L45" i="3"/>
  <c r="I45" i="3" s="1"/>
  <c r="N44" i="3"/>
  <c r="K44" i="3" s="1"/>
  <c r="M44" i="3"/>
  <c r="J44" i="3" s="1"/>
  <c r="L44" i="3"/>
  <c r="I44" i="3" s="1"/>
  <c r="N43" i="3"/>
  <c r="K43" i="3" s="1"/>
  <c r="M43" i="3"/>
  <c r="J43" i="3" s="1"/>
  <c r="L43" i="3"/>
  <c r="I43" i="3" s="1"/>
  <c r="E22" i="3"/>
  <c r="E21" i="3"/>
  <c r="E20" i="3"/>
  <c r="B44" i="2"/>
  <c r="B43" i="2"/>
  <c r="B42" i="2"/>
  <c r="A37" i="34"/>
  <c r="A36" i="34"/>
  <c r="A35" i="34"/>
  <c r="N35" i="24"/>
  <c r="N34" i="24"/>
  <c r="N33" i="24"/>
  <c r="N7" i="24" l="1"/>
  <c r="H113" i="30" s="1"/>
  <c r="N8" i="24"/>
  <c r="H114" i="30" s="1"/>
  <c r="D165" i="3"/>
  <c r="G165" i="3"/>
  <c r="F165" i="3"/>
  <c r="E165" i="3"/>
  <c r="F164" i="3"/>
  <c r="E164" i="3"/>
  <c r="D164" i="3"/>
  <c r="G164" i="3"/>
  <c r="F69" i="3"/>
  <c r="F70" i="3"/>
  <c r="T98" i="30"/>
  <c r="S98" i="30"/>
  <c r="R98" i="30"/>
  <c r="Q98" i="30"/>
  <c r="P98" i="30"/>
  <c r="O98" i="30"/>
  <c r="N98" i="30"/>
  <c r="T91" i="30"/>
  <c r="S91" i="30"/>
  <c r="R91" i="30"/>
  <c r="Q91" i="30"/>
  <c r="P91" i="30"/>
  <c r="O91" i="30"/>
  <c r="N91" i="30"/>
  <c r="K98" i="30"/>
  <c r="J98" i="30"/>
  <c r="I98" i="30"/>
  <c r="H98" i="30"/>
  <c r="G98" i="30"/>
  <c r="F98" i="30"/>
  <c r="K91" i="30"/>
  <c r="J91" i="30"/>
  <c r="I91" i="30"/>
  <c r="H91" i="30"/>
  <c r="G91" i="30"/>
  <c r="F91" i="30"/>
  <c r="E98" i="30"/>
  <c r="E91" i="30"/>
  <c r="AE67" i="1"/>
  <c r="AD67" i="1"/>
  <c r="AC67" i="1"/>
  <c r="Z67" i="1"/>
  <c r="Y67" i="1"/>
  <c r="X67" i="1"/>
  <c r="W67" i="1"/>
  <c r="V67" i="1"/>
  <c r="U67" i="1"/>
  <c r="T67" i="1"/>
  <c r="S67" i="1"/>
  <c r="R67" i="1"/>
  <c r="P67" i="1"/>
  <c r="O67" i="1"/>
  <c r="AE59" i="1"/>
  <c r="AD59" i="1"/>
  <c r="N28" i="24" l="1"/>
  <c r="N27" i="24"/>
  <c r="N25" i="24"/>
  <c r="N24" i="24"/>
  <c r="N4" i="24" s="1"/>
  <c r="H110" i="30" s="1"/>
  <c r="N23" i="24"/>
  <c r="N20" i="24"/>
  <c r="N2" i="24" s="1"/>
  <c r="H108" i="30" s="1"/>
  <c r="H35" i="24"/>
  <c r="H34" i="24"/>
  <c r="H33" i="24"/>
  <c r="H28" i="24"/>
  <c r="H27" i="24"/>
  <c r="H25" i="24"/>
  <c r="H24" i="24"/>
  <c r="H23" i="24"/>
  <c r="H3" i="24" s="1"/>
  <c r="B109" i="30" s="1"/>
  <c r="H20" i="24"/>
  <c r="H2" i="24" s="1"/>
  <c r="B108" i="30" s="1"/>
  <c r="N5" i="24" l="1"/>
  <c r="H111" i="30" s="1"/>
  <c r="N9" i="24"/>
  <c r="H115" i="30" s="1"/>
  <c r="H5" i="24"/>
  <c r="B111" i="30" s="1"/>
  <c r="H9" i="24"/>
  <c r="B115" i="30" s="1"/>
  <c r="H4" i="24"/>
  <c r="B110" i="30" s="1"/>
  <c r="H7" i="24"/>
  <c r="B113" i="30" s="1"/>
  <c r="H8" i="24"/>
  <c r="B114" i="30" s="1"/>
  <c r="E138" i="24"/>
  <c r="N3" i="24"/>
  <c r="H109" i="30" s="1"/>
  <c r="K137" i="3"/>
  <c r="K136" i="3"/>
  <c r="E66" i="3"/>
  <c r="B161" i="3" s="1"/>
  <c r="C161" i="3" s="1"/>
  <c r="N40" i="3"/>
  <c r="K40" i="3" s="1"/>
  <c r="M40" i="3"/>
  <c r="J40" i="3" s="1"/>
  <c r="L40" i="3"/>
  <c r="I40" i="3" s="1"/>
  <c r="C17" i="3"/>
  <c r="CA19" i="32"/>
  <c r="CE19" i="32" s="1"/>
  <c r="BY19" i="32"/>
  <c r="BO19" i="32"/>
  <c r="BS19" i="32" s="1"/>
  <c r="BM19" i="32"/>
  <c r="BC19" i="32"/>
  <c r="BA19" i="32"/>
  <c r="AQ19" i="32"/>
  <c r="AU19" i="32" s="1"/>
  <c r="AO19" i="32"/>
  <c r="AE19" i="32"/>
  <c r="AC19" i="32"/>
  <c r="S19" i="32"/>
  <c r="W19" i="32" s="1"/>
  <c r="Q19" i="32"/>
  <c r="G161" i="3" l="1"/>
  <c r="F161" i="3"/>
  <c r="E161" i="3"/>
  <c r="D161" i="3"/>
  <c r="F66" i="3"/>
  <c r="K150" i="1"/>
  <c r="K149" i="1"/>
  <c r="V19" i="32"/>
  <c r="AT19" i="32"/>
  <c r="BR19" i="32"/>
  <c r="CD19" i="32"/>
  <c r="K156" i="1" l="1"/>
  <c r="K155" i="1"/>
  <c r="K157" i="1"/>
  <c r="S175" i="30" l="1"/>
  <c r="G19" i="32"/>
  <c r="J19" i="32" s="1"/>
  <c r="E19" i="32"/>
  <c r="K19" i="32" l="1"/>
  <c r="T84" i="30"/>
  <c r="S84" i="30"/>
  <c r="R84" i="30"/>
  <c r="Q84" i="30"/>
  <c r="P84" i="30"/>
  <c r="O84" i="30"/>
  <c r="N84" i="30"/>
  <c r="K84" i="30"/>
  <c r="J84" i="30"/>
  <c r="I84" i="30"/>
  <c r="H84" i="30"/>
  <c r="G84" i="30"/>
  <c r="F84" i="30"/>
  <c r="E84" i="30"/>
  <c r="AC59" i="1"/>
  <c r="N67" i="1"/>
  <c r="B11" i="35" l="1"/>
  <c r="B12" i="35"/>
  <c r="B13" i="35"/>
  <c r="B14" i="35"/>
  <c r="B15" i="35"/>
  <c r="B16" i="35"/>
  <c r="B17" i="35"/>
  <c r="B18" i="35"/>
  <c r="B19" i="35"/>
  <c r="C35" i="34" l="1"/>
  <c r="C36" i="34"/>
  <c r="C37" i="34"/>
  <c r="B35" i="34"/>
  <c r="B36" i="34"/>
  <c r="B37" i="34"/>
  <c r="F113" i="36" l="1"/>
  <c r="F112" i="36"/>
  <c r="F111" i="36"/>
  <c r="F110" i="36"/>
  <c r="F109" i="36"/>
  <c r="F108" i="36"/>
  <c r="F107" i="36"/>
  <c r="F101" i="36"/>
  <c r="F99" i="36"/>
  <c r="F98" i="36"/>
  <c r="F97" i="36"/>
  <c r="F96" i="36"/>
  <c r="F95" i="36"/>
  <c r="F94" i="36"/>
  <c r="F91" i="36"/>
  <c r="F90" i="36"/>
  <c r="F89" i="36"/>
  <c r="F83" i="36"/>
  <c r="F82" i="36"/>
  <c r="F81" i="36"/>
  <c r="F79" i="36"/>
  <c r="F78" i="36"/>
  <c r="F77" i="36"/>
  <c r="F75" i="36"/>
  <c r="F74" i="36"/>
  <c r="F70" i="36"/>
  <c r="F69" i="36"/>
  <c r="F68" i="36"/>
  <c r="F66" i="36"/>
  <c r="F64" i="36"/>
  <c r="F63" i="36"/>
  <c r="F62" i="36"/>
  <c r="F61" i="36"/>
  <c r="F60" i="36"/>
  <c r="F59" i="36"/>
  <c r="F58" i="36"/>
  <c r="F57" i="36"/>
  <c r="F56" i="36"/>
  <c r="F55" i="36"/>
  <c r="F54" i="36"/>
  <c r="F53" i="36"/>
  <c r="F51" i="36"/>
  <c r="F50" i="36"/>
  <c r="F49" i="36"/>
  <c r="F48" i="36"/>
  <c r="F45" i="36"/>
  <c r="F39" i="36"/>
  <c r="F44" i="36"/>
  <c r="F43" i="36"/>
  <c r="F41" i="36"/>
  <c r="F40" i="36"/>
  <c r="F38" i="36"/>
  <c r="F37" i="36"/>
  <c r="F36" i="36"/>
  <c r="F35" i="36"/>
  <c r="F34" i="36"/>
  <c r="F33" i="36"/>
  <c r="F106" i="36"/>
  <c r="F105" i="36"/>
  <c r="F104" i="36"/>
  <c r="F102" i="36"/>
  <c r="F100" i="36"/>
  <c r="F93" i="36"/>
  <c r="F92" i="36"/>
  <c r="F88" i="36"/>
  <c r="F87" i="36"/>
  <c r="F86" i="36"/>
  <c r="F85" i="36"/>
  <c r="F84" i="36"/>
  <c r="F80" i="36"/>
  <c r="F76" i="36"/>
  <c r="F73" i="36"/>
  <c r="F67" i="36"/>
  <c r="F65" i="36"/>
  <c r="F71" i="36"/>
  <c r="F52" i="36"/>
  <c r="F47" i="36"/>
  <c r="F42" i="36"/>
  <c r="F32" i="36"/>
  <c r="F31" i="36"/>
  <c r="F30" i="36"/>
  <c r="F29" i="36"/>
  <c r="F28" i="36"/>
  <c r="F27" i="36"/>
  <c r="F25" i="36"/>
  <c r="F24" i="36"/>
  <c r="F23" i="36"/>
  <c r="F22" i="36"/>
  <c r="F18" i="36"/>
  <c r="F17" i="36"/>
  <c r="F16" i="36"/>
  <c r="F15" i="36"/>
  <c r="F14" i="36"/>
  <c r="F13" i="36"/>
  <c r="F12" i="36"/>
  <c r="F11" i="36"/>
  <c r="F10" i="36"/>
  <c r="F9" i="36"/>
  <c r="F8" i="36"/>
  <c r="F7" i="36"/>
  <c r="F6" i="36"/>
  <c r="F5" i="36"/>
  <c r="F3" i="36"/>
  <c r="G113" i="36"/>
  <c r="G112" i="36"/>
  <c r="G111" i="36"/>
  <c r="G110" i="36"/>
  <c r="G109" i="36"/>
  <c r="G108" i="36"/>
  <c r="G107" i="36"/>
  <c r="G101" i="36"/>
  <c r="G99" i="36"/>
  <c r="G98" i="36"/>
  <c r="G97" i="36"/>
  <c r="G96" i="36"/>
  <c r="G95" i="36"/>
  <c r="G94" i="36"/>
  <c r="G91" i="36"/>
  <c r="G90" i="36"/>
  <c r="G89" i="36"/>
  <c r="G83" i="36"/>
  <c r="G82" i="36"/>
  <c r="G81" i="36"/>
  <c r="G79" i="36"/>
  <c r="G78" i="36"/>
  <c r="G77" i="36"/>
  <c r="G75" i="36"/>
  <c r="G74" i="36"/>
  <c r="G70" i="36"/>
  <c r="G69" i="36"/>
  <c r="G68" i="36"/>
  <c r="G66" i="36"/>
  <c r="G64" i="36"/>
  <c r="G63" i="36"/>
  <c r="G62" i="36"/>
  <c r="G61" i="36"/>
  <c r="G60" i="36"/>
  <c r="G59" i="36"/>
  <c r="G58" i="36"/>
  <c r="G57" i="36"/>
  <c r="G56" i="36"/>
  <c r="G55" i="36"/>
  <c r="G54" i="36"/>
  <c r="G53" i="36"/>
  <c r="G51" i="36"/>
  <c r="G50" i="36"/>
  <c r="G49" i="36"/>
  <c r="G48" i="36"/>
  <c r="G45" i="36"/>
  <c r="G39" i="36"/>
  <c r="G44" i="36"/>
  <c r="G43" i="36"/>
  <c r="G41" i="36"/>
  <c r="G40" i="36"/>
  <c r="G38" i="36"/>
  <c r="G37" i="36"/>
  <c r="G36" i="36"/>
  <c r="G35" i="36"/>
  <c r="G34" i="36"/>
  <c r="G33" i="36"/>
  <c r="G106" i="36"/>
  <c r="G105" i="36"/>
  <c r="G104" i="36"/>
  <c r="G102" i="36"/>
  <c r="G100" i="36"/>
  <c r="G93" i="36"/>
  <c r="G92" i="36"/>
  <c r="G88" i="36"/>
  <c r="G87" i="36"/>
  <c r="G86" i="36"/>
  <c r="G85" i="36"/>
  <c r="G84" i="36"/>
  <c r="G80" i="36"/>
  <c r="G76" i="36"/>
  <c r="G73" i="36"/>
  <c r="G67" i="36"/>
  <c r="G65" i="36"/>
  <c r="G71" i="36"/>
  <c r="G52" i="36"/>
  <c r="G47" i="36"/>
  <c r="G42" i="36"/>
  <c r="G32" i="36"/>
  <c r="G31" i="36"/>
  <c r="G30" i="36"/>
  <c r="G29" i="36"/>
  <c r="G28" i="36"/>
  <c r="G27" i="36"/>
  <c r="G25" i="36"/>
  <c r="G24" i="36"/>
  <c r="G23" i="36"/>
  <c r="G22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6" i="36"/>
  <c r="G5" i="36"/>
  <c r="G3" i="36"/>
  <c r="H15" i="10" l="1"/>
  <c r="J14" i="10"/>
  <c r="I14" i="10"/>
  <c r="J13" i="10"/>
  <c r="I13" i="10"/>
  <c r="H14" i="10"/>
  <c r="G32" i="24" l="1"/>
  <c r="G29" i="24"/>
  <c r="G10" i="24" s="1"/>
  <c r="G28" i="24"/>
  <c r="G27" i="24"/>
  <c r="G25" i="24"/>
  <c r="G24" i="24"/>
  <c r="G23" i="24"/>
  <c r="G20" i="24"/>
  <c r="G2" i="24" s="1"/>
  <c r="I108" i="30" s="1"/>
  <c r="C126" i="30" s="1"/>
  <c r="G4" i="24" l="1"/>
  <c r="G6" i="24"/>
  <c r="G7" i="24"/>
  <c r="G5" i="24"/>
  <c r="G9" i="24"/>
  <c r="C117" i="30"/>
  <c r="B135" i="30" s="1"/>
  <c r="G3" i="24"/>
  <c r="C108" i="30"/>
  <c r="B126" i="30" s="1"/>
  <c r="U37" i="23"/>
  <c r="O37" i="23"/>
  <c r="P37" i="23" s="1"/>
  <c r="I37" i="23"/>
  <c r="U36" i="23"/>
  <c r="P36" i="23"/>
  <c r="G36" i="23"/>
  <c r="F36" i="23"/>
  <c r="I36" i="23"/>
  <c r="U35" i="23"/>
  <c r="P35" i="23"/>
  <c r="I35" i="23"/>
  <c r="G35" i="23"/>
  <c r="F35" i="23"/>
  <c r="U34" i="23"/>
  <c r="P34" i="23"/>
  <c r="I34" i="23"/>
  <c r="G34" i="23"/>
  <c r="F34" i="23"/>
  <c r="U33" i="23"/>
  <c r="U32" i="23"/>
  <c r="P32" i="23"/>
  <c r="G32" i="23"/>
  <c r="F32" i="23"/>
  <c r="U29" i="23"/>
  <c r="K29" i="23"/>
  <c r="J29" i="23"/>
  <c r="U28" i="23"/>
  <c r="K28" i="23"/>
  <c r="J28" i="23"/>
  <c r="U27" i="23"/>
  <c r="P27" i="23"/>
  <c r="I27" i="23"/>
  <c r="G27" i="23"/>
  <c r="F27" i="23"/>
  <c r="U26" i="23"/>
  <c r="P26" i="23"/>
  <c r="G26" i="23"/>
  <c r="F26" i="23"/>
  <c r="U30" i="23"/>
  <c r="P30" i="23"/>
  <c r="I30" i="23"/>
  <c r="F30" i="23"/>
  <c r="U21" i="23"/>
  <c r="P21" i="23"/>
  <c r="I21" i="23"/>
  <c r="G21" i="23"/>
  <c r="U20" i="23"/>
  <c r="P20" i="23"/>
  <c r="I20" i="23"/>
  <c r="G20" i="23"/>
  <c r="U19" i="23"/>
  <c r="P19" i="23"/>
  <c r="I19" i="23"/>
  <c r="G19" i="23"/>
  <c r="F19" i="23"/>
  <c r="U18" i="23"/>
  <c r="U17" i="23"/>
  <c r="P15" i="23"/>
  <c r="G15" i="23"/>
  <c r="F15" i="23"/>
  <c r="I15" i="23"/>
  <c r="U14" i="23"/>
  <c r="P14" i="23"/>
  <c r="I14" i="23"/>
  <c r="G14" i="23"/>
  <c r="F14" i="23"/>
  <c r="U13" i="23"/>
  <c r="I13" i="23"/>
  <c r="G13" i="23"/>
  <c r="U12" i="23"/>
  <c r="P12" i="23"/>
  <c r="I12" i="23"/>
  <c r="G12" i="23"/>
  <c r="F12" i="23"/>
  <c r="U9" i="23"/>
  <c r="K9" i="23"/>
  <c r="J9" i="23"/>
  <c r="U8" i="23"/>
  <c r="P8" i="23"/>
  <c r="I8" i="23"/>
  <c r="G8" i="23"/>
  <c r="F8" i="23"/>
  <c r="U7" i="23"/>
  <c r="P7" i="23"/>
  <c r="I7" i="23"/>
  <c r="G7" i="23"/>
  <c r="F7" i="23"/>
  <c r="C7" i="23"/>
  <c r="U6" i="23"/>
  <c r="K6" i="23"/>
  <c r="J6" i="23"/>
  <c r="U5" i="23"/>
  <c r="K5" i="23"/>
  <c r="J5" i="23"/>
  <c r="U4" i="23"/>
  <c r="K4" i="23"/>
  <c r="J4" i="23"/>
  <c r="U3" i="23"/>
  <c r="C111" i="30" l="1"/>
  <c r="B129" i="30" s="1"/>
  <c r="I111" i="30"/>
  <c r="C129" i="30" s="1"/>
  <c r="C112" i="30"/>
  <c r="B130" i="30" s="1"/>
  <c r="I112" i="30"/>
  <c r="C130" i="30" s="1"/>
  <c r="C114" i="30"/>
  <c r="B132" i="30" s="1"/>
  <c r="I114" i="30"/>
  <c r="C132" i="30" s="1"/>
  <c r="C115" i="30"/>
  <c r="B133" i="30" s="1"/>
  <c r="I115" i="30"/>
  <c r="C133" i="30" s="1"/>
  <c r="C110" i="30"/>
  <c r="B128" i="30" s="1"/>
  <c r="I110" i="30"/>
  <c r="C128" i="30" s="1"/>
  <c r="C116" i="30"/>
  <c r="B134" i="30" s="1"/>
  <c r="I116" i="30"/>
  <c r="C134" i="30" s="1"/>
  <c r="C109" i="30"/>
  <c r="B127" i="30" s="1"/>
  <c r="I109" i="30"/>
  <c r="C127" i="30" s="1"/>
  <c r="C113" i="30"/>
  <c r="B131" i="30" s="1"/>
  <c r="I113" i="30"/>
  <c r="C131" i="30" s="1"/>
  <c r="I9" i="23"/>
  <c r="M32" i="23"/>
  <c r="M35" i="23"/>
  <c r="I6" i="23"/>
  <c r="M19" i="23"/>
  <c r="M20" i="23"/>
  <c r="I32" i="23"/>
  <c r="M13" i="23"/>
  <c r="I28" i="23"/>
  <c r="I3" i="23"/>
  <c r="I4" i="23"/>
  <c r="I29" i="23"/>
  <c r="I26" i="23"/>
  <c r="I5" i="23"/>
  <c r="M8" i="23"/>
  <c r="M14" i="23"/>
  <c r="I18" i="23"/>
  <c r="I17" i="23" l="1"/>
  <c r="N33" i="3" l="1"/>
  <c r="K33" i="3" s="1"/>
  <c r="N34" i="3"/>
  <c r="K34" i="3" s="1"/>
  <c r="N35" i="3"/>
  <c r="K35" i="3" s="1"/>
  <c r="N36" i="3"/>
  <c r="K36" i="3" s="1"/>
  <c r="N37" i="3"/>
  <c r="K37" i="3" s="1"/>
  <c r="N38" i="3"/>
  <c r="K38" i="3" s="1"/>
  <c r="N39" i="3"/>
  <c r="K39" i="3" s="1"/>
  <c r="N32" i="3"/>
  <c r="K32" i="3" s="1"/>
  <c r="M33" i="3"/>
  <c r="J33" i="3" s="1"/>
  <c r="M34" i="3"/>
  <c r="J34" i="3" s="1"/>
  <c r="M35" i="3"/>
  <c r="J35" i="3" s="1"/>
  <c r="M36" i="3"/>
  <c r="J36" i="3" s="1"/>
  <c r="M37" i="3"/>
  <c r="J37" i="3" s="1"/>
  <c r="M38" i="3"/>
  <c r="J38" i="3" s="1"/>
  <c r="M39" i="3"/>
  <c r="J39" i="3" s="1"/>
  <c r="M32" i="3"/>
  <c r="J32" i="3" s="1"/>
  <c r="L33" i="3"/>
  <c r="I33" i="3" s="1"/>
  <c r="L34" i="3"/>
  <c r="I34" i="3" s="1"/>
  <c r="L35" i="3"/>
  <c r="I35" i="3" s="1"/>
  <c r="L36" i="3"/>
  <c r="I36" i="3" s="1"/>
  <c r="L37" i="3"/>
  <c r="I37" i="3" s="1"/>
  <c r="L38" i="3"/>
  <c r="I38" i="3" s="1"/>
  <c r="L39" i="3"/>
  <c r="I39" i="3" s="1"/>
  <c r="L32" i="3"/>
  <c r="I32" i="3" s="1"/>
  <c r="M31" i="3"/>
  <c r="S7" i="27" l="1"/>
  <c r="A3" i="37" l="1"/>
  <c r="E17" i="20"/>
  <c r="K3" i="27"/>
  <c r="B3" i="27"/>
  <c r="D3" i="27" s="1"/>
  <c r="L17" i="27" l="1"/>
  <c r="B33" i="27" s="1"/>
  <c r="C3" i="27"/>
  <c r="G3" i="27" s="1"/>
  <c r="H3" i="27" s="1"/>
  <c r="A24" i="34"/>
  <c r="J3" i="27" l="1"/>
  <c r="I3" i="27"/>
  <c r="N17" i="27"/>
  <c r="B36" i="27" s="1"/>
  <c r="D14" i="20" s="1"/>
  <c r="M17" i="27"/>
  <c r="B35" i="27" s="1"/>
  <c r="C14" i="20" s="1"/>
  <c r="E21" i="18"/>
  <c r="E20" i="18"/>
  <c r="F20" i="18"/>
  <c r="F21" i="18"/>
  <c r="F22" i="18"/>
  <c r="F23" i="18"/>
  <c r="A11" i="18"/>
  <c r="A12" i="18"/>
  <c r="A13" i="18"/>
  <c r="A14" i="18"/>
  <c r="C12" i="34" l="1"/>
  <c r="C74" i="1"/>
  <c r="C75" i="1"/>
  <c r="C76" i="1"/>
  <c r="C77" i="1"/>
  <c r="C78" i="1"/>
  <c r="C79" i="1"/>
  <c r="D67" i="1"/>
  <c r="E67" i="1"/>
  <c r="F67" i="1"/>
  <c r="G67" i="1"/>
  <c r="H67" i="1"/>
  <c r="I67" i="1"/>
  <c r="J67" i="1"/>
  <c r="K67" i="1"/>
  <c r="C67" i="1"/>
  <c r="F39" i="23" l="1"/>
  <c r="H39" i="23" s="1"/>
  <c r="F40" i="23"/>
  <c r="H40" i="23" s="1"/>
  <c r="I40" i="23" s="1"/>
  <c r="F41" i="23"/>
  <c r="H41" i="23" s="1"/>
  <c r="F42" i="23"/>
  <c r="H42" i="23" s="1"/>
  <c r="F43" i="23"/>
  <c r="H43" i="23" s="1"/>
  <c r="D39" i="23"/>
  <c r="D40" i="23"/>
  <c r="D41" i="23"/>
  <c r="D42" i="23"/>
  <c r="D43" i="23"/>
  <c r="J11" i="17"/>
  <c r="M41" i="23" l="1"/>
  <c r="I41" i="23"/>
  <c r="M43" i="23"/>
  <c r="I43" i="23"/>
  <c r="M39" i="23"/>
  <c r="I39" i="23"/>
  <c r="I42" i="23"/>
  <c r="M42" i="23"/>
  <c r="M40" i="23"/>
  <c r="J10" i="17"/>
  <c r="J13" i="17"/>
  <c r="J9" i="17"/>
  <c r="J12" i="17"/>
  <c r="J14" i="17"/>
  <c r="J15" i="17"/>
  <c r="D107" i="1" l="1"/>
  <c r="D110" i="1"/>
  <c r="D113" i="36" l="1"/>
  <c r="D112" i="36"/>
  <c r="D111" i="36"/>
  <c r="D110" i="36"/>
  <c r="D109" i="36"/>
  <c r="D108" i="36"/>
  <c r="D107" i="36"/>
  <c r="D101" i="36"/>
  <c r="D99" i="36"/>
  <c r="D98" i="36"/>
  <c r="D97" i="36"/>
  <c r="D96" i="36"/>
  <c r="D95" i="36"/>
  <c r="D94" i="36"/>
  <c r="D91" i="36"/>
  <c r="D90" i="36"/>
  <c r="D89" i="36"/>
  <c r="D83" i="36"/>
  <c r="D82" i="36"/>
  <c r="D81" i="36"/>
  <c r="D79" i="36"/>
  <c r="D78" i="36"/>
  <c r="D77" i="36"/>
  <c r="D75" i="36"/>
  <c r="D74" i="36"/>
  <c r="D70" i="36"/>
  <c r="D69" i="36"/>
  <c r="D68" i="36"/>
  <c r="D66" i="36"/>
  <c r="D64" i="36"/>
  <c r="D63" i="36"/>
  <c r="D62" i="36"/>
  <c r="D61" i="36"/>
  <c r="D60" i="36"/>
  <c r="D59" i="36"/>
  <c r="D58" i="36"/>
  <c r="D57" i="36"/>
  <c r="D56" i="36"/>
  <c r="D55" i="36"/>
  <c r="D54" i="36"/>
  <c r="D53" i="36"/>
  <c r="D51" i="36"/>
  <c r="D50" i="36"/>
  <c r="D49" i="36"/>
  <c r="D48" i="36"/>
  <c r="D45" i="36"/>
  <c r="D39" i="36"/>
  <c r="D44" i="36"/>
  <c r="D43" i="36"/>
  <c r="D41" i="36"/>
  <c r="D40" i="36"/>
  <c r="D38" i="36"/>
  <c r="D37" i="36"/>
  <c r="D36" i="36"/>
  <c r="D35" i="36"/>
  <c r="D34" i="36"/>
  <c r="D33" i="36"/>
  <c r="C126" i="1"/>
  <c r="C30" i="34" l="1"/>
  <c r="C29" i="34"/>
  <c r="B30" i="34"/>
  <c r="B29" i="34"/>
  <c r="E61" i="41" l="1"/>
  <c r="C58" i="41"/>
  <c r="C69" i="41" s="1"/>
  <c r="C79" i="41" s="1"/>
  <c r="D50" i="41"/>
  <c r="D61" i="41" s="1"/>
  <c r="C50" i="41"/>
  <c r="S6" i="32" l="1"/>
  <c r="W6" i="32" l="1"/>
  <c r="V6" i="32"/>
  <c r="D53" i="1"/>
  <c r="E53" i="1"/>
  <c r="B6" i="18" l="1"/>
  <c r="B5" i="18"/>
  <c r="CA14" i="32" l="1"/>
  <c r="BY14" i="32"/>
  <c r="CA13" i="32"/>
  <c r="BY13" i="32"/>
  <c r="CA12" i="32"/>
  <c r="BY12" i="32"/>
  <c r="CA11" i="32"/>
  <c r="BY11" i="32"/>
  <c r="CA10" i="32"/>
  <c r="BY10" i="32"/>
  <c r="CA9" i="32"/>
  <c r="BY9" i="32"/>
  <c r="CA8" i="32"/>
  <c r="BY8" i="32"/>
  <c r="CA7" i="32"/>
  <c r="BY7" i="32"/>
  <c r="CA6" i="32"/>
  <c r="BY6" i="32"/>
  <c r="BO14" i="32"/>
  <c r="BM14" i="32"/>
  <c r="BO13" i="32"/>
  <c r="BM13" i="32"/>
  <c r="BO12" i="32"/>
  <c r="BM12" i="32"/>
  <c r="BO11" i="32"/>
  <c r="BM11" i="32"/>
  <c r="BO10" i="32"/>
  <c r="BM10" i="32"/>
  <c r="BO9" i="32"/>
  <c r="BM9" i="32"/>
  <c r="BO8" i="32"/>
  <c r="BM8" i="32"/>
  <c r="BO7" i="32"/>
  <c r="BM7" i="32"/>
  <c r="BO6" i="32"/>
  <c r="BM6" i="32"/>
  <c r="BC14" i="32"/>
  <c r="BA14" i="32"/>
  <c r="BC13" i="32"/>
  <c r="BA13" i="32"/>
  <c r="BC12" i="32"/>
  <c r="BA12" i="32"/>
  <c r="BC11" i="32"/>
  <c r="BA11" i="32"/>
  <c r="BC10" i="32"/>
  <c r="BA10" i="32"/>
  <c r="BC9" i="32"/>
  <c r="BA9" i="32"/>
  <c r="BC8" i="32"/>
  <c r="BA8" i="32"/>
  <c r="BC7" i="32"/>
  <c r="BA7" i="32"/>
  <c r="BC6" i="32"/>
  <c r="BA6" i="32"/>
  <c r="AQ14" i="32"/>
  <c r="AO14" i="32"/>
  <c r="AQ13" i="32"/>
  <c r="AO13" i="32"/>
  <c r="AQ12" i="32"/>
  <c r="AO12" i="32"/>
  <c r="AQ11" i="32"/>
  <c r="AO11" i="32"/>
  <c r="AQ10" i="32"/>
  <c r="AO10" i="32"/>
  <c r="AQ9" i="32"/>
  <c r="AO9" i="32"/>
  <c r="AQ8" i="32"/>
  <c r="AO8" i="32"/>
  <c r="AQ7" i="32"/>
  <c r="AO7" i="32"/>
  <c r="AQ6" i="32"/>
  <c r="S14" i="32"/>
  <c r="Q14" i="32"/>
  <c r="S13" i="32"/>
  <c r="Q13" i="32"/>
  <c r="S12" i="32"/>
  <c r="Q12" i="32"/>
  <c r="S11" i="32"/>
  <c r="Q11" i="32"/>
  <c r="S10" i="32"/>
  <c r="Q10" i="32"/>
  <c r="S9" i="32"/>
  <c r="Q9" i="32"/>
  <c r="S8" i="32"/>
  <c r="Q8" i="32"/>
  <c r="S7" i="32"/>
  <c r="Q7" i="32"/>
  <c r="AO6" i="32"/>
  <c r="G14" i="32"/>
  <c r="E14" i="32"/>
  <c r="G13" i="32"/>
  <c r="E13" i="32"/>
  <c r="G12" i="32"/>
  <c r="E12" i="32"/>
  <c r="G11" i="32"/>
  <c r="E11" i="32"/>
  <c r="G10" i="32"/>
  <c r="E10" i="32"/>
  <c r="G9" i="32"/>
  <c r="E9" i="32"/>
  <c r="G8" i="32"/>
  <c r="E8" i="32"/>
  <c r="G7" i="32"/>
  <c r="E7" i="32"/>
  <c r="G6" i="32"/>
  <c r="E6" i="32"/>
  <c r="AE14" i="32"/>
  <c r="AC14" i="32"/>
  <c r="AE13" i="32"/>
  <c r="AC13" i="32"/>
  <c r="AE12" i="32"/>
  <c r="AC12" i="32"/>
  <c r="AE11" i="32"/>
  <c r="AC11" i="32"/>
  <c r="AE10" i="32"/>
  <c r="AC10" i="32"/>
  <c r="AE9" i="32"/>
  <c r="AC9" i="32"/>
  <c r="AE8" i="32"/>
  <c r="AC8" i="32"/>
  <c r="AE7" i="32"/>
  <c r="AC7" i="32"/>
  <c r="AE6" i="32"/>
  <c r="K6" i="32" l="1"/>
  <c r="J6" i="32"/>
  <c r="K8" i="32"/>
  <c r="J8" i="32"/>
  <c r="K10" i="32"/>
  <c r="J10" i="32"/>
  <c r="K12" i="32"/>
  <c r="J12" i="32"/>
  <c r="K14" i="32"/>
  <c r="J14" i="32"/>
  <c r="BS7" i="32"/>
  <c r="BR7" i="32"/>
  <c r="BS9" i="32"/>
  <c r="BR9" i="32"/>
  <c r="BS11" i="32"/>
  <c r="BR11" i="32"/>
  <c r="BS13" i="32"/>
  <c r="BR13" i="32"/>
  <c r="CE7" i="32"/>
  <c r="CD7" i="32"/>
  <c r="CE9" i="32"/>
  <c r="CD9" i="32"/>
  <c r="CE11" i="32"/>
  <c r="CD11" i="32"/>
  <c r="CE13" i="32"/>
  <c r="CD13" i="32"/>
  <c r="W7" i="32"/>
  <c r="V7" i="32"/>
  <c r="W9" i="32"/>
  <c r="V9" i="32"/>
  <c r="W11" i="32"/>
  <c r="V11" i="32"/>
  <c r="W13" i="32"/>
  <c r="V13" i="32"/>
  <c r="K7" i="32"/>
  <c r="J7" i="32"/>
  <c r="K9" i="32"/>
  <c r="J9" i="32"/>
  <c r="K11" i="32"/>
  <c r="J11" i="32"/>
  <c r="K13" i="32"/>
  <c r="J13" i="32"/>
  <c r="BS6" i="32"/>
  <c r="BR6" i="32"/>
  <c r="BS8" i="32"/>
  <c r="BR8" i="32"/>
  <c r="BS10" i="32"/>
  <c r="BR10" i="32"/>
  <c r="BS12" i="32"/>
  <c r="BR12" i="32"/>
  <c r="BS14" i="32"/>
  <c r="BR14" i="32"/>
  <c r="CE6" i="32"/>
  <c r="CD6" i="32"/>
  <c r="CE8" i="32"/>
  <c r="CD8" i="32"/>
  <c r="CE10" i="32"/>
  <c r="CD10" i="32"/>
  <c r="CE12" i="32"/>
  <c r="CD12" i="32"/>
  <c r="CE14" i="32"/>
  <c r="CD14" i="32"/>
  <c r="W8" i="32"/>
  <c r="V8" i="32"/>
  <c r="W10" i="32"/>
  <c r="V10" i="32"/>
  <c r="W12" i="32"/>
  <c r="V12" i="32"/>
  <c r="W14" i="32"/>
  <c r="V14" i="32"/>
  <c r="Q6" i="32"/>
  <c r="BS21" i="32" l="1"/>
  <c r="V21" i="32"/>
  <c r="J21" i="32"/>
  <c r="W21" i="32"/>
  <c r="K21" i="32"/>
  <c r="CD21" i="32"/>
  <c r="CE21" i="32"/>
  <c r="BR21" i="32"/>
  <c r="Q15" i="17"/>
  <c r="Q14" i="17"/>
  <c r="Q13" i="17"/>
  <c r="Q12" i="17"/>
  <c r="Q11" i="17"/>
  <c r="Q9" i="17"/>
  <c r="Q10" i="17"/>
  <c r="E72" i="41" l="1"/>
  <c r="E77" i="41"/>
  <c r="E78" i="41"/>
  <c r="E18" i="10"/>
  <c r="E17" i="10"/>
  <c r="C216" i="1" l="1"/>
  <c r="C217" i="1"/>
  <c r="B216" i="1" l="1"/>
  <c r="C1" i="19"/>
  <c r="D1" i="19"/>
  <c r="A28" i="34" l="1"/>
  <c r="A29" i="34"/>
  <c r="B217" i="1"/>
  <c r="A25" i="34"/>
  <c r="A32" i="34"/>
  <c r="A31" i="34"/>
  <c r="A27" i="34"/>
  <c r="A30" i="34"/>
  <c r="A26" i="34"/>
  <c r="B17" i="3"/>
  <c r="D17" i="3" s="1"/>
  <c r="H17" i="27"/>
  <c r="B29" i="27" s="1"/>
  <c r="K59" i="1"/>
  <c r="Z59" i="1" s="1"/>
  <c r="B63" i="30"/>
  <c r="J59" i="1"/>
  <c r="Y59" i="1" s="1"/>
  <c r="B56" i="30"/>
  <c r="B42" i="30"/>
  <c r="I59" i="1"/>
  <c r="X59" i="1" s="1"/>
  <c r="A3" i="27"/>
  <c r="E17" i="3" l="1"/>
  <c r="G17" i="27"/>
  <c r="B10" i="20"/>
  <c r="G6" i="30"/>
  <c r="G102" i="30" l="1"/>
  <c r="G88" i="30"/>
  <c r="G74" i="30"/>
  <c r="G60" i="30"/>
  <c r="G46" i="30"/>
  <c r="G32" i="30"/>
  <c r="G18" i="30"/>
  <c r="G92" i="30"/>
  <c r="G78" i="30"/>
  <c r="G64" i="30"/>
  <c r="G50" i="30"/>
  <c r="G36" i="30"/>
  <c r="G22" i="30"/>
  <c r="G8" i="30"/>
  <c r="G93" i="30"/>
  <c r="G79" i="30"/>
  <c r="G65" i="30"/>
  <c r="G51" i="30"/>
  <c r="G37" i="30"/>
  <c r="G23" i="30"/>
  <c r="G9" i="30"/>
  <c r="G94" i="30"/>
  <c r="G80" i="30"/>
  <c r="G66" i="30"/>
  <c r="G52" i="30"/>
  <c r="G38" i="30"/>
  <c r="G24" i="30"/>
  <c r="G10" i="30"/>
  <c r="G99" i="30"/>
  <c r="G85" i="30"/>
  <c r="G71" i="30"/>
  <c r="G57" i="30"/>
  <c r="G43" i="30"/>
  <c r="G29" i="30"/>
  <c r="G15" i="30"/>
  <c r="G100" i="30"/>
  <c r="G86" i="30"/>
  <c r="G72" i="30"/>
  <c r="G58" i="30"/>
  <c r="G44" i="30"/>
  <c r="G30" i="30"/>
  <c r="G16" i="30"/>
  <c r="G101" i="30"/>
  <c r="G87" i="30"/>
  <c r="G73" i="30"/>
  <c r="G59" i="30"/>
  <c r="G45" i="30"/>
  <c r="G31" i="30"/>
  <c r="G17" i="30"/>
  <c r="G11" i="30"/>
  <c r="G25" i="30"/>
  <c r="G39" i="30"/>
  <c r="G53" i="30"/>
  <c r="G67" i="30"/>
  <c r="G81" i="30"/>
  <c r="G95" i="30"/>
  <c r="B15" i="20"/>
  <c r="I17" i="27"/>
  <c r="B28" i="27" s="1"/>
  <c r="J17" i="27"/>
  <c r="P6" i="30"/>
  <c r="P10" i="30" l="1"/>
  <c r="P17" i="30" s="1"/>
  <c r="P24" i="30" s="1"/>
  <c r="P31" i="30" s="1"/>
  <c r="P38" i="30" s="1"/>
  <c r="P45" i="30" s="1"/>
  <c r="P52" i="30" s="1"/>
  <c r="P59" i="30" s="1"/>
  <c r="P66" i="30" s="1"/>
  <c r="P11" i="30"/>
  <c r="P18" i="30" s="1"/>
  <c r="P25" i="30" s="1"/>
  <c r="P32" i="30" s="1"/>
  <c r="P39" i="30" s="1"/>
  <c r="P46" i="30" s="1"/>
  <c r="P53" i="30" s="1"/>
  <c r="P60" i="30" s="1"/>
  <c r="P67" i="30" s="1"/>
  <c r="P8" i="30"/>
  <c r="P15" i="30" s="1"/>
  <c r="P22" i="30" s="1"/>
  <c r="P29" i="30" s="1"/>
  <c r="P36" i="30" s="1"/>
  <c r="P43" i="30" s="1"/>
  <c r="P50" i="30" s="1"/>
  <c r="P57" i="30" s="1"/>
  <c r="P64" i="30" s="1"/>
  <c r="P9" i="30"/>
  <c r="P16" i="30" s="1"/>
  <c r="P23" i="30" s="1"/>
  <c r="P30" i="30" s="1"/>
  <c r="P37" i="30" s="1"/>
  <c r="P44" i="30" s="1"/>
  <c r="P51" i="30" s="1"/>
  <c r="P58" i="30" s="1"/>
  <c r="P65" i="30" s="1"/>
  <c r="B30" i="27"/>
  <c r="D15" i="20" s="1"/>
  <c r="D17" i="20" s="1"/>
  <c r="D13" i="41" s="1"/>
  <c r="B38" i="27"/>
  <c r="K6" i="30"/>
  <c r="J6" i="30"/>
  <c r="I6" i="30"/>
  <c r="H6" i="30"/>
  <c r="H92" i="30" l="1"/>
  <c r="H78" i="30"/>
  <c r="H64" i="30"/>
  <c r="H50" i="30"/>
  <c r="H36" i="30"/>
  <c r="H22" i="30"/>
  <c r="H8" i="30"/>
  <c r="H93" i="30"/>
  <c r="H79" i="30"/>
  <c r="H65" i="30"/>
  <c r="H51" i="30"/>
  <c r="H37" i="30"/>
  <c r="H23" i="30"/>
  <c r="H9" i="30"/>
  <c r="H94" i="30"/>
  <c r="H80" i="30"/>
  <c r="H66" i="30"/>
  <c r="H52" i="30"/>
  <c r="H38" i="30"/>
  <c r="H24" i="30"/>
  <c r="H10" i="30"/>
  <c r="H95" i="30"/>
  <c r="H81" i="30"/>
  <c r="H67" i="30"/>
  <c r="H53" i="30"/>
  <c r="H39" i="30"/>
  <c r="H25" i="30"/>
  <c r="H11" i="30"/>
  <c r="H100" i="30"/>
  <c r="H86" i="30"/>
  <c r="H72" i="30"/>
  <c r="H58" i="30"/>
  <c r="H44" i="30"/>
  <c r="H30" i="30"/>
  <c r="H16" i="30"/>
  <c r="H101" i="30"/>
  <c r="H87" i="30"/>
  <c r="H73" i="30"/>
  <c r="H59" i="30"/>
  <c r="H45" i="30"/>
  <c r="H31" i="30"/>
  <c r="H17" i="30"/>
  <c r="H102" i="30"/>
  <c r="H88" i="30"/>
  <c r="H74" i="30"/>
  <c r="H60" i="30"/>
  <c r="H46" i="30"/>
  <c r="H32" i="30"/>
  <c r="H18" i="30"/>
  <c r="H29" i="30"/>
  <c r="H43" i="30"/>
  <c r="H57" i="30"/>
  <c r="H71" i="30"/>
  <c r="H85" i="30"/>
  <c r="H99" i="30"/>
  <c r="H15" i="30"/>
  <c r="I93" i="30"/>
  <c r="I79" i="30"/>
  <c r="I65" i="30"/>
  <c r="I51" i="30"/>
  <c r="I37" i="30"/>
  <c r="I23" i="30"/>
  <c r="I9" i="30"/>
  <c r="I94" i="30"/>
  <c r="I80" i="30"/>
  <c r="I66" i="30"/>
  <c r="I52" i="30"/>
  <c r="I38" i="30"/>
  <c r="I24" i="30"/>
  <c r="I10" i="30"/>
  <c r="I95" i="30"/>
  <c r="I81" i="30"/>
  <c r="I67" i="30"/>
  <c r="I53" i="30"/>
  <c r="I39" i="30"/>
  <c r="I25" i="30"/>
  <c r="I11" i="30"/>
  <c r="I99" i="30"/>
  <c r="I85" i="30"/>
  <c r="I71" i="30"/>
  <c r="I57" i="30"/>
  <c r="I43" i="30"/>
  <c r="I29" i="30"/>
  <c r="I15" i="30"/>
  <c r="I101" i="30"/>
  <c r="I87" i="30"/>
  <c r="I73" i="30"/>
  <c r="I59" i="30"/>
  <c r="I45" i="30"/>
  <c r="I31" i="30"/>
  <c r="I17" i="30"/>
  <c r="I102" i="30"/>
  <c r="I88" i="30"/>
  <c r="I74" i="30"/>
  <c r="I60" i="30"/>
  <c r="I46" i="30"/>
  <c r="I32" i="30"/>
  <c r="I18" i="30"/>
  <c r="I92" i="30"/>
  <c r="I78" i="30"/>
  <c r="I64" i="30"/>
  <c r="I50" i="30"/>
  <c r="I36" i="30"/>
  <c r="I22" i="30"/>
  <c r="I8" i="30"/>
  <c r="I44" i="30"/>
  <c r="I58" i="30"/>
  <c r="I72" i="30"/>
  <c r="I86" i="30"/>
  <c r="I100" i="30"/>
  <c r="I16" i="30"/>
  <c r="I30" i="30"/>
  <c r="K95" i="30"/>
  <c r="K81" i="30"/>
  <c r="K67" i="30"/>
  <c r="K53" i="30"/>
  <c r="K39" i="30"/>
  <c r="K25" i="30"/>
  <c r="K11" i="30"/>
  <c r="K99" i="30"/>
  <c r="K85" i="30"/>
  <c r="K71" i="30"/>
  <c r="K57" i="30"/>
  <c r="K43" i="30"/>
  <c r="K29" i="30"/>
  <c r="K15" i="30"/>
  <c r="K100" i="30"/>
  <c r="K86" i="30"/>
  <c r="K72" i="30"/>
  <c r="K58" i="30"/>
  <c r="K44" i="30"/>
  <c r="K30" i="30"/>
  <c r="K16" i="30"/>
  <c r="K101" i="30"/>
  <c r="K87" i="30"/>
  <c r="K73" i="30"/>
  <c r="K59" i="30"/>
  <c r="K45" i="30"/>
  <c r="K31" i="30"/>
  <c r="K17" i="30"/>
  <c r="K92" i="30"/>
  <c r="K78" i="30"/>
  <c r="K64" i="30"/>
  <c r="K50" i="30"/>
  <c r="K36" i="30"/>
  <c r="K22" i="30"/>
  <c r="K8" i="30"/>
  <c r="K93" i="30"/>
  <c r="K79" i="30"/>
  <c r="K65" i="30"/>
  <c r="K51" i="30"/>
  <c r="K37" i="30"/>
  <c r="K23" i="30"/>
  <c r="K9" i="30"/>
  <c r="K94" i="30"/>
  <c r="K80" i="30"/>
  <c r="K66" i="30"/>
  <c r="K52" i="30"/>
  <c r="K38" i="30"/>
  <c r="K24" i="30"/>
  <c r="K10" i="30"/>
  <c r="K74" i="30"/>
  <c r="K88" i="30"/>
  <c r="K102" i="30"/>
  <c r="K18" i="30"/>
  <c r="K32" i="30"/>
  <c r="K46" i="30"/>
  <c r="K60" i="30"/>
  <c r="J94" i="30"/>
  <c r="J80" i="30"/>
  <c r="J66" i="30"/>
  <c r="J52" i="30"/>
  <c r="J38" i="30"/>
  <c r="J24" i="30"/>
  <c r="J10" i="30"/>
  <c r="J95" i="30"/>
  <c r="J81" i="30"/>
  <c r="J67" i="30"/>
  <c r="J53" i="30"/>
  <c r="J39" i="30"/>
  <c r="J25" i="30"/>
  <c r="J11" i="30"/>
  <c r="J99" i="30"/>
  <c r="J85" i="30"/>
  <c r="J71" i="30"/>
  <c r="J57" i="30"/>
  <c r="J43" i="30"/>
  <c r="J29" i="30"/>
  <c r="J15" i="30"/>
  <c r="J100" i="30"/>
  <c r="J86" i="30"/>
  <c r="J72" i="30"/>
  <c r="J58" i="30"/>
  <c r="J44" i="30"/>
  <c r="J30" i="30"/>
  <c r="J16" i="30"/>
  <c r="J102" i="30"/>
  <c r="J88" i="30"/>
  <c r="J74" i="30"/>
  <c r="J60" i="30"/>
  <c r="J46" i="30"/>
  <c r="J32" i="30"/>
  <c r="J18" i="30"/>
  <c r="J92" i="30"/>
  <c r="J78" i="30"/>
  <c r="J64" i="30"/>
  <c r="J50" i="30"/>
  <c r="J36" i="30"/>
  <c r="J22" i="30"/>
  <c r="J8" i="30"/>
  <c r="J93" i="30"/>
  <c r="J79" i="30"/>
  <c r="J65" i="30"/>
  <c r="J51" i="30"/>
  <c r="J37" i="30"/>
  <c r="J23" i="30"/>
  <c r="J9" i="30"/>
  <c r="J59" i="30"/>
  <c r="J73" i="30"/>
  <c r="J87" i="30"/>
  <c r="J101" i="30"/>
  <c r="J17" i="30"/>
  <c r="J31" i="30"/>
  <c r="J45" i="30"/>
  <c r="P88" i="30"/>
  <c r="P95" i="30" s="1"/>
  <c r="P102" i="30" s="1"/>
  <c r="P74" i="30"/>
  <c r="P86" i="30"/>
  <c r="P93" i="30" s="1"/>
  <c r="P100" i="30" s="1"/>
  <c r="P72" i="30"/>
  <c r="P79" i="30" s="1"/>
  <c r="P85" i="30"/>
  <c r="P92" i="30" s="1"/>
  <c r="P99" i="30" s="1"/>
  <c r="P71" i="30"/>
  <c r="P78" i="30" s="1"/>
  <c r="P87" i="30"/>
  <c r="P94" i="30" s="1"/>
  <c r="P101" i="30" s="1"/>
  <c r="P73" i="30"/>
  <c r="P80" i="30" s="1"/>
  <c r="T6" i="30"/>
  <c r="Q6" i="30"/>
  <c r="S6" i="30"/>
  <c r="R6" i="30"/>
  <c r="C73" i="1"/>
  <c r="E6" i="30"/>
  <c r="F6" i="30"/>
  <c r="A7" i="37"/>
  <c r="A6" i="37"/>
  <c r="F101" i="30" l="1"/>
  <c r="F87" i="30"/>
  <c r="F73" i="30"/>
  <c r="F59" i="30"/>
  <c r="F45" i="30"/>
  <c r="F31" i="30"/>
  <c r="F17" i="30"/>
  <c r="F102" i="30"/>
  <c r="F88" i="30"/>
  <c r="F74" i="30"/>
  <c r="F60" i="30"/>
  <c r="F46" i="30"/>
  <c r="F32" i="30"/>
  <c r="F18" i="30"/>
  <c r="F92" i="30"/>
  <c r="F78" i="30"/>
  <c r="F64" i="30"/>
  <c r="F50" i="30"/>
  <c r="F36" i="30"/>
  <c r="F22" i="30"/>
  <c r="F8" i="30"/>
  <c r="F93" i="30"/>
  <c r="F79" i="30"/>
  <c r="F65" i="30"/>
  <c r="F51" i="30"/>
  <c r="F37" i="30"/>
  <c r="F23" i="30"/>
  <c r="F9" i="30"/>
  <c r="F95" i="30"/>
  <c r="F81" i="30"/>
  <c r="F67" i="30"/>
  <c r="F53" i="30"/>
  <c r="F39" i="30"/>
  <c r="F25" i="30"/>
  <c r="F11" i="30"/>
  <c r="F99" i="30"/>
  <c r="F85" i="30"/>
  <c r="F71" i="30"/>
  <c r="F57" i="30"/>
  <c r="F43" i="30"/>
  <c r="F29" i="30"/>
  <c r="F15" i="30"/>
  <c r="F100" i="30"/>
  <c r="F86" i="30"/>
  <c r="F72" i="30"/>
  <c r="F58" i="30"/>
  <c r="F44" i="30"/>
  <c r="F30" i="30"/>
  <c r="F16" i="30"/>
  <c r="F10" i="30"/>
  <c r="F24" i="30"/>
  <c r="F38" i="30"/>
  <c r="F52" i="30"/>
  <c r="F66" i="30"/>
  <c r="F80" i="30"/>
  <c r="F94" i="30"/>
  <c r="R11" i="30"/>
  <c r="R18" i="30" s="1"/>
  <c r="R25" i="30" s="1"/>
  <c r="R32" i="30" s="1"/>
  <c r="R39" i="30" s="1"/>
  <c r="R46" i="30" s="1"/>
  <c r="R53" i="30" s="1"/>
  <c r="R60" i="30" s="1"/>
  <c r="R67" i="30" s="1"/>
  <c r="R8" i="30"/>
  <c r="R15" i="30" s="1"/>
  <c r="R22" i="30" s="1"/>
  <c r="R29" i="30" s="1"/>
  <c r="R36" i="30" s="1"/>
  <c r="R43" i="30" s="1"/>
  <c r="R50" i="30" s="1"/>
  <c r="R57" i="30" s="1"/>
  <c r="R64" i="30" s="1"/>
  <c r="R9" i="30"/>
  <c r="R16" i="30" s="1"/>
  <c r="R23" i="30" s="1"/>
  <c r="R30" i="30" s="1"/>
  <c r="R37" i="30" s="1"/>
  <c r="R44" i="30" s="1"/>
  <c r="R51" i="30" s="1"/>
  <c r="R58" i="30" s="1"/>
  <c r="R65" i="30" s="1"/>
  <c r="R10" i="30"/>
  <c r="R17" i="30" s="1"/>
  <c r="R24" i="30" s="1"/>
  <c r="R31" i="30" s="1"/>
  <c r="R38" i="30" s="1"/>
  <c r="R45" i="30" s="1"/>
  <c r="R52" i="30" s="1"/>
  <c r="R59" i="30" s="1"/>
  <c r="R66" i="30" s="1"/>
  <c r="E100" i="30"/>
  <c r="E86" i="30"/>
  <c r="E72" i="30"/>
  <c r="E58" i="30"/>
  <c r="E44" i="30"/>
  <c r="E30" i="30"/>
  <c r="E16" i="30"/>
  <c r="E101" i="30"/>
  <c r="E87" i="30"/>
  <c r="E73" i="30"/>
  <c r="E59" i="30"/>
  <c r="E45" i="30"/>
  <c r="E31" i="30"/>
  <c r="E17" i="30"/>
  <c r="E102" i="30"/>
  <c r="E88" i="30"/>
  <c r="E74" i="30"/>
  <c r="E60" i="30"/>
  <c r="E46" i="30"/>
  <c r="E32" i="30"/>
  <c r="E18" i="30"/>
  <c r="E92" i="30"/>
  <c r="E78" i="30"/>
  <c r="E64" i="30"/>
  <c r="E50" i="30"/>
  <c r="E36" i="30"/>
  <c r="E22" i="30"/>
  <c r="E8" i="30"/>
  <c r="E94" i="30"/>
  <c r="E80" i="30"/>
  <c r="E66" i="30"/>
  <c r="E52" i="30"/>
  <c r="E38" i="30"/>
  <c r="E24" i="30"/>
  <c r="E10" i="30"/>
  <c r="E95" i="30"/>
  <c r="E81" i="30"/>
  <c r="E67" i="30"/>
  <c r="E53" i="30"/>
  <c r="E39" i="30"/>
  <c r="E25" i="30"/>
  <c r="E11" i="30"/>
  <c r="E99" i="30"/>
  <c r="E85" i="30"/>
  <c r="E71" i="30"/>
  <c r="E57" i="30"/>
  <c r="E43" i="30"/>
  <c r="E29" i="30"/>
  <c r="E15" i="30"/>
  <c r="E93" i="30"/>
  <c r="E9" i="30"/>
  <c r="E23" i="30"/>
  <c r="E37" i="30"/>
  <c r="E51" i="30"/>
  <c r="E65" i="30"/>
  <c r="E79" i="30"/>
  <c r="S8" i="30"/>
  <c r="S15" i="30" s="1"/>
  <c r="S22" i="30" s="1"/>
  <c r="S29" i="30" s="1"/>
  <c r="S36" i="30" s="1"/>
  <c r="S43" i="30" s="1"/>
  <c r="S50" i="30" s="1"/>
  <c r="S57" i="30" s="1"/>
  <c r="S64" i="30" s="1"/>
  <c r="S9" i="30"/>
  <c r="S16" i="30" s="1"/>
  <c r="S23" i="30" s="1"/>
  <c r="S30" i="30" s="1"/>
  <c r="S37" i="30" s="1"/>
  <c r="S44" i="30" s="1"/>
  <c r="S51" i="30" s="1"/>
  <c r="S58" i="30" s="1"/>
  <c r="S65" i="30" s="1"/>
  <c r="S10" i="30"/>
  <c r="S17" i="30" s="1"/>
  <c r="S24" i="30" s="1"/>
  <c r="S31" i="30" s="1"/>
  <c r="S38" i="30" s="1"/>
  <c r="S45" i="30" s="1"/>
  <c r="S52" i="30" s="1"/>
  <c r="S59" i="30" s="1"/>
  <c r="S66" i="30" s="1"/>
  <c r="S11" i="30"/>
  <c r="S18" i="30" s="1"/>
  <c r="S25" i="30" s="1"/>
  <c r="S32" i="30" s="1"/>
  <c r="S39" i="30" s="1"/>
  <c r="S46" i="30" s="1"/>
  <c r="S53" i="30" s="1"/>
  <c r="S60" i="30" s="1"/>
  <c r="S67" i="30" s="1"/>
  <c r="Q10" i="30"/>
  <c r="Q17" i="30" s="1"/>
  <c r="Q24" i="30" s="1"/>
  <c r="Q31" i="30" s="1"/>
  <c r="Q38" i="30" s="1"/>
  <c r="Q45" i="30" s="1"/>
  <c r="Q52" i="30" s="1"/>
  <c r="Q59" i="30" s="1"/>
  <c r="Q66" i="30" s="1"/>
  <c r="Q11" i="30"/>
  <c r="Q18" i="30" s="1"/>
  <c r="Q25" i="30" s="1"/>
  <c r="Q32" i="30" s="1"/>
  <c r="Q39" i="30" s="1"/>
  <c r="Q46" i="30" s="1"/>
  <c r="Q53" i="30" s="1"/>
  <c r="Q60" i="30" s="1"/>
  <c r="Q67" i="30" s="1"/>
  <c r="Q8" i="30"/>
  <c r="Q15" i="30" s="1"/>
  <c r="Q22" i="30" s="1"/>
  <c r="Q29" i="30" s="1"/>
  <c r="Q36" i="30" s="1"/>
  <c r="Q43" i="30" s="1"/>
  <c r="Q50" i="30" s="1"/>
  <c r="Q57" i="30" s="1"/>
  <c r="Q64" i="30" s="1"/>
  <c r="Q9" i="30"/>
  <c r="Q16" i="30" s="1"/>
  <c r="Q23" i="30" s="1"/>
  <c r="Q30" i="30" s="1"/>
  <c r="Q37" i="30" s="1"/>
  <c r="Q44" i="30" s="1"/>
  <c r="Q51" i="30" s="1"/>
  <c r="Q58" i="30" s="1"/>
  <c r="Q65" i="30" s="1"/>
  <c r="T9" i="30"/>
  <c r="T16" i="30" s="1"/>
  <c r="T23" i="30" s="1"/>
  <c r="T30" i="30" s="1"/>
  <c r="T37" i="30" s="1"/>
  <c r="T44" i="30" s="1"/>
  <c r="T51" i="30" s="1"/>
  <c r="T58" i="30" s="1"/>
  <c r="T65" i="30" s="1"/>
  <c r="T10" i="30"/>
  <c r="T17" i="30" s="1"/>
  <c r="T24" i="30" s="1"/>
  <c r="T31" i="30" s="1"/>
  <c r="T38" i="30" s="1"/>
  <c r="T45" i="30" s="1"/>
  <c r="T52" i="30" s="1"/>
  <c r="T59" i="30" s="1"/>
  <c r="T66" i="30" s="1"/>
  <c r="T11" i="30"/>
  <c r="T18" i="30" s="1"/>
  <c r="T25" i="30" s="1"/>
  <c r="T32" i="30" s="1"/>
  <c r="T39" i="30" s="1"/>
  <c r="T46" i="30" s="1"/>
  <c r="T53" i="30" s="1"/>
  <c r="T60" i="30" s="1"/>
  <c r="T67" i="30" s="1"/>
  <c r="T8" i="30"/>
  <c r="T15" i="30" s="1"/>
  <c r="T22" i="30" s="1"/>
  <c r="T29" i="30" s="1"/>
  <c r="T36" i="30" s="1"/>
  <c r="T43" i="30" s="1"/>
  <c r="T50" i="30" s="1"/>
  <c r="T57" i="30" s="1"/>
  <c r="T64" i="30" s="1"/>
  <c r="P81" i="30"/>
  <c r="D73" i="1"/>
  <c r="B14" i="20"/>
  <c r="D9" i="41" s="1"/>
  <c r="C192" i="1" s="1"/>
  <c r="O6" i="30"/>
  <c r="N6" i="30"/>
  <c r="A11" i="37"/>
  <c r="C52" i="41" s="1"/>
  <c r="C63" i="41" s="1"/>
  <c r="C73" i="41" s="1"/>
  <c r="D74" i="1"/>
  <c r="C88" i="1"/>
  <c r="A10" i="37"/>
  <c r="C51" i="41" s="1"/>
  <c r="C62" i="41" s="1"/>
  <c r="C72" i="41" s="1"/>
  <c r="B126" i="1"/>
  <c r="H75" i="30" l="1"/>
  <c r="L79" i="30"/>
  <c r="L80" i="30"/>
  <c r="L73" i="30"/>
  <c r="J75" i="30"/>
  <c r="I82" i="30"/>
  <c r="N9" i="17"/>
  <c r="B6" i="39"/>
  <c r="O9" i="17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D19" i="32"/>
  <c r="D18" i="32"/>
  <c r="D17" i="32"/>
  <c r="D16" i="32"/>
  <c r="D15" i="32"/>
  <c r="D14" i="32"/>
  <c r="D13" i="32"/>
  <c r="D12" i="32"/>
  <c r="D11" i="32"/>
  <c r="D10" i="32"/>
  <c r="D9" i="32"/>
  <c r="D8" i="32"/>
  <c r="D7" i="32"/>
  <c r="D6" i="32"/>
  <c r="N10" i="30"/>
  <c r="N17" i="30" s="1"/>
  <c r="N24" i="30" s="1"/>
  <c r="N31" i="30" s="1"/>
  <c r="N38" i="30" s="1"/>
  <c r="N45" i="30" s="1"/>
  <c r="N52" i="30" s="1"/>
  <c r="N59" i="30" s="1"/>
  <c r="N66" i="30" s="1"/>
  <c r="N8" i="30"/>
  <c r="N15" i="30" s="1"/>
  <c r="N22" i="30" s="1"/>
  <c r="N29" i="30" s="1"/>
  <c r="N36" i="30" s="1"/>
  <c r="N43" i="30" s="1"/>
  <c r="N50" i="30" s="1"/>
  <c r="N57" i="30" s="1"/>
  <c r="N64" i="30" s="1"/>
  <c r="N9" i="30"/>
  <c r="N11" i="30"/>
  <c r="N18" i="30" s="1"/>
  <c r="N25" i="30" s="1"/>
  <c r="N32" i="30" s="1"/>
  <c r="N39" i="30" s="1"/>
  <c r="N46" i="30" s="1"/>
  <c r="N53" i="30" s="1"/>
  <c r="N60" i="30" s="1"/>
  <c r="N67" i="30" s="1"/>
  <c r="N10" i="17"/>
  <c r="O10" i="17"/>
  <c r="P19" i="32"/>
  <c r="P18" i="32"/>
  <c r="P17" i="32"/>
  <c r="P16" i="32"/>
  <c r="P15" i="32"/>
  <c r="P14" i="32"/>
  <c r="P13" i="32"/>
  <c r="P12" i="32"/>
  <c r="P11" i="32"/>
  <c r="P10" i="32"/>
  <c r="P9" i="32"/>
  <c r="P8" i="32"/>
  <c r="P7" i="32"/>
  <c r="P6" i="32"/>
  <c r="C6" i="39"/>
  <c r="R16" i="32"/>
  <c r="R12" i="32"/>
  <c r="R8" i="32"/>
  <c r="R19" i="32"/>
  <c r="R15" i="32"/>
  <c r="R11" i="32"/>
  <c r="R7" i="32"/>
  <c r="R18" i="32"/>
  <c r="R14" i="32"/>
  <c r="R10" i="32"/>
  <c r="R6" i="32"/>
  <c r="R17" i="32"/>
  <c r="R13" i="32"/>
  <c r="R9" i="32"/>
  <c r="O10" i="30"/>
  <c r="O17" i="30" s="1"/>
  <c r="O24" i="30" s="1"/>
  <c r="O31" i="30" s="1"/>
  <c r="O38" i="30" s="1"/>
  <c r="O45" i="30" s="1"/>
  <c r="O52" i="30" s="1"/>
  <c r="O59" i="30" s="1"/>
  <c r="O66" i="30" s="1"/>
  <c r="O11" i="30"/>
  <c r="O18" i="30" s="1"/>
  <c r="O25" i="30" s="1"/>
  <c r="O32" i="30" s="1"/>
  <c r="O39" i="30" s="1"/>
  <c r="O46" i="30" s="1"/>
  <c r="O53" i="30" s="1"/>
  <c r="O60" i="30" s="1"/>
  <c r="O67" i="30" s="1"/>
  <c r="O9" i="30"/>
  <c r="O16" i="30" s="1"/>
  <c r="O23" i="30" s="1"/>
  <c r="O30" i="30" s="1"/>
  <c r="O37" i="30" s="1"/>
  <c r="O44" i="30" s="1"/>
  <c r="O51" i="30" s="1"/>
  <c r="O58" i="30" s="1"/>
  <c r="O65" i="30" s="1"/>
  <c r="O8" i="30"/>
  <c r="O15" i="30" s="1"/>
  <c r="O22" i="30" s="1"/>
  <c r="O29" i="30" s="1"/>
  <c r="O36" i="30" s="1"/>
  <c r="O43" i="30" s="1"/>
  <c r="O50" i="30" s="1"/>
  <c r="O57" i="30" s="1"/>
  <c r="O64" i="30" s="1"/>
  <c r="H82" i="30"/>
  <c r="I75" i="30"/>
  <c r="F75" i="30"/>
  <c r="L71" i="30"/>
  <c r="L72" i="30"/>
  <c r="T86" i="30"/>
  <c r="T93" i="30" s="1"/>
  <c r="T100" i="30" s="1"/>
  <c r="T72" i="30"/>
  <c r="T79" i="30" s="1"/>
  <c r="T87" i="30"/>
  <c r="T94" i="30" s="1"/>
  <c r="T101" i="30" s="1"/>
  <c r="T73" i="30"/>
  <c r="T80" i="30" s="1"/>
  <c r="S88" i="30"/>
  <c r="S95" i="30" s="1"/>
  <c r="S102" i="30" s="1"/>
  <c r="S74" i="30"/>
  <c r="F82" i="30"/>
  <c r="T85" i="30"/>
  <c r="T92" i="30" s="1"/>
  <c r="T99" i="30" s="1"/>
  <c r="T71" i="30"/>
  <c r="T78" i="30" s="1"/>
  <c r="R85" i="30"/>
  <c r="R92" i="30" s="1"/>
  <c r="R99" i="30" s="1"/>
  <c r="R71" i="30"/>
  <c r="R78" i="30" s="1"/>
  <c r="Q88" i="30"/>
  <c r="Q95" i="30" s="1"/>
  <c r="Q102" i="30" s="1"/>
  <c r="Q74" i="30"/>
  <c r="R87" i="30"/>
  <c r="R94" i="30" s="1"/>
  <c r="R101" i="30" s="1"/>
  <c r="R73" i="30"/>
  <c r="R80" i="30" s="1"/>
  <c r="K75" i="30"/>
  <c r="L74" i="30"/>
  <c r="E75" i="30"/>
  <c r="G75" i="30"/>
  <c r="Q85" i="30"/>
  <c r="Q92" i="30" s="1"/>
  <c r="Q99" i="30" s="1"/>
  <c r="Q71" i="30"/>
  <c r="Q78" i="30" s="1"/>
  <c r="R86" i="30"/>
  <c r="R93" i="30" s="1"/>
  <c r="R100" i="30" s="1"/>
  <c r="R72" i="30"/>
  <c r="R79" i="30" s="1"/>
  <c r="L78" i="30"/>
  <c r="S86" i="30"/>
  <c r="S93" i="30" s="1"/>
  <c r="S100" i="30" s="1"/>
  <c r="S72" i="30"/>
  <c r="S79" i="30" s="1"/>
  <c r="Q87" i="30"/>
  <c r="Q94" i="30" s="1"/>
  <c r="Q101" i="30" s="1"/>
  <c r="Q73" i="30"/>
  <c r="Q80" i="30" s="1"/>
  <c r="R88" i="30"/>
  <c r="R95" i="30" s="1"/>
  <c r="R102" i="30" s="1"/>
  <c r="R74" i="30"/>
  <c r="S87" i="30"/>
  <c r="S94" i="30" s="1"/>
  <c r="S101" i="30" s="1"/>
  <c r="S73" i="30"/>
  <c r="S80" i="30" s="1"/>
  <c r="Q86" i="30"/>
  <c r="Q93" i="30" s="1"/>
  <c r="Q100" i="30" s="1"/>
  <c r="Q72" i="30"/>
  <c r="Q79" i="30" s="1"/>
  <c r="T88" i="30"/>
  <c r="T95" i="30" s="1"/>
  <c r="T102" i="30" s="1"/>
  <c r="T74" i="30"/>
  <c r="S85" i="30"/>
  <c r="S92" i="30" s="1"/>
  <c r="S99" i="30" s="1"/>
  <c r="S71" i="30"/>
  <c r="S78" i="30" s="1"/>
  <c r="K82" i="30"/>
  <c r="L81" i="30"/>
  <c r="E82" i="30"/>
  <c r="G82" i="30"/>
  <c r="J82" i="30"/>
  <c r="D126" i="1"/>
  <c r="E126" i="1"/>
  <c r="B144" i="1"/>
  <c r="N16" i="30"/>
  <c r="N23" i="30" s="1"/>
  <c r="N30" i="30" s="1"/>
  <c r="N37" i="30" s="1"/>
  <c r="N44" i="30" s="1"/>
  <c r="N51" i="30" s="1"/>
  <c r="N58" i="30" s="1"/>
  <c r="N65" i="30" s="1"/>
  <c r="L87" i="30"/>
  <c r="L86" i="30"/>
  <c r="J89" i="30"/>
  <c r="L88" i="30"/>
  <c r="E89" i="30"/>
  <c r="G89" i="30"/>
  <c r="I89" i="30"/>
  <c r="L85" i="30"/>
  <c r="F89" i="30"/>
  <c r="K89" i="30"/>
  <c r="H89" i="30"/>
  <c r="G144" i="1" l="1"/>
  <c r="F144" i="1"/>
  <c r="E144" i="1"/>
  <c r="D144" i="1"/>
  <c r="O86" i="30"/>
  <c r="O93" i="30" s="1"/>
  <c r="O100" i="30" s="1"/>
  <c r="O72" i="30"/>
  <c r="O79" i="30" s="1"/>
  <c r="O87" i="30"/>
  <c r="O94" i="30" s="1"/>
  <c r="O101" i="30" s="1"/>
  <c r="O73" i="30"/>
  <c r="O80" i="30" s="1"/>
  <c r="T81" i="30"/>
  <c r="S81" i="30"/>
  <c r="O88" i="30"/>
  <c r="O95" i="30" s="1"/>
  <c r="O102" i="30" s="1"/>
  <c r="O74" i="30"/>
  <c r="N74" i="30"/>
  <c r="N71" i="30"/>
  <c r="N72" i="30"/>
  <c r="N73" i="30"/>
  <c r="R81" i="30"/>
  <c r="O85" i="30"/>
  <c r="O92" i="30" s="1"/>
  <c r="O99" i="30" s="1"/>
  <c r="O71" i="30"/>
  <c r="O78" i="30" s="1"/>
  <c r="Q81" i="30"/>
  <c r="T75" i="30" l="1"/>
  <c r="R75" i="30"/>
  <c r="S75" i="30"/>
  <c r="K144" i="1"/>
  <c r="Q75" i="30"/>
  <c r="N78" i="30"/>
  <c r="U71" i="30"/>
  <c r="N80" i="30"/>
  <c r="U73" i="30"/>
  <c r="N79" i="30"/>
  <c r="U72" i="30"/>
  <c r="N81" i="30"/>
  <c r="U74" i="30"/>
  <c r="N75" i="30"/>
  <c r="P75" i="30"/>
  <c r="O81" i="30"/>
  <c r="O75" i="30"/>
  <c r="K145" i="1"/>
  <c r="K146" i="1"/>
  <c r="B25" i="34"/>
  <c r="B32" i="34"/>
  <c r="B28" i="34"/>
  <c r="B27" i="34"/>
  <c r="B26" i="34"/>
  <c r="K153" i="1"/>
  <c r="K147" i="1"/>
  <c r="B31" i="34"/>
  <c r="K154" i="1"/>
  <c r="K148" i="1"/>
  <c r="B24" i="34"/>
  <c r="C28" i="34"/>
  <c r="C32" i="34"/>
  <c r="C26" i="34"/>
  <c r="C27" i="34"/>
  <c r="C31" i="34"/>
  <c r="C25" i="34"/>
  <c r="C24" i="34"/>
  <c r="Z4" i="32"/>
  <c r="T82" i="30" l="1"/>
  <c r="O82" i="30"/>
  <c r="Q82" i="30"/>
  <c r="U79" i="30"/>
  <c r="N86" i="30"/>
  <c r="N87" i="30"/>
  <c r="U80" i="30"/>
  <c r="S82" i="30"/>
  <c r="R82" i="30"/>
  <c r="N88" i="30"/>
  <c r="U81" i="30"/>
  <c r="N82" i="30"/>
  <c r="P82" i="30"/>
  <c r="U78" i="30"/>
  <c r="N85" i="30"/>
  <c r="N89" i="30" l="1"/>
  <c r="N96" i="30" s="1"/>
  <c r="O89" i="30"/>
  <c r="O96" i="30" s="1"/>
  <c r="U88" i="30"/>
  <c r="N95" i="30"/>
  <c r="R89" i="30"/>
  <c r="R96" i="30" s="1"/>
  <c r="Q89" i="30"/>
  <c r="Q96" i="30" s="1"/>
  <c r="P89" i="30"/>
  <c r="P96" i="30" s="1"/>
  <c r="S89" i="30"/>
  <c r="S96" i="30" s="1"/>
  <c r="T89" i="30"/>
  <c r="T96" i="30" s="1"/>
  <c r="N92" i="30"/>
  <c r="U85" i="30"/>
  <c r="N94" i="30"/>
  <c r="U87" i="30"/>
  <c r="U86" i="30"/>
  <c r="N93" i="30"/>
  <c r="K134" i="3"/>
  <c r="B15" i="3"/>
  <c r="D15" i="3" s="1"/>
  <c r="B14" i="3"/>
  <c r="D14" i="3" s="1"/>
  <c r="B37" i="2"/>
  <c r="B36" i="2"/>
  <c r="N100" i="30" l="1"/>
  <c r="U100" i="30" s="1"/>
  <c r="U93" i="30"/>
  <c r="N101" i="30"/>
  <c r="U101" i="30" s="1"/>
  <c r="U94" i="30"/>
  <c r="U95" i="30"/>
  <c r="N102" i="30"/>
  <c r="N99" i="30"/>
  <c r="U99" i="30" s="1"/>
  <c r="U92" i="30"/>
  <c r="E64" i="3"/>
  <c r="B159" i="3" s="1"/>
  <c r="C159" i="3" s="1"/>
  <c r="E63" i="3"/>
  <c r="B158" i="3" s="1"/>
  <c r="C158" i="3" s="1"/>
  <c r="E159" i="3" l="1"/>
  <c r="D159" i="3"/>
  <c r="G159" i="3"/>
  <c r="F159" i="3"/>
  <c r="F158" i="3"/>
  <c r="D158" i="3"/>
  <c r="E158" i="3"/>
  <c r="G158" i="3"/>
  <c r="S103" i="30"/>
  <c r="O103" i="30"/>
  <c r="N103" i="30"/>
  <c r="T103" i="30"/>
  <c r="Q103" i="30"/>
  <c r="P103" i="30"/>
  <c r="U102" i="30"/>
  <c r="R103" i="30"/>
  <c r="F63" i="3"/>
  <c r="A132" i="30" l="1"/>
  <c r="A114" i="30" s="1"/>
  <c r="A131" i="30"/>
  <c r="A113" i="30" s="1"/>
  <c r="B49" i="30"/>
  <c r="H59" i="1" l="1"/>
  <c r="W59" i="1" s="1"/>
  <c r="G59" i="1"/>
  <c r="V59" i="1" s="1"/>
  <c r="M161" i="30" l="1"/>
  <c r="I12" i="13" l="1"/>
  <c r="G12" i="13"/>
  <c r="E12" i="13"/>
  <c r="D12" i="13"/>
  <c r="C12" i="13"/>
  <c r="B12" i="13"/>
  <c r="F12" i="13" s="1"/>
  <c r="I11" i="13"/>
  <c r="G11" i="13"/>
  <c r="E11" i="13"/>
  <c r="D11" i="13"/>
  <c r="C11" i="13"/>
  <c r="B11" i="13"/>
  <c r="F11" i="13" s="1"/>
  <c r="I10" i="13"/>
  <c r="G10" i="13"/>
  <c r="E10" i="13"/>
  <c r="D10" i="13"/>
  <c r="C10" i="13"/>
  <c r="B10" i="13"/>
  <c r="F10" i="13" s="1"/>
  <c r="I9" i="13"/>
  <c r="G9" i="13"/>
  <c r="E9" i="13"/>
  <c r="D9" i="13"/>
  <c r="C9" i="13"/>
  <c r="B9" i="13"/>
  <c r="F9" i="13" s="1"/>
  <c r="I8" i="13"/>
  <c r="G8" i="13"/>
  <c r="E8" i="13"/>
  <c r="D8" i="13"/>
  <c r="B8" i="13"/>
  <c r="F8" i="13" s="1"/>
  <c r="E16" i="28"/>
  <c r="C6" i="28" s="1"/>
  <c r="E15" i="28"/>
  <c r="C7" i="28" s="1"/>
  <c r="J78" i="14"/>
  <c r="I78" i="14"/>
  <c r="G78" i="14"/>
  <c r="J77" i="14"/>
  <c r="I77" i="14"/>
  <c r="G77" i="14"/>
  <c r="J75" i="14"/>
  <c r="I75" i="14"/>
  <c r="G75" i="14"/>
  <c r="J74" i="14"/>
  <c r="I74" i="14"/>
  <c r="G74" i="14"/>
  <c r="H58" i="14"/>
  <c r="G58" i="14"/>
  <c r="D57" i="14"/>
  <c r="H48" i="14"/>
  <c r="G48" i="14"/>
  <c r="D47" i="14"/>
  <c r="O21" i="14"/>
  <c r="G21" i="14"/>
  <c r="O20" i="14"/>
  <c r="G20" i="14"/>
  <c r="O19" i="14"/>
  <c r="P19" i="14" s="1"/>
  <c r="G19" i="14"/>
  <c r="H19" i="14" s="1"/>
  <c r="O18" i="14"/>
  <c r="P18" i="14" s="1"/>
  <c r="G18" i="14"/>
  <c r="H18" i="14" s="1"/>
  <c r="O17" i="14"/>
  <c r="G17" i="14"/>
  <c r="O16" i="14"/>
  <c r="G16" i="14"/>
  <c r="O15" i="14"/>
  <c r="G15" i="14"/>
  <c r="O14" i="14"/>
  <c r="G14" i="14"/>
  <c r="A177" i="3"/>
  <c r="I176" i="3"/>
  <c r="H176" i="3"/>
  <c r="E176" i="3"/>
  <c r="D176" i="3"/>
  <c r="A153" i="3"/>
  <c r="I152" i="3"/>
  <c r="H152" i="3"/>
  <c r="E152" i="3"/>
  <c r="D152" i="3"/>
  <c r="K135" i="3"/>
  <c r="K133" i="3"/>
  <c r="K132" i="3"/>
  <c r="K131" i="3"/>
  <c r="K130" i="3"/>
  <c r="B130" i="3"/>
  <c r="H129" i="3"/>
  <c r="G129" i="3"/>
  <c r="F129" i="3"/>
  <c r="E129" i="3"/>
  <c r="D129" i="3"/>
  <c r="D143" i="3" s="1"/>
  <c r="F143" i="3" s="1"/>
  <c r="C129" i="3"/>
  <c r="C143" i="3" s="1"/>
  <c r="B107" i="3"/>
  <c r="H106" i="3"/>
  <c r="G106" i="3"/>
  <c r="F106" i="3"/>
  <c r="E106" i="3"/>
  <c r="D106" i="3"/>
  <c r="C106" i="3"/>
  <c r="B80" i="3"/>
  <c r="E71" i="3"/>
  <c r="B166" i="3" s="1"/>
  <c r="C166" i="3" s="1"/>
  <c r="E65" i="3"/>
  <c r="B160" i="3" s="1"/>
  <c r="C160" i="3" s="1"/>
  <c r="B58" i="3"/>
  <c r="D58" i="3" s="1"/>
  <c r="B32" i="3"/>
  <c r="N31" i="3"/>
  <c r="L31" i="3"/>
  <c r="I31" i="3"/>
  <c r="B16" i="3"/>
  <c r="D16" i="3" s="1"/>
  <c r="B13" i="3"/>
  <c r="D13" i="3" s="1"/>
  <c r="B12" i="3"/>
  <c r="D12" i="3" s="1"/>
  <c r="B11" i="3"/>
  <c r="D11" i="3" s="1"/>
  <c r="B10" i="3"/>
  <c r="D10" i="3" s="1"/>
  <c r="B9" i="3"/>
  <c r="D9" i="3" s="1"/>
  <c r="B41" i="2"/>
  <c r="B38" i="2"/>
  <c r="B35" i="2"/>
  <c r="B34" i="2"/>
  <c r="B33" i="2"/>
  <c r="B32" i="2"/>
  <c r="B31" i="2"/>
  <c r="A32" i="18"/>
  <c r="A31" i="18"/>
  <c r="A30" i="18"/>
  <c r="A29" i="18"/>
  <c r="A28" i="18"/>
  <c r="A27" i="18"/>
  <c r="E16" i="18"/>
  <c r="A16" i="18"/>
  <c r="E15" i="18"/>
  <c r="A15" i="18"/>
  <c r="E14" i="18"/>
  <c r="E13" i="18"/>
  <c r="E12" i="18"/>
  <c r="H12" i="11"/>
  <c r="H11" i="11"/>
  <c r="G30" i="10"/>
  <c r="G29" i="10"/>
  <c r="G28" i="10"/>
  <c r="K18" i="10"/>
  <c r="K17" i="10"/>
  <c r="E3" i="10"/>
  <c r="AD15" i="17"/>
  <c r="AD14" i="17"/>
  <c r="AD13" i="17"/>
  <c r="AD12" i="17"/>
  <c r="AD11" i="17"/>
  <c r="AD10" i="17"/>
  <c r="AD9" i="17"/>
  <c r="C53" i="34"/>
  <c r="B53" i="34"/>
  <c r="A53" i="34"/>
  <c r="C52" i="34"/>
  <c r="B52" i="34"/>
  <c r="A52" i="34"/>
  <c r="C51" i="34"/>
  <c r="B51" i="34"/>
  <c r="A51" i="34"/>
  <c r="B15" i="34"/>
  <c r="E15" i="34" s="1"/>
  <c r="A15" i="34"/>
  <c r="B14" i="34"/>
  <c r="A14" i="34"/>
  <c r="B13" i="34"/>
  <c r="A13" i="34"/>
  <c r="B12" i="34"/>
  <c r="A12" i="34"/>
  <c r="B11" i="34"/>
  <c r="A11" i="34"/>
  <c r="B10" i="34"/>
  <c r="A10" i="34"/>
  <c r="B9" i="34"/>
  <c r="A9" i="34"/>
  <c r="B8" i="34"/>
  <c r="A8" i="34"/>
  <c r="D4" i="39"/>
  <c r="A161" i="30"/>
  <c r="A143" i="30"/>
  <c r="A134" i="30"/>
  <c r="A116" i="30" s="1"/>
  <c r="A133" i="30"/>
  <c r="A115" i="30" s="1"/>
  <c r="A130" i="30"/>
  <c r="A112" i="30" s="1"/>
  <c r="A129" i="30"/>
  <c r="A111" i="30" s="1"/>
  <c r="A128" i="30"/>
  <c r="A110" i="30" s="1"/>
  <c r="A127" i="30"/>
  <c r="A109" i="30" s="1"/>
  <c r="A126" i="30"/>
  <c r="A108" i="30" s="1"/>
  <c r="B35" i="30"/>
  <c r="B28" i="30"/>
  <c r="B21" i="30"/>
  <c r="B14" i="30"/>
  <c r="B7" i="30"/>
  <c r="S58" i="25"/>
  <c r="R58" i="25"/>
  <c r="Q58" i="25"/>
  <c r="P58" i="25"/>
  <c r="O58" i="25"/>
  <c r="N58" i="25"/>
  <c r="M58" i="25"/>
  <c r="L58" i="25"/>
  <c r="K58" i="25"/>
  <c r="J58" i="25"/>
  <c r="I58" i="25"/>
  <c r="H58" i="25"/>
  <c r="G58" i="25"/>
  <c r="F58" i="25"/>
  <c r="E58" i="25"/>
  <c r="D58" i="25"/>
  <c r="C58" i="25"/>
  <c r="G6" i="25"/>
  <c r="A6" i="32"/>
  <c r="A5" i="37"/>
  <c r="A4" i="37"/>
  <c r="A2" i="37"/>
  <c r="B25" i="35"/>
  <c r="E111" i="1"/>
  <c r="B9" i="28"/>
  <c r="D9" i="28" s="1"/>
  <c r="B8" i="28"/>
  <c r="D8" i="28" s="1"/>
  <c r="B7" i="28"/>
  <c r="B6" i="28"/>
  <c r="B5" i="28"/>
  <c r="D5" i="28" s="1"/>
  <c r="F15" i="17"/>
  <c r="F14" i="17"/>
  <c r="F13" i="17"/>
  <c r="F12" i="17"/>
  <c r="F11" i="17"/>
  <c r="F10" i="17"/>
  <c r="F9" i="17"/>
  <c r="D24" i="16"/>
  <c r="D23" i="16"/>
  <c r="D22" i="16"/>
  <c r="D21" i="16"/>
  <c r="D20" i="16"/>
  <c r="D19" i="16"/>
  <c r="D18" i="16"/>
  <c r="C87" i="1"/>
  <c r="C96" i="1" s="1"/>
  <c r="F10" i="18"/>
  <c r="F9" i="18"/>
  <c r="F8" i="18"/>
  <c r="F7" i="18"/>
  <c r="F6" i="18"/>
  <c r="F5" i="18"/>
  <c r="E4" i="18"/>
  <c r="F4" i="18"/>
  <c r="T63" i="30"/>
  <c r="S63" i="30"/>
  <c r="R63" i="30"/>
  <c r="Q63" i="30"/>
  <c r="P63" i="30"/>
  <c r="O63" i="30"/>
  <c r="N63" i="30"/>
  <c r="K63" i="30"/>
  <c r="J63" i="30"/>
  <c r="I63" i="30"/>
  <c r="H63" i="30"/>
  <c r="G63" i="30"/>
  <c r="F63" i="30"/>
  <c r="E63" i="30"/>
  <c r="T56" i="30"/>
  <c r="S56" i="30"/>
  <c r="R56" i="30"/>
  <c r="Q56" i="30"/>
  <c r="P56" i="30"/>
  <c r="O56" i="30"/>
  <c r="N56" i="30"/>
  <c r="K56" i="30"/>
  <c r="J56" i="30"/>
  <c r="I56" i="30"/>
  <c r="H56" i="30"/>
  <c r="G56" i="30"/>
  <c r="F56" i="30"/>
  <c r="E56" i="30"/>
  <c r="F59" i="1"/>
  <c r="U59" i="1" s="1"/>
  <c r="E59" i="1"/>
  <c r="T59" i="1" s="1"/>
  <c r="D59" i="1"/>
  <c r="S59" i="1" s="1"/>
  <c r="T7" i="30"/>
  <c r="S7" i="30"/>
  <c r="R7" i="30"/>
  <c r="Q7" i="30"/>
  <c r="N7" i="30"/>
  <c r="K7" i="30"/>
  <c r="J7" i="30"/>
  <c r="I7" i="30"/>
  <c r="H7" i="30"/>
  <c r="E7" i="30"/>
  <c r="C59" i="1"/>
  <c r="R59" i="1" s="1"/>
  <c r="D10" i="41"/>
  <c r="L161" i="30"/>
  <c r="K161" i="30"/>
  <c r="J161" i="30"/>
  <c r="B11" i="18"/>
  <c r="B202" i="3" l="1"/>
  <c r="C202" i="3"/>
  <c r="E202" i="3"/>
  <c r="E58" i="3"/>
  <c r="B153" i="3" s="1"/>
  <c r="G166" i="3"/>
  <c r="F166" i="3"/>
  <c r="D166" i="3"/>
  <c r="H166" i="3" s="1"/>
  <c r="E166" i="3"/>
  <c r="I166" i="3" s="1"/>
  <c r="D160" i="3"/>
  <c r="G160" i="3"/>
  <c r="F160" i="3"/>
  <c r="E160" i="3"/>
  <c r="E143" i="3"/>
  <c r="I143" i="3" s="1"/>
  <c r="L143" i="3" s="1"/>
  <c r="D137" i="3"/>
  <c r="F137" i="3" s="1"/>
  <c r="D136" i="3"/>
  <c r="D135" i="3"/>
  <c r="D142" i="3"/>
  <c r="D134" i="3"/>
  <c r="F134" i="3" s="1"/>
  <c r="D141" i="3"/>
  <c r="D133" i="3"/>
  <c r="D140" i="3"/>
  <c r="D132" i="3"/>
  <c r="D139" i="3"/>
  <c r="D131" i="3"/>
  <c r="D138" i="3"/>
  <c r="D130" i="3"/>
  <c r="C142" i="3"/>
  <c r="C134" i="3"/>
  <c r="C141" i="3"/>
  <c r="C133" i="3"/>
  <c r="C140" i="3"/>
  <c r="C132" i="3"/>
  <c r="C139" i="3"/>
  <c r="C131" i="3"/>
  <c r="C138" i="3"/>
  <c r="C130" i="3"/>
  <c r="C137" i="3"/>
  <c r="E137" i="3" s="1"/>
  <c r="C136" i="3"/>
  <c r="C135" i="3"/>
  <c r="F71" i="3"/>
  <c r="C113" i="3"/>
  <c r="E113" i="3" s="1"/>
  <c r="C120" i="3"/>
  <c r="E120" i="3" s="1"/>
  <c r="C112" i="3"/>
  <c r="E112" i="3" s="1"/>
  <c r="C119" i="3"/>
  <c r="E119" i="3" s="1"/>
  <c r="C111" i="3"/>
  <c r="C118" i="3"/>
  <c r="E118" i="3" s="1"/>
  <c r="C110" i="3"/>
  <c r="C117" i="3"/>
  <c r="E117" i="3" s="1"/>
  <c r="C109" i="3"/>
  <c r="C116" i="3"/>
  <c r="E116" i="3" s="1"/>
  <c r="C108" i="3"/>
  <c r="C115" i="3"/>
  <c r="E115" i="3" s="1"/>
  <c r="C107" i="3"/>
  <c r="C114" i="3"/>
  <c r="E114" i="3" s="1"/>
  <c r="D115" i="3"/>
  <c r="F115" i="3" s="1"/>
  <c r="D120" i="3"/>
  <c r="F120" i="3" s="1"/>
  <c r="D112" i="3"/>
  <c r="F112" i="3" s="1"/>
  <c r="D117" i="3"/>
  <c r="F117" i="3" s="1"/>
  <c r="D109" i="3"/>
  <c r="D114" i="3"/>
  <c r="F114" i="3" s="1"/>
  <c r="D116" i="3"/>
  <c r="F116" i="3" s="1"/>
  <c r="D108" i="3"/>
  <c r="D119" i="3"/>
  <c r="F119" i="3" s="1"/>
  <c r="D111" i="3"/>
  <c r="D113" i="3"/>
  <c r="F113" i="3" s="1"/>
  <c r="D118" i="3"/>
  <c r="F118" i="3" s="1"/>
  <c r="D110" i="3"/>
  <c r="D107" i="3"/>
  <c r="A12" i="37"/>
  <c r="C53" i="41" s="1"/>
  <c r="C64" i="41" s="1"/>
  <c r="C74" i="41" s="1"/>
  <c r="D75" i="1"/>
  <c r="H4" i="10"/>
  <c r="H6" i="10" s="1"/>
  <c r="F13" i="10" s="1"/>
  <c r="F65" i="3"/>
  <c r="D7" i="28"/>
  <c r="C90" i="1"/>
  <c r="C99" i="1" s="1"/>
  <c r="G31" i="10"/>
  <c r="E44" i="10" s="1"/>
  <c r="A6" i="29"/>
  <c r="B211" i="1" s="1"/>
  <c r="A19" i="29"/>
  <c r="A11" i="19"/>
  <c r="D6" i="28"/>
  <c r="E59" i="3"/>
  <c r="B154" i="3" s="1"/>
  <c r="C154" i="3" s="1"/>
  <c r="E61" i="3"/>
  <c r="B156" i="3" s="1"/>
  <c r="C156" i="3" s="1"/>
  <c r="E62" i="3"/>
  <c r="B157" i="3" s="1"/>
  <c r="C157" i="3" s="1"/>
  <c r="E60" i="3"/>
  <c r="B155" i="3" s="1"/>
  <c r="C155" i="3" s="1"/>
  <c r="D77" i="1"/>
  <c r="AA12" i="17"/>
  <c r="AA14" i="17"/>
  <c r="C6" i="18"/>
  <c r="E5" i="18"/>
  <c r="E9" i="18"/>
  <c r="BE11" i="17"/>
  <c r="BE13" i="17"/>
  <c r="BE15" i="17"/>
  <c r="F53" i="34"/>
  <c r="D15" i="18"/>
  <c r="W12" i="17"/>
  <c r="X12" i="17" s="1"/>
  <c r="Y12" i="17" s="1"/>
  <c r="W10" i="17"/>
  <c r="X10" i="17" s="1"/>
  <c r="Y10" i="17" s="1"/>
  <c r="B54" i="34"/>
  <c r="W14" i="17"/>
  <c r="X14" i="17" s="1"/>
  <c r="Y14" i="17" s="1"/>
  <c r="B14" i="18"/>
  <c r="F52" i="34"/>
  <c r="K15" i="10"/>
  <c r="E10" i="18"/>
  <c r="F51" i="34"/>
  <c r="C54" i="34"/>
  <c r="BE9" i="17"/>
  <c r="AA10" i="17"/>
  <c r="C31" i="18"/>
  <c r="V10" i="17"/>
  <c r="Z10" i="17"/>
  <c r="V12" i="17"/>
  <c r="Z12" i="17"/>
  <c r="V14" i="17"/>
  <c r="Z14" i="17"/>
  <c r="B10" i="18"/>
  <c r="B16" i="18"/>
  <c r="C23" i="18"/>
  <c r="V9" i="17"/>
  <c r="Z9" i="17"/>
  <c r="V11" i="17"/>
  <c r="Z11" i="17"/>
  <c r="V13" i="17"/>
  <c r="Z13" i="17"/>
  <c r="V15" i="17"/>
  <c r="Z15" i="17"/>
  <c r="C16" i="18"/>
  <c r="C12" i="18"/>
  <c r="C8" i="18"/>
  <c r="C29" i="18"/>
  <c r="C25" i="18"/>
  <c r="C21" i="18"/>
  <c r="C7" i="18"/>
  <c r="C5" i="18"/>
  <c r="C32" i="18"/>
  <c r="C28" i="18"/>
  <c r="C24" i="18"/>
  <c r="C20" i="18"/>
  <c r="C14" i="18"/>
  <c r="C11" i="18"/>
  <c r="C10" i="18"/>
  <c r="C30" i="18"/>
  <c r="C26" i="18"/>
  <c r="C22" i="18"/>
  <c r="C15" i="18"/>
  <c r="C13" i="18"/>
  <c r="C9" i="18"/>
  <c r="C4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B15" i="18"/>
  <c r="D13" i="18"/>
  <c r="D9" i="18"/>
  <c r="B7" i="18"/>
  <c r="D5" i="18"/>
  <c r="D4" i="18"/>
  <c r="B32" i="18"/>
  <c r="B31" i="18"/>
  <c r="B30" i="18"/>
  <c r="B29" i="18"/>
  <c r="B28" i="18"/>
  <c r="B27" i="18"/>
  <c r="B26" i="18"/>
  <c r="B25" i="18"/>
  <c r="B24" i="18"/>
  <c r="B23" i="18"/>
  <c r="B22" i="18"/>
  <c r="B21" i="18"/>
  <c r="B20" i="18"/>
  <c r="D14" i="18"/>
  <c r="B13" i="18"/>
  <c r="D12" i="18"/>
  <c r="D11" i="18"/>
  <c r="D10" i="18"/>
  <c r="B9" i="18"/>
  <c r="B4" i="18"/>
  <c r="D16" i="18"/>
  <c r="B12" i="18"/>
  <c r="D8" i="18"/>
  <c r="D6" i="18"/>
  <c r="D7" i="18"/>
  <c r="W9" i="17"/>
  <c r="X9" i="17" s="1"/>
  <c r="Y9" i="17" s="1"/>
  <c r="AA9" i="17"/>
  <c r="BE10" i="17"/>
  <c r="W11" i="17"/>
  <c r="X11" i="17" s="1"/>
  <c r="Y11" i="17" s="1"/>
  <c r="AA11" i="17"/>
  <c r="BE12" i="17"/>
  <c r="W13" i="17"/>
  <c r="X13" i="17" s="1"/>
  <c r="Y13" i="17" s="1"/>
  <c r="AA13" i="17"/>
  <c r="BE14" i="17"/>
  <c r="W15" i="17"/>
  <c r="X15" i="17" s="1"/>
  <c r="Y15" i="17" s="1"/>
  <c r="AA15" i="17"/>
  <c r="B8" i="18"/>
  <c r="C27" i="18"/>
  <c r="D94" i="1"/>
  <c r="C9" i="3"/>
  <c r="E9" i="3" s="1"/>
  <c r="D31" i="2"/>
  <c r="C8" i="2"/>
  <c r="E8" i="2" s="1"/>
  <c r="E22" i="2" s="1"/>
  <c r="G7" i="30"/>
  <c r="D37" i="14"/>
  <c r="P14" i="17"/>
  <c r="D33" i="14"/>
  <c r="P10" i="17"/>
  <c r="F161" i="30"/>
  <c r="D33" i="2"/>
  <c r="C11" i="3"/>
  <c r="E11" i="3" s="1"/>
  <c r="F4" i="39"/>
  <c r="AX4" i="32"/>
  <c r="D35" i="14"/>
  <c r="P12" i="17"/>
  <c r="I161" i="30"/>
  <c r="AL4" i="32"/>
  <c r="E4" i="39"/>
  <c r="E6" i="18"/>
  <c r="E8" i="18"/>
  <c r="D93" i="1"/>
  <c r="G161" i="30"/>
  <c r="B4" i="39"/>
  <c r="B4" i="32"/>
  <c r="G4" i="39"/>
  <c r="BJ4" i="32"/>
  <c r="D78" i="1"/>
  <c r="D88" i="1"/>
  <c r="H161" i="30"/>
  <c r="D32" i="2"/>
  <c r="C10" i="3"/>
  <c r="E10" i="3" s="1"/>
  <c r="D38" i="2"/>
  <c r="C16" i="3"/>
  <c r="E16" i="3" s="1"/>
  <c r="C4" i="39"/>
  <c r="N4" i="32"/>
  <c r="H4" i="39"/>
  <c r="BV4" i="32"/>
  <c r="E7" i="18"/>
  <c r="D79" i="1"/>
  <c r="D32" i="14"/>
  <c r="P9" i="17"/>
  <c r="D34" i="14"/>
  <c r="P11" i="17"/>
  <c r="D36" i="14"/>
  <c r="P13" i="17"/>
  <c r="D38" i="14"/>
  <c r="P15" i="17"/>
  <c r="B167" i="3" l="1"/>
  <c r="E135" i="3"/>
  <c r="H158" i="3"/>
  <c r="E138" i="3"/>
  <c r="H161" i="3"/>
  <c r="E140" i="3"/>
  <c r="H163" i="3"/>
  <c r="E142" i="3"/>
  <c r="H165" i="3"/>
  <c r="F139" i="3"/>
  <c r="I162" i="3"/>
  <c r="F141" i="3"/>
  <c r="I164" i="3"/>
  <c r="F136" i="3"/>
  <c r="I159" i="3"/>
  <c r="E136" i="3"/>
  <c r="H159" i="3"/>
  <c r="E139" i="3"/>
  <c r="I139" i="3" s="1"/>
  <c r="L139" i="3" s="1"/>
  <c r="H162" i="3"/>
  <c r="E141" i="3"/>
  <c r="H164" i="3"/>
  <c r="F138" i="3"/>
  <c r="I161" i="3"/>
  <c r="F140" i="3"/>
  <c r="I163" i="3"/>
  <c r="F142" i="3"/>
  <c r="I165" i="3"/>
  <c r="H160" i="3"/>
  <c r="F135" i="3"/>
  <c r="I158" i="3"/>
  <c r="I160" i="3"/>
  <c r="E130" i="3"/>
  <c r="I137" i="3"/>
  <c r="L137" i="3" s="1"/>
  <c r="D156" i="3"/>
  <c r="H156" i="3" s="1"/>
  <c r="G156" i="3"/>
  <c r="F156" i="3"/>
  <c r="E156" i="3"/>
  <c r="I156" i="3" s="1"/>
  <c r="F155" i="3"/>
  <c r="E155" i="3"/>
  <c r="I155" i="3" s="1"/>
  <c r="D155" i="3"/>
  <c r="G155" i="3"/>
  <c r="G157" i="3"/>
  <c r="F157" i="3"/>
  <c r="D157" i="3"/>
  <c r="H157" i="3" s="1"/>
  <c r="E157" i="3"/>
  <c r="I157" i="3" s="1"/>
  <c r="D154" i="3"/>
  <c r="H154" i="3" s="1"/>
  <c r="G154" i="3"/>
  <c r="F154" i="3"/>
  <c r="E154" i="3"/>
  <c r="I154" i="3" s="1"/>
  <c r="F130" i="3"/>
  <c r="E131" i="3"/>
  <c r="I115" i="3"/>
  <c r="I120" i="3"/>
  <c r="J166" i="3" s="1"/>
  <c r="E132" i="3"/>
  <c r="F131" i="3"/>
  <c r="I117" i="3"/>
  <c r="E134" i="3"/>
  <c r="I134" i="3" s="1"/>
  <c r="L134" i="3" s="1"/>
  <c r="F133" i="3"/>
  <c r="E133" i="3"/>
  <c r="F132" i="3"/>
  <c r="I116" i="3"/>
  <c r="I114" i="3"/>
  <c r="E109" i="3"/>
  <c r="F109" i="3"/>
  <c r="F111" i="3"/>
  <c r="E111" i="3"/>
  <c r="I118" i="3"/>
  <c r="E110" i="3"/>
  <c r="F110" i="3"/>
  <c r="E108" i="3"/>
  <c r="F108" i="3"/>
  <c r="I119" i="3"/>
  <c r="I112" i="3"/>
  <c r="I113" i="3"/>
  <c r="O11" i="17"/>
  <c r="D6" i="39"/>
  <c r="AD19" i="32"/>
  <c r="AD18" i="32"/>
  <c r="AD17" i="32"/>
  <c r="AD16" i="32"/>
  <c r="AD15" i="32"/>
  <c r="AD14" i="32"/>
  <c r="AD13" i="32"/>
  <c r="AD12" i="32"/>
  <c r="AD11" i="32"/>
  <c r="AD10" i="32"/>
  <c r="AD9" i="32"/>
  <c r="AD8" i="32"/>
  <c r="AD7" i="32"/>
  <c r="AD6" i="32"/>
  <c r="AB19" i="32"/>
  <c r="AB18" i="32"/>
  <c r="AB17" i="32"/>
  <c r="AB16" i="32"/>
  <c r="AB15" i="32"/>
  <c r="AB14" i="32"/>
  <c r="AB13" i="32"/>
  <c r="AB12" i="32"/>
  <c r="AB11" i="32"/>
  <c r="AB10" i="32"/>
  <c r="AB9" i="32"/>
  <c r="AB8" i="32"/>
  <c r="AB7" i="32"/>
  <c r="AB6" i="32"/>
  <c r="N11" i="17"/>
  <c r="R11" i="17" s="1"/>
  <c r="BB17" i="32"/>
  <c r="BB13" i="32"/>
  <c r="BB9" i="32"/>
  <c r="AZ18" i="32"/>
  <c r="AZ10" i="32"/>
  <c r="AZ17" i="32"/>
  <c r="AZ9" i="32"/>
  <c r="BB16" i="32"/>
  <c r="BB12" i="32"/>
  <c r="BB8" i="32"/>
  <c r="AZ16" i="32"/>
  <c r="AZ8" i="32"/>
  <c r="N13" i="17"/>
  <c r="BB19" i="32"/>
  <c r="BB15" i="32"/>
  <c r="BB11" i="32"/>
  <c r="BB7" i="32"/>
  <c r="AZ14" i="32"/>
  <c r="AZ6" i="32"/>
  <c r="O13" i="17"/>
  <c r="AZ13" i="32"/>
  <c r="BB18" i="32"/>
  <c r="BB14" i="32"/>
  <c r="BB10" i="32"/>
  <c r="BB6" i="32"/>
  <c r="AZ12" i="32"/>
  <c r="F6" i="39"/>
  <c r="AZ19" i="32"/>
  <c r="AZ15" i="32"/>
  <c r="AZ11" i="32"/>
  <c r="AZ7" i="32"/>
  <c r="BN15" i="32"/>
  <c r="BN12" i="32"/>
  <c r="BN17" i="32"/>
  <c r="BN9" i="32"/>
  <c r="BL16" i="32"/>
  <c r="BL12" i="32"/>
  <c r="BL8" i="32"/>
  <c r="BN14" i="32"/>
  <c r="BN6" i="32"/>
  <c r="O14" i="17"/>
  <c r="BN16" i="32"/>
  <c r="BN8" i="32"/>
  <c r="BN13" i="32"/>
  <c r="BL18" i="32"/>
  <c r="BL14" i="32"/>
  <c r="BL10" i="32"/>
  <c r="BL6" i="32"/>
  <c r="G6" i="39"/>
  <c r="BN18" i="32"/>
  <c r="BN10" i="32"/>
  <c r="BL13" i="32"/>
  <c r="BN11" i="32"/>
  <c r="BL11" i="32"/>
  <c r="BL9" i="32"/>
  <c r="BL7" i="32"/>
  <c r="N14" i="17"/>
  <c r="BN7" i="32"/>
  <c r="BN19" i="32"/>
  <c r="BL19" i="32"/>
  <c r="BL17" i="32"/>
  <c r="BL15" i="32"/>
  <c r="BZ17" i="32"/>
  <c r="BX17" i="32"/>
  <c r="BZ14" i="32"/>
  <c r="BX9" i="32"/>
  <c r="BZ6" i="32"/>
  <c r="BZ19" i="32"/>
  <c r="BX14" i="32"/>
  <c r="BZ11" i="32"/>
  <c r="BX6" i="32"/>
  <c r="N15" i="17"/>
  <c r="BX19" i="32"/>
  <c r="BZ16" i="32"/>
  <c r="BX11" i="32"/>
  <c r="BZ8" i="32"/>
  <c r="BZ18" i="32"/>
  <c r="BX13" i="32"/>
  <c r="BZ10" i="32"/>
  <c r="BX18" i="32"/>
  <c r="BZ15" i="32"/>
  <c r="BX10" i="32"/>
  <c r="BZ7" i="32"/>
  <c r="BX15" i="32"/>
  <c r="BZ12" i="32"/>
  <c r="BX7" i="32"/>
  <c r="BX12" i="32"/>
  <c r="H6" i="39"/>
  <c r="BZ9" i="32"/>
  <c r="O15" i="17"/>
  <c r="BX8" i="32"/>
  <c r="BX16" i="32"/>
  <c r="BZ13" i="32"/>
  <c r="U151" i="30"/>
  <c r="W144" i="30"/>
  <c r="S151" i="30"/>
  <c r="U144" i="30"/>
  <c r="Q151" i="30"/>
  <c r="S144" i="30"/>
  <c r="Y151" i="30"/>
  <c r="Y144" i="30"/>
  <c r="O151" i="30"/>
  <c r="Q144" i="30"/>
  <c r="O144" i="30"/>
  <c r="AA144" i="30"/>
  <c r="AA151" i="30"/>
  <c r="W151" i="30"/>
  <c r="S148" i="30"/>
  <c r="S153" i="30"/>
  <c r="S146" i="30"/>
  <c r="S155" i="30"/>
  <c r="S154" i="30"/>
  <c r="S149" i="30"/>
  <c r="S147" i="30"/>
  <c r="S156" i="30"/>
  <c r="U146" i="30"/>
  <c r="W149" i="30"/>
  <c r="U155" i="30"/>
  <c r="U147" i="30"/>
  <c r="AA148" i="30"/>
  <c r="AA149" i="30"/>
  <c r="Y149" i="30"/>
  <c r="AA146" i="30"/>
  <c r="U149" i="30"/>
  <c r="U156" i="30"/>
  <c r="AA147" i="30"/>
  <c r="AA155" i="30"/>
  <c r="W148" i="30"/>
  <c r="Y154" i="30"/>
  <c r="AA156" i="30"/>
  <c r="U153" i="30"/>
  <c r="W146" i="30"/>
  <c r="W153" i="30"/>
  <c r="Y156" i="30"/>
  <c r="AA154" i="30"/>
  <c r="AA153" i="30"/>
  <c r="W147" i="30"/>
  <c r="Y153" i="30"/>
  <c r="Y146" i="30"/>
  <c r="Y148" i="30"/>
  <c r="Y155" i="30"/>
  <c r="Y147" i="30"/>
  <c r="W154" i="30"/>
  <c r="W156" i="30"/>
  <c r="U154" i="30"/>
  <c r="U148" i="30"/>
  <c r="W155" i="30"/>
  <c r="Q155" i="30"/>
  <c r="Q146" i="30"/>
  <c r="O147" i="30"/>
  <c r="Q154" i="30"/>
  <c r="O156" i="30"/>
  <c r="Q156" i="30"/>
  <c r="Q153" i="30"/>
  <c r="O154" i="30"/>
  <c r="O155" i="30"/>
  <c r="Q147" i="30"/>
  <c r="O153" i="30"/>
  <c r="O146" i="30"/>
  <c r="O148" i="30"/>
  <c r="Q148" i="30"/>
  <c r="Q149" i="30"/>
  <c r="O149" i="30"/>
  <c r="K134" i="30"/>
  <c r="K136" i="30"/>
  <c r="M136" i="30" s="1"/>
  <c r="K135" i="30"/>
  <c r="M135" i="30" s="1"/>
  <c r="K138" i="30"/>
  <c r="M138" i="30" s="1"/>
  <c r="E135" i="30"/>
  <c r="G135" i="30" s="1"/>
  <c r="K133" i="30"/>
  <c r="E134" i="30"/>
  <c r="K137" i="30"/>
  <c r="M137" i="30" s="1"/>
  <c r="E138" i="30"/>
  <c r="G138" i="30" s="1"/>
  <c r="E137" i="30"/>
  <c r="G137" i="30" s="1"/>
  <c r="K128" i="30"/>
  <c r="E139" i="30"/>
  <c r="G139" i="30" s="1"/>
  <c r="K139" i="30"/>
  <c r="M139" i="30" s="1"/>
  <c r="E128" i="30"/>
  <c r="E136" i="30"/>
  <c r="G136" i="30" s="1"/>
  <c r="E133" i="30"/>
  <c r="K131" i="30"/>
  <c r="K130" i="30"/>
  <c r="K127" i="30"/>
  <c r="E129" i="30"/>
  <c r="K132" i="30"/>
  <c r="E127" i="30"/>
  <c r="E132" i="30"/>
  <c r="K129" i="30"/>
  <c r="E130" i="30"/>
  <c r="E131" i="30"/>
  <c r="J134" i="30"/>
  <c r="J136" i="30"/>
  <c r="L136" i="30" s="1"/>
  <c r="J135" i="30"/>
  <c r="L135" i="30" s="1"/>
  <c r="J138" i="30"/>
  <c r="D135" i="30"/>
  <c r="F135" i="30" s="1"/>
  <c r="D134" i="30"/>
  <c r="J133" i="30"/>
  <c r="J137" i="30"/>
  <c r="L137" i="30" s="1"/>
  <c r="D137" i="30"/>
  <c r="F137" i="30" s="1"/>
  <c r="D138" i="30"/>
  <c r="J128" i="30"/>
  <c r="D139" i="30"/>
  <c r="J139" i="30"/>
  <c r="D128" i="30"/>
  <c r="D133" i="30"/>
  <c r="D136" i="30"/>
  <c r="F136" i="30" s="1"/>
  <c r="J130" i="30"/>
  <c r="J127" i="30"/>
  <c r="J131" i="30"/>
  <c r="D130" i="30"/>
  <c r="D132" i="30"/>
  <c r="J129" i="30"/>
  <c r="D129" i="30"/>
  <c r="D131" i="30"/>
  <c r="J132" i="30"/>
  <c r="D127" i="30"/>
  <c r="V72" i="30"/>
  <c r="D41" i="3" s="1"/>
  <c r="W71" i="30"/>
  <c r="D89" i="3" s="1"/>
  <c r="V71" i="30"/>
  <c r="V79" i="30"/>
  <c r="D42" i="3" s="1"/>
  <c r="W78" i="30"/>
  <c r="D90" i="3" s="1"/>
  <c r="V78" i="30"/>
  <c r="V74" i="30"/>
  <c r="V81" i="30"/>
  <c r="J126" i="30"/>
  <c r="V86" i="30"/>
  <c r="D43" i="3" s="1"/>
  <c r="V85" i="30"/>
  <c r="V88" i="30"/>
  <c r="W85" i="30"/>
  <c r="D91" i="3" s="1"/>
  <c r="A10" i="18"/>
  <c r="A26" i="18" s="1"/>
  <c r="F107" i="3"/>
  <c r="E107" i="3"/>
  <c r="F60" i="3"/>
  <c r="F59" i="3"/>
  <c r="C91" i="1"/>
  <c r="C100" i="1" s="1"/>
  <c r="D76" i="1"/>
  <c r="C92" i="1"/>
  <c r="C101" i="1" s="1"/>
  <c r="A14" i="37"/>
  <c r="C55" i="41" s="1"/>
  <c r="C66" i="41" s="1"/>
  <c r="C76" i="41" s="1"/>
  <c r="A16" i="37"/>
  <c r="C57" i="41" s="1"/>
  <c r="C68" i="41" s="1"/>
  <c r="C78" i="41" s="1"/>
  <c r="A13" i="37"/>
  <c r="C54" i="41" s="1"/>
  <c r="C65" i="41" s="1"/>
  <c r="C75" i="41" s="1"/>
  <c r="A15" i="37"/>
  <c r="C56" i="41" s="1"/>
  <c r="C67" i="41" s="1"/>
  <c r="C77" i="41" s="1"/>
  <c r="D10" i="28"/>
  <c r="C153" i="3"/>
  <c r="C167" i="3" s="1"/>
  <c r="F58" i="3"/>
  <c r="H4" i="18"/>
  <c r="H5" i="18"/>
  <c r="B6" i="29"/>
  <c r="B19" i="29"/>
  <c r="A11" i="17"/>
  <c r="B20" i="16"/>
  <c r="C20" i="16" s="1"/>
  <c r="D90" i="1"/>
  <c r="D99" i="1"/>
  <c r="H118" i="1" s="1"/>
  <c r="H11" i="13" s="1"/>
  <c r="J11" i="13" s="1"/>
  <c r="L11" i="13" s="1"/>
  <c r="M11" i="13" s="1"/>
  <c r="B34" i="14"/>
  <c r="E34" i="14" s="1"/>
  <c r="A6" i="18"/>
  <c r="A22" i="18" s="1"/>
  <c r="A13" i="19"/>
  <c r="D92" i="1"/>
  <c r="A8" i="29"/>
  <c r="B213" i="1" s="1"/>
  <c r="A21" i="29"/>
  <c r="H20" i="18"/>
  <c r="I20" i="18" s="1"/>
  <c r="F54" i="34"/>
  <c r="H8" i="18"/>
  <c r="H28" i="18"/>
  <c r="I28" i="18" s="1"/>
  <c r="H7" i="18"/>
  <c r="H10" i="18"/>
  <c r="H6" i="18"/>
  <c r="H13" i="18"/>
  <c r="I13" i="18" s="1"/>
  <c r="H30" i="18"/>
  <c r="H12" i="18"/>
  <c r="I12" i="18" s="1"/>
  <c r="H9" i="18"/>
  <c r="H15" i="18"/>
  <c r="I15" i="18" s="1"/>
  <c r="H11" i="18"/>
  <c r="I11" i="18" s="1"/>
  <c r="H29" i="18"/>
  <c r="I29" i="18" s="1"/>
  <c r="H14" i="18"/>
  <c r="I14" i="18" s="1"/>
  <c r="H32" i="18"/>
  <c r="H31" i="18"/>
  <c r="H21" i="18"/>
  <c r="H27" i="18"/>
  <c r="I27" i="18" s="1"/>
  <c r="H16" i="18"/>
  <c r="I16" i="18" s="1"/>
  <c r="A17" i="29"/>
  <c r="A9" i="19"/>
  <c r="A4" i="29"/>
  <c r="B209" i="1" s="1"/>
  <c r="C97" i="1"/>
  <c r="E13" i="34"/>
  <c r="C14" i="34"/>
  <c r="E14" i="34" s="1"/>
  <c r="C93" i="1"/>
  <c r="C102" i="1" s="1"/>
  <c r="A14" i="19"/>
  <c r="A22" i="29"/>
  <c r="A9" i="29"/>
  <c r="B214" i="1" s="1"/>
  <c r="C89" i="1"/>
  <c r="C98" i="1" s="1"/>
  <c r="A10" i="19"/>
  <c r="A18" i="29"/>
  <c r="A5" i="29"/>
  <c r="B210" i="1" s="1"/>
  <c r="E12" i="34"/>
  <c r="A10" i="29"/>
  <c r="B215" i="1" s="1"/>
  <c r="A15" i="19"/>
  <c r="A23" i="29"/>
  <c r="C94" i="1"/>
  <c r="C103" i="1" s="1"/>
  <c r="A7" i="29"/>
  <c r="B212" i="1" s="1"/>
  <c r="A12" i="19"/>
  <c r="A20" i="29"/>
  <c r="K126" i="30"/>
  <c r="B172" i="1"/>
  <c r="G172" i="1" s="1"/>
  <c r="B173" i="1"/>
  <c r="G173" i="1" s="1"/>
  <c r="H155" i="3" l="1"/>
  <c r="I141" i="3"/>
  <c r="L141" i="3" s="1"/>
  <c r="I140" i="3"/>
  <c r="L140" i="3" s="1"/>
  <c r="I142" i="3"/>
  <c r="L142" i="3" s="1"/>
  <c r="I138" i="3"/>
  <c r="L138" i="3" s="1"/>
  <c r="J158" i="3"/>
  <c r="K182" i="3" s="1"/>
  <c r="J162" i="3"/>
  <c r="I136" i="3"/>
  <c r="L136" i="3" s="1"/>
  <c r="I135" i="3"/>
  <c r="L135" i="3" s="1"/>
  <c r="J159" i="3"/>
  <c r="J160" i="3"/>
  <c r="J163" i="3"/>
  <c r="J161" i="3"/>
  <c r="J165" i="3"/>
  <c r="J164" i="3"/>
  <c r="I130" i="3"/>
  <c r="L130" i="3" s="1"/>
  <c r="I111" i="3"/>
  <c r="J157" i="3" s="1"/>
  <c r="I133" i="3"/>
  <c r="L133" i="3" s="1"/>
  <c r="I132" i="3"/>
  <c r="I131" i="3"/>
  <c r="I108" i="3"/>
  <c r="J154" i="3" s="1"/>
  <c r="I110" i="3"/>
  <c r="J156" i="3" s="1"/>
  <c r="I109" i="3"/>
  <c r="AN19" i="32"/>
  <c r="AN18" i="32"/>
  <c r="AN17" i="32"/>
  <c r="AN16" i="32"/>
  <c r="AN15" i="32"/>
  <c r="AN14" i="32"/>
  <c r="AN13" i="32"/>
  <c r="AN12" i="32"/>
  <c r="AN11" i="32"/>
  <c r="AN10" i="32"/>
  <c r="AN9" i="32"/>
  <c r="AN8" i="32"/>
  <c r="AN7" i="32"/>
  <c r="AN6" i="32"/>
  <c r="E6" i="39"/>
  <c r="N12" i="17"/>
  <c r="R12" i="17" s="1"/>
  <c r="O12" i="17"/>
  <c r="AP16" i="32"/>
  <c r="AP12" i="32"/>
  <c r="AP8" i="32"/>
  <c r="AP19" i="32"/>
  <c r="AP15" i="32"/>
  <c r="AP11" i="32"/>
  <c r="AP7" i="32"/>
  <c r="AP18" i="32"/>
  <c r="AP14" i="32"/>
  <c r="AP10" i="32"/>
  <c r="AP6" i="32"/>
  <c r="AP17" i="32"/>
  <c r="AP13" i="32"/>
  <c r="AP9" i="32"/>
  <c r="B23" i="11"/>
  <c r="H6" i="29"/>
  <c r="AG11" i="17"/>
  <c r="AF11" i="17"/>
  <c r="B11" i="17"/>
  <c r="F173" i="1"/>
  <c r="H173" i="1"/>
  <c r="E173" i="1"/>
  <c r="E172" i="1"/>
  <c r="H172" i="1"/>
  <c r="F172" i="1"/>
  <c r="A43" i="34"/>
  <c r="A42" i="34"/>
  <c r="E74" i="14"/>
  <c r="H75" i="14" s="1"/>
  <c r="K75" i="14" s="1"/>
  <c r="I31" i="18"/>
  <c r="I30" i="18"/>
  <c r="I32" i="18"/>
  <c r="D91" i="1"/>
  <c r="I21" i="18"/>
  <c r="D89" i="1"/>
  <c r="A41" i="34"/>
  <c r="D34" i="41"/>
  <c r="B174" i="1"/>
  <c r="G174" i="1" s="1"/>
  <c r="B175" i="1"/>
  <c r="G175" i="1" s="1"/>
  <c r="B176" i="1"/>
  <c r="G176" i="1" s="1"/>
  <c r="T11" i="17"/>
  <c r="L57" i="30"/>
  <c r="F133" i="30" s="1"/>
  <c r="D101" i="1"/>
  <c r="J118" i="1" s="1"/>
  <c r="L64" i="30"/>
  <c r="F134" i="30" s="1"/>
  <c r="E113" i="1"/>
  <c r="C8" i="13" s="1"/>
  <c r="E21" i="14"/>
  <c r="H21" i="14" s="1"/>
  <c r="B11" i="19"/>
  <c r="I107" i="3"/>
  <c r="G153" i="3"/>
  <c r="F153" i="3"/>
  <c r="A13" i="17"/>
  <c r="A8" i="18"/>
  <c r="A24" i="18" s="1"/>
  <c r="B22" i="16"/>
  <c r="C22" i="16" s="1"/>
  <c r="B21" i="29"/>
  <c r="E153" i="3"/>
  <c r="D153" i="3"/>
  <c r="H153" i="3" s="1"/>
  <c r="B8" i="29"/>
  <c r="B36" i="14"/>
  <c r="E36" i="14" s="1"/>
  <c r="R13" i="17"/>
  <c r="I61" i="30"/>
  <c r="O4" i="18"/>
  <c r="U58" i="30"/>
  <c r="K68" i="30"/>
  <c r="G61" i="30"/>
  <c r="L65" i="30"/>
  <c r="O61" i="30"/>
  <c r="L59" i="30"/>
  <c r="U65" i="30"/>
  <c r="E68" i="30"/>
  <c r="L67" i="30"/>
  <c r="H68" i="30"/>
  <c r="U60" i="30"/>
  <c r="U66" i="30"/>
  <c r="R68" i="30"/>
  <c r="S61" i="30"/>
  <c r="F14" i="20"/>
  <c r="T61" i="30"/>
  <c r="U59" i="30"/>
  <c r="L58" i="30"/>
  <c r="O68" i="30"/>
  <c r="N68" i="30"/>
  <c r="U67" i="30"/>
  <c r="P68" i="30"/>
  <c r="B19" i="16"/>
  <c r="C19" i="16" s="1"/>
  <c r="B33" i="14"/>
  <c r="E33" i="14" s="1"/>
  <c r="A5" i="18"/>
  <c r="A21" i="18" s="1"/>
  <c r="A10" i="17"/>
  <c r="R10" i="17"/>
  <c r="B5" i="29"/>
  <c r="D98" i="1"/>
  <c r="G118" i="1" s="1"/>
  <c r="H10" i="13" s="1"/>
  <c r="J10" i="13" s="1"/>
  <c r="L10" i="13" s="1"/>
  <c r="M10" i="13" s="1"/>
  <c r="B18" i="29"/>
  <c r="B23" i="16"/>
  <c r="C23" i="16" s="1"/>
  <c r="B37" i="14"/>
  <c r="E37" i="14" s="1"/>
  <c r="A9" i="18"/>
  <c r="A25" i="18" s="1"/>
  <c r="R14" i="17"/>
  <c r="A14" i="17"/>
  <c r="B9" i="29"/>
  <c r="D102" i="1"/>
  <c r="K118" i="1" s="1"/>
  <c r="B22" i="29"/>
  <c r="J61" i="30"/>
  <c r="K61" i="30"/>
  <c r="B18" i="16"/>
  <c r="C18" i="16" s="1"/>
  <c r="B32" i="14"/>
  <c r="E32" i="14" s="1"/>
  <c r="A9" i="17"/>
  <c r="A4" i="18"/>
  <c r="A20" i="18" s="1"/>
  <c r="R9" i="17"/>
  <c r="B17" i="29"/>
  <c r="D97" i="1"/>
  <c r="B4" i="29"/>
  <c r="F61" i="30"/>
  <c r="Q68" i="30"/>
  <c r="B24" i="16"/>
  <c r="C24" i="16" s="1"/>
  <c r="B38" i="14"/>
  <c r="E38" i="14" s="1"/>
  <c r="R15" i="17"/>
  <c r="A15" i="17"/>
  <c r="B10" i="29"/>
  <c r="D103" i="1"/>
  <c r="L118" i="1" s="1"/>
  <c r="B23" i="29"/>
  <c r="Q61" i="30"/>
  <c r="P61" i="30"/>
  <c r="B35" i="14"/>
  <c r="E35" i="14" s="1"/>
  <c r="B21" i="16"/>
  <c r="C21" i="16" s="1"/>
  <c r="A7" i="18"/>
  <c r="A23" i="18" s="1"/>
  <c r="A12" i="17"/>
  <c r="B20" i="29"/>
  <c r="B7" i="29"/>
  <c r="D100" i="1"/>
  <c r="I118" i="1" s="1"/>
  <c r="H12" i="13" s="1"/>
  <c r="J12" i="13" s="1"/>
  <c r="L12" i="13" s="1"/>
  <c r="M12" i="13" s="1"/>
  <c r="F68" i="30"/>
  <c r="L66" i="30"/>
  <c r="U57" i="30"/>
  <c r="G133" i="30" s="1"/>
  <c r="J68" i="30"/>
  <c r="R61" i="30"/>
  <c r="H61" i="30"/>
  <c r="E61" i="30"/>
  <c r="L60" i="30"/>
  <c r="U64" i="30"/>
  <c r="G134" i="30" s="1"/>
  <c r="T68" i="30"/>
  <c r="I68" i="30"/>
  <c r="S68" i="30"/>
  <c r="N61" i="30"/>
  <c r="G68" i="30"/>
  <c r="F31" i="34"/>
  <c r="F25" i="34"/>
  <c r="F35" i="34"/>
  <c r="F26" i="34"/>
  <c r="F37" i="34"/>
  <c r="F32" i="34"/>
  <c r="F24" i="34"/>
  <c r="F36" i="34"/>
  <c r="I153" i="3" l="1"/>
  <c r="I167" i="3" s="1"/>
  <c r="E167" i="3"/>
  <c r="B201" i="3"/>
  <c r="E20" i="14" s="1"/>
  <c r="F167" i="3"/>
  <c r="D167" i="3"/>
  <c r="H167" i="3"/>
  <c r="C201" i="3"/>
  <c r="E73" i="14" s="1"/>
  <c r="G167" i="3"/>
  <c r="L132" i="3"/>
  <c r="I144" i="3"/>
  <c r="J155" i="3"/>
  <c r="I121" i="3"/>
  <c r="J153" i="3"/>
  <c r="L131" i="3"/>
  <c r="B26" i="11"/>
  <c r="H9" i="29"/>
  <c r="H5" i="29"/>
  <c r="G5" i="29"/>
  <c r="B25" i="11"/>
  <c r="H8" i="29"/>
  <c r="G8" i="29"/>
  <c r="O23" i="11"/>
  <c r="P23" i="11" s="1"/>
  <c r="L23" i="11"/>
  <c r="E23" i="11"/>
  <c r="F23" i="11" s="1"/>
  <c r="G23" i="11" s="1"/>
  <c r="I23" i="11" s="1"/>
  <c r="D23" i="11"/>
  <c r="H4" i="29"/>
  <c r="C21" i="11" s="1"/>
  <c r="G4" i="29"/>
  <c r="B24" i="11"/>
  <c r="G7" i="29"/>
  <c r="H7" i="29"/>
  <c r="B27" i="11"/>
  <c r="H10" i="29"/>
  <c r="B12" i="17"/>
  <c r="AF12" i="17"/>
  <c r="AG12" i="17"/>
  <c r="B14" i="17"/>
  <c r="AG14" i="17"/>
  <c r="AF14" i="17"/>
  <c r="AG9" i="17"/>
  <c r="B9" i="17"/>
  <c r="AF9" i="17"/>
  <c r="AG15" i="17"/>
  <c r="AF15" i="17"/>
  <c r="B15" i="17"/>
  <c r="AF10" i="17"/>
  <c r="AG10" i="17"/>
  <c r="B10" i="17"/>
  <c r="AG13" i="17"/>
  <c r="B13" i="17"/>
  <c r="AF13" i="17"/>
  <c r="F175" i="1"/>
  <c r="E175" i="1"/>
  <c r="H175" i="1"/>
  <c r="E176" i="1"/>
  <c r="F176" i="1"/>
  <c r="H176" i="1"/>
  <c r="H174" i="1"/>
  <c r="F174" i="1"/>
  <c r="E174" i="1"/>
  <c r="L134" i="30"/>
  <c r="L133" i="30"/>
  <c r="M134" i="30"/>
  <c r="M133" i="30"/>
  <c r="A45" i="34"/>
  <c r="A46" i="34"/>
  <c r="A44" i="34"/>
  <c r="K184" i="3"/>
  <c r="D38" i="41"/>
  <c r="W64" i="30"/>
  <c r="D88" i="3" s="1"/>
  <c r="W57" i="30"/>
  <c r="D87" i="3" s="1"/>
  <c r="B22" i="11"/>
  <c r="B21" i="11"/>
  <c r="T14" i="17"/>
  <c r="T10" i="17"/>
  <c r="T13" i="17"/>
  <c r="T9" i="17"/>
  <c r="T12" i="17"/>
  <c r="T15" i="17"/>
  <c r="V64" i="30"/>
  <c r="V57" i="30"/>
  <c r="V67" i="30"/>
  <c r="V58" i="30"/>
  <c r="D39" i="3" s="1"/>
  <c r="V65" i="30"/>
  <c r="D40" i="3" s="1"/>
  <c r="V60" i="30"/>
  <c r="B13" i="19"/>
  <c r="B10" i="19"/>
  <c r="B14" i="19"/>
  <c r="B12" i="19"/>
  <c r="B15" i="19"/>
  <c r="F118" i="1"/>
  <c r="B9" i="19"/>
  <c r="L144" i="3" l="1"/>
  <c r="J167" i="3"/>
  <c r="E15" i="14" s="1"/>
  <c r="J23" i="11"/>
  <c r="M23" i="11"/>
  <c r="O26" i="11"/>
  <c r="P26" i="11" s="1"/>
  <c r="L26" i="11"/>
  <c r="E26" i="11"/>
  <c r="F26" i="11" s="1"/>
  <c r="G26" i="11" s="1"/>
  <c r="I26" i="11" s="1"/>
  <c r="D26" i="11"/>
  <c r="O24" i="11"/>
  <c r="P24" i="11" s="1"/>
  <c r="L24" i="11"/>
  <c r="E24" i="11"/>
  <c r="F24" i="11" s="1"/>
  <c r="G24" i="11" s="1"/>
  <c r="I24" i="11" s="1"/>
  <c r="D24" i="11"/>
  <c r="O21" i="11"/>
  <c r="P21" i="11" s="1"/>
  <c r="L21" i="11"/>
  <c r="E21" i="11"/>
  <c r="F21" i="11" s="1"/>
  <c r="D21" i="11"/>
  <c r="O22" i="11"/>
  <c r="P22" i="11" s="1"/>
  <c r="L22" i="11"/>
  <c r="E22" i="11"/>
  <c r="F22" i="11" s="1"/>
  <c r="G22" i="11" s="1"/>
  <c r="I22" i="11" s="1"/>
  <c r="D22" i="11"/>
  <c r="O25" i="11"/>
  <c r="P25" i="11" s="1"/>
  <c r="L25" i="11"/>
  <c r="E25" i="11"/>
  <c r="F25" i="11" s="1"/>
  <c r="G25" i="11" s="1"/>
  <c r="I25" i="11" s="1"/>
  <c r="D25" i="11"/>
  <c r="O27" i="11"/>
  <c r="P27" i="11" s="1"/>
  <c r="L27" i="11"/>
  <c r="E27" i="11"/>
  <c r="F27" i="11" s="1"/>
  <c r="G27" i="11" s="1"/>
  <c r="I27" i="11" s="1"/>
  <c r="D27" i="11"/>
  <c r="AH17" i="32"/>
  <c r="AI18" i="32"/>
  <c r="H9" i="13"/>
  <c r="J9" i="13" s="1"/>
  <c r="L9" i="13" s="1"/>
  <c r="M9" i="13" s="1"/>
  <c r="E118" i="1"/>
  <c r="M27" i="11" l="1"/>
  <c r="M26" i="11"/>
  <c r="J25" i="11"/>
  <c r="J26" i="11"/>
  <c r="M25" i="11"/>
  <c r="J27" i="11"/>
  <c r="M24" i="11"/>
  <c r="J24" i="11"/>
  <c r="M21" i="11"/>
  <c r="N21" i="11" s="1"/>
  <c r="Q21" i="11" s="1"/>
  <c r="J22" i="11"/>
  <c r="F28" i="11"/>
  <c r="G21" i="11"/>
  <c r="M22" i="11"/>
  <c r="H8" i="13"/>
  <c r="J8" i="13" s="1"/>
  <c r="L8" i="13" s="1"/>
  <c r="M8" i="13" s="1"/>
  <c r="M13" i="13" s="1"/>
  <c r="E17" i="14"/>
  <c r="M17" i="14"/>
  <c r="R21" i="11" l="1"/>
  <c r="AI19" i="32"/>
  <c r="I21" i="11"/>
  <c r="G28" i="11"/>
  <c r="P17" i="14"/>
  <c r="H17" i="14"/>
  <c r="J21" i="11" l="1"/>
  <c r="I28" i="11"/>
  <c r="K21" i="11" l="1"/>
  <c r="J28" i="11"/>
  <c r="O7" i="30" l="1"/>
  <c r="F7" i="30" l="1"/>
  <c r="L8" i="30" s="1"/>
  <c r="L9" i="30" l="1"/>
  <c r="J12" i="30"/>
  <c r="I12" i="30"/>
  <c r="L11" i="30"/>
  <c r="F12" i="30"/>
  <c r="L10" i="30"/>
  <c r="K12" i="30"/>
  <c r="E12" i="30"/>
  <c r="H12" i="30"/>
  <c r="G12" i="30"/>
  <c r="P7" i="30"/>
  <c r="H135" i="30" l="1"/>
  <c r="B152" i="30" s="1"/>
  <c r="N137" i="30"/>
  <c r="D154" i="30" s="1"/>
  <c r="H137" i="30"/>
  <c r="B154" i="30" s="1"/>
  <c r="H136" i="30"/>
  <c r="B153" i="30" s="1"/>
  <c r="L126" i="30"/>
  <c r="N126" i="30" s="1"/>
  <c r="D143" i="30" s="1"/>
  <c r="U8" i="30"/>
  <c r="M126" i="30" s="1"/>
  <c r="T12" i="30"/>
  <c r="AA143" i="30" s="1"/>
  <c r="U11" i="30"/>
  <c r="R12" i="30"/>
  <c r="W143" i="30" s="1"/>
  <c r="S12" i="30"/>
  <c r="Y143" i="30" s="1"/>
  <c r="U9" i="30"/>
  <c r="N12" i="30"/>
  <c r="O143" i="30" s="1"/>
  <c r="O12" i="30"/>
  <c r="Q143" i="30" s="1"/>
  <c r="U10" i="30"/>
  <c r="Q12" i="30"/>
  <c r="U143" i="30" s="1"/>
  <c r="P12" i="30"/>
  <c r="S143" i="30" s="1"/>
  <c r="B172" i="30" l="1"/>
  <c r="H154" i="30"/>
  <c r="F154" i="30"/>
  <c r="Z17" i="32" s="1"/>
  <c r="AF17" i="32" s="1"/>
  <c r="AJ17" i="32" s="1"/>
  <c r="V9" i="30"/>
  <c r="D32" i="3" s="1"/>
  <c r="V11" i="30"/>
  <c r="O139" i="30"/>
  <c r="E156" i="30" s="1"/>
  <c r="I137" i="30"/>
  <c r="C154" i="30" s="1"/>
  <c r="O138" i="30"/>
  <c r="E155" i="30" s="1"/>
  <c r="I136" i="30"/>
  <c r="C153" i="30" s="1"/>
  <c r="I135" i="30"/>
  <c r="C152" i="30" s="1"/>
  <c r="O137" i="30"/>
  <c r="E154" i="30" s="1"/>
  <c r="W8" i="30"/>
  <c r="D80" i="3" s="1"/>
  <c r="V8" i="30"/>
  <c r="O126" i="30"/>
  <c r="E143" i="30" s="1"/>
  <c r="B17" i="32" l="1"/>
  <c r="H17" i="32" s="1"/>
  <c r="L17" i="32" s="1"/>
  <c r="C172" i="30"/>
  <c r="D172" i="30" s="1"/>
  <c r="E172" i="30" s="1"/>
  <c r="BJ17" i="32"/>
  <c r="BP17" i="32" s="1"/>
  <c r="BT17" i="32" s="1"/>
  <c r="N17" i="32"/>
  <c r="T17" i="32" s="1"/>
  <c r="X17" i="32" s="1"/>
  <c r="BV17" i="32"/>
  <c r="CB17" i="32" s="1"/>
  <c r="CF17" i="32" s="1"/>
  <c r="AL17" i="32"/>
  <c r="AR17" i="32" s="1"/>
  <c r="AV17" i="32" s="1"/>
  <c r="AX17" i="32"/>
  <c r="BD17" i="32" s="1"/>
  <c r="BF17" i="32" s="1"/>
  <c r="G154" i="30"/>
  <c r="L154" i="30" s="1"/>
  <c r="C42" i="2" s="1"/>
  <c r="E42" i="2" s="1"/>
  <c r="I154" i="30"/>
  <c r="I14" i="30"/>
  <c r="H14" i="30"/>
  <c r="G14" i="30"/>
  <c r="N172" i="30" l="1"/>
  <c r="O172" i="30" s="1"/>
  <c r="P172" i="30"/>
  <c r="Q172" i="30" s="1"/>
  <c r="C91" i="3"/>
  <c r="F42" i="2"/>
  <c r="BH17" i="32"/>
  <c r="CH17" i="32" s="1"/>
  <c r="N154" i="30"/>
  <c r="BW17" i="32"/>
  <c r="CC17" i="32" s="1"/>
  <c r="CG17" i="32" s="1"/>
  <c r="AM17" i="32"/>
  <c r="AS17" i="32" s="1"/>
  <c r="AW17" i="32" s="1"/>
  <c r="O17" i="32"/>
  <c r="U17" i="32" s="1"/>
  <c r="Y17" i="32" s="1"/>
  <c r="AY17" i="32"/>
  <c r="BE17" i="32" s="1"/>
  <c r="BK17" i="32"/>
  <c r="BQ17" i="32" s="1"/>
  <c r="BU17" i="32" s="1"/>
  <c r="C17" i="32"/>
  <c r="I17" i="32" s="1"/>
  <c r="M17" i="32" s="1"/>
  <c r="AA17" i="32"/>
  <c r="AG17" i="32" s="1"/>
  <c r="G21" i="30"/>
  <c r="H21" i="30"/>
  <c r="I21" i="30"/>
  <c r="Q14" i="30"/>
  <c r="U145" i="30" s="1"/>
  <c r="R172" i="30" l="1"/>
  <c r="V154" i="30"/>
  <c r="P154" i="30"/>
  <c r="X154" i="30"/>
  <c r="T154" i="30"/>
  <c r="AB154" i="30"/>
  <c r="Z154" i="30"/>
  <c r="R154" i="30"/>
  <c r="C43" i="3"/>
  <c r="G43" i="3" s="1"/>
  <c r="O43" i="3" s="1"/>
  <c r="P43" i="3" s="1"/>
  <c r="BI17" i="32"/>
  <c r="BG17" i="32"/>
  <c r="AI17" i="32"/>
  <c r="AK17" i="32"/>
  <c r="H28" i="30"/>
  <c r="I28" i="30"/>
  <c r="G28" i="30"/>
  <c r="Q21" i="30"/>
  <c r="U152" i="30" s="1"/>
  <c r="R14" i="30"/>
  <c r="W145" i="30" s="1"/>
  <c r="CI17" i="32" l="1"/>
  <c r="H35" i="30"/>
  <c r="I35" i="30"/>
  <c r="G35" i="30"/>
  <c r="Q28" i="30"/>
  <c r="R21" i="30"/>
  <c r="W152" i="30" s="1"/>
  <c r="P14" i="30"/>
  <c r="S145" i="30" s="1"/>
  <c r="S14" i="30"/>
  <c r="J14" i="30"/>
  <c r="Y145" i="30" l="1"/>
  <c r="G42" i="30"/>
  <c r="H42" i="30"/>
  <c r="I42" i="30"/>
  <c r="Q35" i="30"/>
  <c r="J21" i="30"/>
  <c r="S21" i="30"/>
  <c r="R28" i="30"/>
  <c r="P21" i="30"/>
  <c r="S152" i="30" s="1"/>
  <c r="Y152" i="30" l="1"/>
  <c r="H49" i="30"/>
  <c r="G49" i="30"/>
  <c r="I49" i="30"/>
  <c r="Q42" i="30"/>
  <c r="S28" i="30"/>
  <c r="R35" i="30"/>
  <c r="J28" i="30"/>
  <c r="P28" i="30"/>
  <c r="Q49" i="30" l="1"/>
  <c r="R42" i="30"/>
  <c r="J35" i="30"/>
  <c r="S35" i="30"/>
  <c r="P35" i="30"/>
  <c r="J42" i="30" l="1"/>
  <c r="S42" i="30"/>
  <c r="R49" i="30"/>
  <c r="P42" i="30"/>
  <c r="F62" i="3" l="1"/>
  <c r="D35" i="2"/>
  <c r="C13" i="3"/>
  <c r="E13" i="3" s="1"/>
  <c r="D37" i="2"/>
  <c r="F64" i="3"/>
  <c r="C15" i="3"/>
  <c r="E15" i="3" s="1"/>
  <c r="S49" i="30"/>
  <c r="J49" i="30"/>
  <c r="P49" i="30"/>
  <c r="F28" i="34" l="1"/>
  <c r="F30" i="34"/>
  <c r="C14" i="3"/>
  <c r="E14" i="3" s="1"/>
  <c r="D36" i="2"/>
  <c r="F61" i="3"/>
  <c r="C12" i="3"/>
  <c r="E12" i="3" s="1"/>
  <c r="E23" i="3" s="1"/>
  <c r="D34" i="2"/>
  <c r="T14" i="30"/>
  <c r="K14" i="30"/>
  <c r="AA145" i="30" l="1"/>
  <c r="C38" i="34"/>
  <c r="N14" i="30"/>
  <c r="E14" i="30"/>
  <c r="F27" i="34"/>
  <c r="B38" i="34"/>
  <c r="K21" i="30"/>
  <c r="T21" i="30"/>
  <c r="O14" i="30"/>
  <c r="F14" i="30"/>
  <c r="AA152" i="30" l="1"/>
  <c r="Q145" i="30"/>
  <c r="O145" i="30"/>
  <c r="L93" i="30"/>
  <c r="V93" i="30" s="1"/>
  <c r="D44" i="3" s="1"/>
  <c r="L94" i="30"/>
  <c r="L92" i="30"/>
  <c r="K96" i="30"/>
  <c r="H74" i="14"/>
  <c r="F29" i="34"/>
  <c r="F38" i="34" s="1"/>
  <c r="C11" i="34"/>
  <c r="E11" i="34" s="1"/>
  <c r="T19" i="30"/>
  <c r="C15" i="20"/>
  <c r="F19" i="30"/>
  <c r="O19" i="30"/>
  <c r="E21" i="30"/>
  <c r="N21" i="30"/>
  <c r="E19" i="30"/>
  <c r="L17" i="30"/>
  <c r="F127" i="30" s="1"/>
  <c r="H127" i="30" s="1"/>
  <c r="B144" i="30" s="1"/>
  <c r="L15" i="30"/>
  <c r="L127" i="30" s="1"/>
  <c r="N127" i="30" s="1"/>
  <c r="D144" i="30" s="1"/>
  <c r="L18" i="30"/>
  <c r="L16" i="30"/>
  <c r="H19" i="30"/>
  <c r="G19" i="30"/>
  <c r="I19" i="30"/>
  <c r="J19" i="30"/>
  <c r="K19" i="30"/>
  <c r="U17" i="30"/>
  <c r="G127" i="30" s="1"/>
  <c r="I127" i="30" s="1"/>
  <c r="C144" i="30" s="1"/>
  <c r="U15" i="30"/>
  <c r="M127" i="30" s="1"/>
  <c r="O127" i="30" s="1"/>
  <c r="E144" i="30" s="1"/>
  <c r="N19" i="30"/>
  <c r="U16" i="30"/>
  <c r="U18" i="30"/>
  <c r="Q19" i="30"/>
  <c r="R19" i="30"/>
  <c r="P19" i="30"/>
  <c r="S19" i="30"/>
  <c r="K28" i="30"/>
  <c r="T28" i="30"/>
  <c r="O21" i="30"/>
  <c r="F21" i="30"/>
  <c r="B162" i="30" l="1"/>
  <c r="F144" i="30"/>
  <c r="C162" i="30"/>
  <c r="AA150" i="30"/>
  <c r="W150" i="30"/>
  <c r="O150" i="30"/>
  <c r="G144" i="30"/>
  <c r="Q150" i="30"/>
  <c r="H144" i="30"/>
  <c r="L138" i="30"/>
  <c r="N138" i="30" s="1"/>
  <c r="D155" i="30" s="1"/>
  <c r="F138" i="30"/>
  <c r="Y150" i="30"/>
  <c r="I144" i="30"/>
  <c r="S150" i="30"/>
  <c r="O152" i="30"/>
  <c r="U150" i="30"/>
  <c r="Q152" i="30"/>
  <c r="O136" i="30"/>
  <c r="E153" i="30" s="1"/>
  <c r="C171" i="30" s="1"/>
  <c r="I134" i="30"/>
  <c r="C151" i="30" s="1"/>
  <c r="N134" i="30"/>
  <c r="D151" i="30" s="1"/>
  <c r="O134" i="30"/>
  <c r="E151" i="30" s="1"/>
  <c r="O135" i="30"/>
  <c r="E152" i="30" s="1"/>
  <c r="C170" i="30" s="1"/>
  <c r="I133" i="30"/>
  <c r="C150" i="30" s="1"/>
  <c r="H134" i="30"/>
  <c r="B151" i="30" s="1"/>
  <c r="N136" i="30"/>
  <c r="D153" i="30" s="1"/>
  <c r="B171" i="30" s="1"/>
  <c r="N133" i="30"/>
  <c r="D150" i="30" s="1"/>
  <c r="N135" i="30"/>
  <c r="D152" i="30" s="1"/>
  <c r="B170" i="30" s="1"/>
  <c r="H133" i="30"/>
  <c r="B150" i="30" s="1"/>
  <c r="O133" i="30"/>
  <c r="E150" i="30" s="1"/>
  <c r="V92" i="30"/>
  <c r="L101" i="30"/>
  <c r="L99" i="30"/>
  <c r="L100" i="30"/>
  <c r="V100" i="30" s="1"/>
  <c r="D45" i="3" s="1"/>
  <c r="E96" i="30"/>
  <c r="L95" i="30"/>
  <c r="V95" i="30" s="1"/>
  <c r="I96" i="30"/>
  <c r="H96" i="30"/>
  <c r="G96" i="30"/>
  <c r="J96" i="30"/>
  <c r="F96" i="30"/>
  <c r="K103" i="30"/>
  <c r="B68" i="14"/>
  <c r="K74" i="14"/>
  <c r="D35" i="41"/>
  <c r="D36" i="41" s="1"/>
  <c r="C17" i="20"/>
  <c r="B3" i="20" s="1"/>
  <c r="D11" i="41"/>
  <c r="C194" i="1"/>
  <c r="W15" i="30"/>
  <c r="D81" i="3" s="1"/>
  <c r="F15" i="20"/>
  <c r="F17" i="20" s="1"/>
  <c r="V15" i="30"/>
  <c r="O26" i="30"/>
  <c r="F26" i="30"/>
  <c r="K26" i="30"/>
  <c r="V16" i="30"/>
  <c r="D33" i="3" s="1"/>
  <c r="N28" i="30"/>
  <c r="V18" i="30"/>
  <c r="E28" i="30"/>
  <c r="T26" i="30"/>
  <c r="U25" i="30"/>
  <c r="U22" i="30"/>
  <c r="N26" i="30"/>
  <c r="U23" i="30"/>
  <c r="I139" i="30" s="1"/>
  <c r="C156" i="30" s="1"/>
  <c r="C174" i="30" s="1"/>
  <c r="U24" i="30"/>
  <c r="G128" i="30" s="1"/>
  <c r="I128" i="30" s="1"/>
  <c r="C145" i="30" s="1"/>
  <c r="Q26" i="30"/>
  <c r="R26" i="30"/>
  <c r="P26" i="30"/>
  <c r="S26" i="30"/>
  <c r="L24" i="30"/>
  <c r="F128" i="30" s="1"/>
  <c r="H128" i="30" s="1"/>
  <c r="B145" i="30" s="1"/>
  <c r="E26" i="30"/>
  <c r="L23" i="30"/>
  <c r="L22" i="30"/>
  <c r="L25" i="30"/>
  <c r="G26" i="30"/>
  <c r="I26" i="30"/>
  <c r="H26" i="30"/>
  <c r="J26" i="30"/>
  <c r="K35" i="30"/>
  <c r="T35" i="30"/>
  <c r="O28" i="30"/>
  <c r="F28" i="30"/>
  <c r="J144" i="30" l="1"/>
  <c r="K144" i="30" s="1"/>
  <c r="B169" i="30"/>
  <c r="L144" i="30"/>
  <c r="D162" i="30"/>
  <c r="E162" i="30" s="1"/>
  <c r="P162" i="30" s="1"/>
  <c r="Q162" i="30" s="1"/>
  <c r="N144" i="30"/>
  <c r="X144" i="30" s="1"/>
  <c r="D170" i="30"/>
  <c r="E170" i="30" s="1"/>
  <c r="C169" i="30"/>
  <c r="D171" i="30"/>
  <c r="E171" i="30" s="1"/>
  <c r="C168" i="30"/>
  <c r="B168" i="30"/>
  <c r="L139" i="30"/>
  <c r="N139" i="30" s="1"/>
  <c r="D156" i="30" s="1"/>
  <c r="F139" i="30"/>
  <c r="H139" i="30" s="1"/>
  <c r="B156" i="30" s="1"/>
  <c r="I138" i="30"/>
  <c r="C155" i="30" s="1"/>
  <c r="C173" i="30" s="1"/>
  <c r="M128" i="30"/>
  <c r="O128" i="30" s="1"/>
  <c r="E145" i="30" s="1"/>
  <c r="G145" i="30" s="1"/>
  <c r="H138" i="30"/>
  <c r="B155" i="30" s="1"/>
  <c r="L128" i="30"/>
  <c r="N128" i="30" s="1"/>
  <c r="D145" i="30" s="1"/>
  <c r="F145" i="30" s="1"/>
  <c r="J154" i="30"/>
  <c r="K154" i="30" s="1"/>
  <c r="E91" i="3" s="1"/>
  <c r="G152" i="30"/>
  <c r="I152" i="30"/>
  <c r="G153" i="30"/>
  <c r="I153" i="30"/>
  <c r="H153" i="30"/>
  <c r="F153" i="30"/>
  <c r="H152" i="30"/>
  <c r="F152" i="30"/>
  <c r="I150" i="30"/>
  <c r="G150" i="30"/>
  <c r="I151" i="30"/>
  <c r="G151" i="30"/>
  <c r="I156" i="30"/>
  <c r="G156" i="30"/>
  <c r="H151" i="30"/>
  <c r="F151" i="30"/>
  <c r="H150" i="30"/>
  <c r="F150" i="30"/>
  <c r="V99" i="30"/>
  <c r="W92" i="30"/>
  <c r="D92" i="3" s="1"/>
  <c r="E103" i="30"/>
  <c r="L102" i="30"/>
  <c r="V102" i="30" s="1"/>
  <c r="H103" i="30"/>
  <c r="I103" i="30"/>
  <c r="G103" i="30"/>
  <c r="J103" i="30"/>
  <c r="F103" i="30"/>
  <c r="D12" i="41"/>
  <c r="C193" i="1"/>
  <c r="D39" i="41"/>
  <c r="C3" i="20"/>
  <c r="W22" i="30"/>
  <c r="D82" i="3" s="1"/>
  <c r="V22" i="30"/>
  <c r="F33" i="30"/>
  <c r="O33" i="30"/>
  <c r="V23" i="30"/>
  <c r="D34" i="3" s="1"/>
  <c r="V25" i="30"/>
  <c r="U29" i="30"/>
  <c r="M129" i="30" s="1"/>
  <c r="O129" i="30" s="1"/>
  <c r="E146" i="30" s="1"/>
  <c r="U31" i="30"/>
  <c r="G129" i="30" s="1"/>
  <c r="I129" i="30" s="1"/>
  <c r="C146" i="30" s="1"/>
  <c r="U32" i="30"/>
  <c r="U30" i="30"/>
  <c r="N33" i="30"/>
  <c r="Q33" i="30"/>
  <c r="R33" i="30"/>
  <c r="P33" i="30"/>
  <c r="S33" i="30"/>
  <c r="N35" i="30"/>
  <c r="L31" i="30"/>
  <c r="F129" i="30" s="1"/>
  <c r="H129" i="30" s="1"/>
  <c r="B146" i="30" s="1"/>
  <c r="L29" i="30"/>
  <c r="L129" i="30" s="1"/>
  <c r="N129" i="30" s="1"/>
  <c r="D146" i="30" s="1"/>
  <c r="E33" i="30"/>
  <c r="L30" i="30"/>
  <c r="L32" i="30"/>
  <c r="G33" i="30"/>
  <c r="H33" i="30"/>
  <c r="I33" i="30"/>
  <c r="J33" i="30"/>
  <c r="T33" i="30"/>
  <c r="K33" i="30"/>
  <c r="E35" i="30"/>
  <c r="K42" i="30"/>
  <c r="T42" i="30"/>
  <c r="O35" i="30"/>
  <c r="F35" i="30"/>
  <c r="D169" i="30" l="1"/>
  <c r="E169" i="30" s="1"/>
  <c r="N169" i="30" s="1"/>
  <c r="O169" i="30" s="1"/>
  <c r="N170" i="30"/>
  <c r="O170" i="30" s="1"/>
  <c r="P170" i="30"/>
  <c r="Q170" i="30" s="1"/>
  <c r="F91" i="3"/>
  <c r="G91" i="3" s="1"/>
  <c r="N171" i="30"/>
  <c r="O171" i="30" s="1"/>
  <c r="P171" i="30"/>
  <c r="Q171" i="30" s="1"/>
  <c r="N162" i="30"/>
  <c r="V144" i="30"/>
  <c r="Z144" i="30"/>
  <c r="AB144" i="30"/>
  <c r="G155" i="30"/>
  <c r="AA18" i="32" s="1"/>
  <c r="AG18" i="32" s="1"/>
  <c r="AK18" i="32" s="1"/>
  <c r="T144" i="30"/>
  <c r="R144" i="30"/>
  <c r="P144" i="30"/>
  <c r="B164" i="30"/>
  <c r="C163" i="30"/>
  <c r="B174" i="30"/>
  <c r="D174" i="30" s="1"/>
  <c r="E174" i="30" s="1"/>
  <c r="H156" i="30"/>
  <c r="I155" i="30"/>
  <c r="D168" i="30"/>
  <c r="E168" i="30" s="1"/>
  <c r="N168" i="30" s="1"/>
  <c r="O168" i="30" s="1"/>
  <c r="C15" i="32"/>
  <c r="I15" i="32" s="1"/>
  <c r="M15" i="32" s="1"/>
  <c r="BK15" i="32"/>
  <c r="BQ15" i="32" s="1"/>
  <c r="BU15" i="32" s="1"/>
  <c r="AY15" i="32"/>
  <c r="BE15" i="32" s="1"/>
  <c r="AA15" i="32"/>
  <c r="AG15" i="32" s="1"/>
  <c r="AK15" i="32" s="1"/>
  <c r="BW15" i="32"/>
  <c r="CC15" i="32" s="1"/>
  <c r="CG15" i="32" s="1"/>
  <c r="O15" i="32"/>
  <c r="U15" i="32" s="1"/>
  <c r="Y15" i="32" s="1"/>
  <c r="AM15" i="32"/>
  <c r="AS15" i="32" s="1"/>
  <c r="AW15" i="32" s="1"/>
  <c r="N150" i="30"/>
  <c r="P150" i="30" s="1"/>
  <c r="I146" i="30"/>
  <c r="C164" i="30"/>
  <c r="N151" i="30"/>
  <c r="AB151" i="30" s="1"/>
  <c r="BK16" i="32"/>
  <c r="BQ16" i="32" s="1"/>
  <c r="BU16" i="32" s="1"/>
  <c r="O16" i="32"/>
  <c r="U16" i="32" s="1"/>
  <c r="Y16" i="32" s="1"/>
  <c r="AA16" i="32"/>
  <c r="AG16" i="32" s="1"/>
  <c r="AK16" i="32" s="1"/>
  <c r="AY16" i="32"/>
  <c r="BE16" i="32" s="1"/>
  <c r="BW16" i="32"/>
  <c r="CC16" i="32" s="1"/>
  <c r="CG16" i="32" s="1"/>
  <c r="C16" i="32"/>
  <c r="I16" i="32" s="1"/>
  <c r="M16" i="32" s="1"/>
  <c r="AM16" i="32"/>
  <c r="AS16" i="32" s="1"/>
  <c r="AW16" i="32" s="1"/>
  <c r="BJ15" i="32"/>
  <c r="BP15" i="32" s="1"/>
  <c r="BT15" i="32" s="1"/>
  <c r="Z15" i="32"/>
  <c r="AF15" i="32" s="1"/>
  <c r="AJ15" i="32" s="1"/>
  <c r="N15" i="32"/>
  <c r="T15" i="32" s="1"/>
  <c r="X15" i="32" s="1"/>
  <c r="BV15" i="32"/>
  <c r="CB15" i="32" s="1"/>
  <c r="CF15" i="32" s="1"/>
  <c r="AL15" i="32"/>
  <c r="AR15" i="32" s="1"/>
  <c r="AV15" i="32" s="1"/>
  <c r="AX15" i="32"/>
  <c r="BD15" i="32" s="1"/>
  <c r="B15" i="32"/>
  <c r="H15" i="32" s="1"/>
  <c r="L15" i="32" s="1"/>
  <c r="F155" i="30"/>
  <c r="B173" i="30"/>
  <c r="D173" i="30" s="1"/>
  <c r="E173" i="30" s="1"/>
  <c r="N153" i="30"/>
  <c r="P153" i="30" s="1"/>
  <c r="B16" i="32"/>
  <c r="H16" i="32" s="1"/>
  <c r="L16" i="32" s="1"/>
  <c r="BJ16" i="32"/>
  <c r="BP16" i="32" s="1"/>
  <c r="BT16" i="32" s="1"/>
  <c r="Z16" i="32"/>
  <c r="AF16" i="32" s="1"/>
  <c r="AJ16" i="32" s="1"/>
  <c r="N16" i="32"/>
  <c r="T16" i="32" s="1"/>
  <c r="X16" i="32" s="1"/>
  <c r="BV16" i="32"/>
  <c r="CB16" i="32" s="1"/>
  <c r="CF16" i="32" s="1"/>
  <c r="AL16" i="32"/>
  <c r="AR16" i="32" s="1"/>
  <c r="AV16" i="32" s="1"/>
  <c r="AX16" i="32"/>
  <c r="BD16" i="32" s="1"/>
  <c r="B163" i="30"/>
  <c r="F156" i="30"/>
  <c r="N156" i="30" s="1"/>
  <c r="H145" i="30"/>
  <c r="H155" i="30"/>
  <c r="F146" i="30"/>
  <c r="H146" i="30"/>
  <c r="G146" i="30"/>
  <c r="N152" i="30"/>
  <c r="N145" i="30"/>
  <c r="L145" i="30"/>
  <c r="J145" i="30"/>
  <c r="K145" i="30" s="1"/>
  <c r="I145" i="30"/>
  <c r="L153" i="30"/>
  <c r="J153" i="30"/>
  <c r="K153" i="30" s="1"/>
  <c r="J152" i="30"/>
  <c r="K152" i="30" s="1"/>
  <c r="L152" i="30"/>
  <c r="L151" i="30"/>
  <c r="C39" i="2" s="1"/>
  <c r="E39" i="2" s="1"/>
  <c r="J151" i="30"/>
  <c r="K151" i="30" s="1"/>
  <c r="J150" i="30"/>
  <c r="K150" i="30" s="1"/>
  <c r="L150" i="30"/>
  <c r="C38" i="2" s="1"/>
  <c r="E38" i="2" s="1"/>
  <c r="AY19" i="32"/>
  <c r="BE19" i="32" s="1"/>
  <c r="AA19" i="32"/>
  <c r="AG19" i="32" s="1"/>
  <c r="AK19" i="32" s="1"/>
  <c r="AM19" i="32"/>
  <c r="AS19" i="32" s="1"/>
  <c r="AW19" i="32" s="1"/>
  <c r="BK19" i="32"/>
  <c r="BQ19" i="32" s="1"/>
  <c r="BU19" i="32" s="1"/>
  <c r="O19" i="32"/>
  <c r="U19" i="32" s="1"/>
  <c r="Y19" i="32" s="1"/>
  <c r="C19" i="32"/>
  <c r="I19" i="32" s="1"/>
  <c r="M19" i="32" s="1"/>
  <c r="BW19" i="32"/>
  <c r="CC19" i="32" s="1"/>
  <c r="CG19" i="32" s="1"/>
  <c r="W99" i="30"/>
  <c r="D93" i="3" s="1"/>
  <c r="D40" i="41"/>
  <c r="W29" i="30"/>
  <c r="D83" i="3" s="1"/>
  <c r="V29" i="30"/>
  <c r="V30" i="30"/>
  <c r="D35" i="3" s="1"/>
  <c r="K40" i="30"/>
  <c r="F40" i="30"/>
  <c r="O40" i="30"/>
  <c r="V32" i="30"/>
  <c r="L36" i="30"/>
  <c r="L130" i="30" s="1"/>
  <c r="N130" i="30" s="1"/>
  <c r="D147" i="30" s="1"/>
  <c r="L37" i="30"/>
  <c r="E40" i="30"/>
  <c r="L38" i="30"/>
  <c r="F130" i="30" s="1"/>
  <c r="H130" i="30" s="1"/>
  <c r="B147" i="30" s="1"/>
  <c r="L39" i="30"/>
  <c r="G40" i="30"/>
  <c r="H40" i="30"/>
  <c r="I40" i="30"/>
  <c r="J40" i="30"/>
  <c r="U37" i="30"/>
  <c r="U39" i="30"/>
  <c r="U36" i="30"/>
  <c r="M130" i="30" s="1"/>
  <c r="O130" i="30" s="1"/>
  <c r="E147" i="30" s="1"/>
  <c r="N40" i="30"/>
  <c r="U38" i="30"/>
  <c r="G130" i="30" s="1"/>
  <c r="I130" i="30" s="1"/>
  <c r="C147" i="30" s="1"/>
  <c r="Q40" i="30"/>
  <c r="R40" i="30"/>
  <c r="S40" i="30"/>
  <c r="P40" i="30"/>
  <c r="N42" i="30"/>
  <c r="E42" i="30"/>
  <c r="T40" i="30"/>
  <c r="K49" i="30"/>
  <c r="T49" i="30"/>
  <c r="F42" i="30"/>
  <c r="O42" i="30"/>
  <c r="P169" i="30" l="1"/>
  <c r="Q169" i="30" s="1"/>
  <c r="R169" i="30" s="1"/>
  <c r="O162" i="30"/>
  <c r="R162" i="30" s="1"/>
  <c r="R171" i="30"/>
  <c r="R170" i="30"/>
  <c r="H141" i="3"/>
  <c r="G141" i="3"/>
  <c r="B188" i="3"/>
  <c r="C188" i="3" s="1"/>
  <c r="H118" i="3"/>
  <c r="G118" i="3"/>
  <c r="N174" i="30"/>
  <c r="O174" i="30" s="1"/>
  <c r="P174" i="30"/>
  <c r="Q174" i="30" s="1"/>
  <c r="N173" i="30"/>
  <c r="O173" i="30" s="1"/>
  <c r="P173" i="30"/>
  <c r="Q173" i="30" s="1"/>
  <c r="R151" i="30"/>
  <c r="Z151" i="30"/>
  <c r="P151" i="30"/>
  <c r="AB150" i="30"/>
  <c r="L156" i="30"/>
  <c r="C44" i="2" s="1"/>
  <c r="E44" i="2" s="1"/>
  <c r="BW18" i="32"/>
  <c r="CC18" i="32" s="1"/>
  <c r="CG18" i="32" s="1"/>
  <c r="AM18" i="32"/>
  <c r="AS18" i="32" s="1"/>
  <c r="AW18" i="32" s="1"/>
  <c r="BK18" i="32"/>
  <c r="BQ18" i="32" s="1"/>
  <c r="BU18" i="32" s="1"/>
  <c r="O18" i="32"/>
  <c r="U18" i="32" s="1"/>
  <c r="Y18" i="32" s="1"/>
  <c r="AY18" i="32"/>
  <c r="BE18" i="32" s="1"/>
  <c r="BG18" i="32" s="1"/>
  <c r="N155" i="30"/>
  <c r="P155" i="30" s="1"/>
  <c r="C18" i="32"/>
  <c r="I18" i="32" s="1"/>
  <c r="M18" i="32" s="1"/>
  <c r="J155" i="30"/>
  <c r="K155" i="30" s="1"/>
  <c r="X151" i="30"/>
  <c r="V151" i="30"/>
  <c r="D163" i="30"/>
  <c r="E163" i="30" s="1"/>
  <c r="P163" i="30" s="1"/>
  <c r="Q163" i="30" s="1"/>
  <c r="D164" i="30"/>
  <c r="E164" i="30" s="1"/>
  <c r="N164" i="30" s="1"/>
  <c r="O164" i="30" s="1"/>
  <c r="L155" i="30"/>
  <c r="C43" i="2" s="1"/>
  <c r="E43" i="2" s="1"/>
  <c r="T151" i="30"/>
  <c r="AB153" i="30"/>
  <c r="P168" i="30"/>
  <c r="B165" i="30"/>
  <c r="J156" i="30"/>
  <c r="K156" i="30" s="1"/>
  <c r="J146" i="30"/>
  <c r="K146" i="30" s="1"/>
  <c r="Z150" i="30"/>
  <c r="Z153" i="30"/>
  <c r="R150" i="30"/>
  <c r="T153" i="30"/>
  <c r="V150" i="30"/>
  <c r="X153" i="30"/>
  <c r="BG15" i="32"/>
  <c r="BI15" i="32"/>
  <c r="CI15" i="32" s="1"/>
  <c r="T150" i="30"/>
  <c r="X150" i="30"/>
  <c r="R153" i="30"/>
  <c r="V153" i="30"/>
  <c r="C165" i="30"/>
  <c r="BG16" i="32"/>
  <c r="BI16" i="32"/>
  <c r="CI16" i="32" s="1"/>
  <c r="BF15" i="32"/>
  <c r="BH15" i="32"/>
  <c r="CH15" i="32" s="1"/>
  <c r="F38" i="2"/>
  <c r="C87" i="3"/>
  <c r="C41" i="3"/>
  <c r="G41" i="3" s="1"/>
  <c r="O41" i="3" s="1"/>
  <c r="P41" i="3" s="1"/>
  <c r="C40" i="2"/>
  <c r="E40" i="2" s="1"/>
  <c r="L146" i="30"/>
  <c r="F39" i="2"/>
  <c r="C88" i="3"/>
  <c r="C42" i="3"/>
  <c r="G42" i="3" s="1"/>
  <c r="O42" i="3" s="1"/>
  <c r="P42" i="3" s="1"/>
  <c r="C41" i="2"/>
  <c r="E41" i="2" s="1"/>
  <c r="BF16" i="32"/>
  <c r="BH16" i="32"/>
  <c r="CH16" i="32" s="1"/>
  <c r="F147" i="30"/>
  <c r="I147" i="30"/>
  <c r="N146" i="30"/>
  <c r="R146" i="30" s="1"/>
  <c r="V156" i="30"/>
  <c r="Z156" i="30"/>
  <c r="P156" i="30"/>
  <c r="X156" i="30"/>
  <c r="R156" i="30"/>
  <c r="T156" i="30"/>
  <c r="AB156" i="30"/>
  <c r="V152" i="30"/>
  <c r="X152" i="30"/>
  <c r="P152" i="30"/>
  <c r="R152" i="30"/>
  <c r="T152" i="30"/>
  <c r="AB152" i="30"/>
  <c r="Z152" i="30"/>
  <c r="V145" i="30"/>
  <c r="T145" i="30"/>
  <c r="AB145" i="30"/>
  <c r="X145" i="30"/>
  <c r="Z145" i="30"/>
  <c r="P145" i="30"/>
  <c r="R145" i="30"/>
  <c r="G147" i="30"/>
  <c r="H147" i="30"/>
  <c r="BI19" i="32"/>
  <c r="CI19" i="32" s="1"/>
  <c r="BG19" i="32"/>
  <c r="BV18" i="32"/>
  <c r="CB18" i="32" s="1"/>
  <c r="CF18" i="32" s="1"/>
  <c r="AX18" i="32"/>
  <c r="BD18" i="32" s="1"/>
  <c r="Z18" i="32"/>
  <c r="AF18" i="32" s="1"/>
  <c r="N18" i="32"/>
  <c r="T18" i="32" s="1"/>
  <c r="X18" i="32" s="1"/>
  <c r="AL18" i="32"/>
  <c r="AR18" i="32" s="1"/>
  <c r="AV18" i="32" s="1"/>
  <c r="B18" i="32"/>
  <c r="H18" i="32" s="1"/>
  <c r="L18" i="32" s="1"/>
  <c r="BJ18" i="32"/>
  <c r="BP18" i="32" s="1"/>
  <c r="BT18" i="32" s="1"/>
  <c r="W36" i="30"/>
  <c r="D84" i="3" s="1"/>
  <c r="V36" i="30"/>
  <c r="F47" i="30"/>
  <c r="Z9" i="32"/>
  <c r="AF9" i="32" s="1"/>
  <c r="V37" i="30"/>
  <c r="D36" i="3" s="1"/>
  <c r="K183" i="3"/>
  <c r="V39" i="30"/>
  <c r="U43" i="30"/>
  <c r="M131" i="30" s="1"/>
  <c r="O131" i="30" s="1"/>
  <c r="E148" i="30" s="1"/>
  <c r="U46" i="30"/>
  <c r="N47" i="30"/>
  <c r="U44" i="30"/>
  <c r="U45" i="30"/>
  <c r="G131" i="30" s="1"/>
  <c r="I131" i="30" s="1"/>
  <c r="C148" i="30" s="1"/>
  <c r="Q47" i="30"/>
  <c r="R47" i="30"/>
  <c r="P47" i="30"/>
  <c r="S47" i="30"/>
  <c r="E49" i="30"/>
  <c r="O47" i="30"/>
  <c r="N49" i="30"/>
  <c r="L43" i="30"/>
  <c r="L131" i="30" s="1"/>
  <c r="N131" i="30" s="1"/>
  <c r="D148" i="30" s="1"/>
  <c r="L45" i="30"/>
  <c r="F131" i="30" s="1"/>
  <c r="H131" i="30" s="1"/>
  <c r="B148" i="30" s="1"/>
  <c r="L44" i="30"/>
  <c r="L46" i="30"/>
  <c r="E47" i="30"/>
  <c r="G47" i="30"/>
  <c r="I47" i="30"/>
  <c r="H47" i="30"/>
  <c r="J47" i="30"/>
  <c r="K47" i="30"/>
  <c r="AA9" i="32"/>
  <c r="AG9" i="32" s="1"/>
  <c r="T47" i="30"/>
  <c r="O49" i="30"/>
  <c r="F49" i="30"/>
  <c r="Q168" i="30" l="1"/>
  <c r="R168" i="30" s="1"/>
  <c r="L147" i="30"/>
  <c r="J141" i="3"/>
  <c r="M141" i="3" s="1"/>
  <c r="J118" i="3"/>
  <c r="G188" i="3"/>
  <c r="F188" i="3"/>
  <c r="E188" i="3"/>
  <c r="I188" i="3" s="1"/>
  <c r="D188" i="3"/>
  <c r="H188" i="3" s="1"/>
  <c r="C92" i="3"/>
  <c r="E92" i="3" s="1"/>
  <c r="F43" i="2"/>
  <c r="R173" i="30"/>
  <c r="C93" i="3"/>
  <c r="E93" i="3" s="1"/>
  <c r="F44" i="2"/>
  <c r="R174" i="30"/>
  <c r="BI18" i="32"/>
  <c r="CI18" i="32" s="1"/>
  <c r="AB155" i="30"/>
  <c r="X155" i="30"/>
  <c r="Z155" i="30"/>
  <c r="P164" i="30"/>
  <c r="T155" i="30"/>
  <c r="R155" i="30"/>
  <c r="V155" i="30"/>
  <c r="N163" i="30"/>
  <c r="T146" i="30"/>
  <c r="D165" i="30"/>
  <c r="E165" i="30" s="1"/>
  <c r="N165" i="30" s="1"/>
  <c r="O165" i="30" s="1"/>
  <c r="AB146" i="30"/>
  <c r="I148" i="30"/>
  <c r="C166" i="30"/>
  <c r="X146" i="30"/>
  <c r="P146" i="30"/>
  <c r="V146" i="30"/>
  <c r="Z146" i="30"/>
  <c r="H148" i="30"/>
  <c r="B166" i="30"/>
  <c r="F40" i="2"/>
  <c r="C89" i="3"/>
  <c r="E89" i="3" s="1"/>
  <c r="F41" i="2"/>
  <c r="C90" i="3"/>
  <c r="E90" i="3" s="1"/>
  <c r="G148" i="30"/>
  <c r="J147" i="30"/>
  <c r="K147" i="30" s="1"/>
  <c r="N147" i="30"/>
  <c r="V147" i="30" s="1"/>
  <c r="F148" i="30"/>
  <c r="BH18" i="32"/>
  <c r="BF18" i="32"/>
  <c r="C44" i="3"/>
  <c r="G44" i="3" s="1"/>
  <c r="O44" i="3" s="1"/>
  <c r="P44" i="3" s="1"/>
  <c r="AH18" i="32"/>
  <c r="AJ18" i="32"/>
  <c r="BJ19" i="32"/>
  <c r="BP19" i="32" s="1"/>
  <c r="BT19" i="32" s="1"/>
  <c r="AL19" i="32"/>
  <c r="AR19" i="32" s="1"/>
  <c r="AV19" i="32" s="1"/>
  <c r="N19" i="32"/>
  <c r="T19" i="32" s="1"/>
  <c r="X19" i="32" s="1"/>
  <c r="B19" i="32"/>
  <c r="H19" i="32" s="1"/>
  <c r="L19" i="32" s="1"/>
  <c r="AX19" i="32"/>
  <c r="BD19" i="32" s="1"/>
  <c r="BV19" i="32"/>
  <c r="CB19" i="32" s="1"/>
  <c r="CF19" i="32" s="1"/>
  <c r="Z19" i="32"/>
  <c r="AF19" i="32" s="1"/>
  <c r="AH19" i="32" s="1"/>
  <c r="AK9" i="32"/>
  <c r="AI9" i="32"/>
  <c r="AJ9" i="32"/>
  <c r="AH9" i="32"/>
  <c r="W43" i="30"/>
  <c r="D85" i="3" s="1"/>
  <c r="V43" i="30"/>
  <c r="O54" i="30"/>
  <c r="K54" i="30"/>
  <c r="BV9" i="32"/>
  <c r="CB9" i="32" s="1"/>
  <c r="CF9" i="32" s="1"/>
  <c r="N9" i="32"/>
  <c r="T9" i="32" s="1"/>
  <c r="X9" i="32" s="1"/>
  <c r="AX9" i="32"/>
  <c r="BD9" i="32" s="1"/>
  <c r="BJ9" i="32"/>
  <c r="BP9" i="32" s="1"/>
  <c r="BT9" i="32" s="1"/>
  <c r="AL9" i="32"/>
  <c r="AR9" i="32" s="1"/>
  <c r="B9" i="32"/>
  <c r="H9" i="32" s="1"/>
  <c r="L9" i="32" s="1"/>
  <c r="V44" i="30"/>
  <c r="D37" i="3" s="1"/>
  <c r="T54" i="30"/>
  <c r="V46" i="30"/>
  <c r="L53" i="30"/>
  <c r="E54" i="30"/>
  <c r="L52" i="30"/>
  <c r="F132" i="30" s="1"/>
  <c r="H132" i="30" s="1"/>
  <c r="B149" i="30" s="1"/>
  <c r="L50" i="30"/>
  <c r="L132" i="30" s="1"/>
  <c r="N132" i="30" s="1"/>
  <c r="D149" i="30" s="1"/>
  <c r="L51" i="30"/>
  <c r="G54" i="30"/>
  <c r="H54" i="30"/>
  <c r="I54" i="30"/>
  <c r="J54" i="30"/>
  <c r="C9" i="32"/>
  <c r="I9" i="32" s="1"/>
  <c r="M9" i="32" s="1"/>
  <c r="BW9" i="32"/>
  <c r="CC9" i="32" s="1"/>
  <c r="CG9" i="32" s="1"/>
  <c r="AY9" i="32"/>
  <c r="BE9" i="32" s="1"/>
  <c r="BK9" i="32"/>
  <c r="BQ9" i="32" s="1"/>
  <c r="BU9" i="32" s="1"/>
  <c r="AM9" i="32"/>
  <c r="AS9" i="32" s="1"/>
  <c r="O9" i="32"/>
  <c r="U50" i="30"/>
  <c r="M132" i="30" s="1"/>
  <c r="O132" i="30" s="1"/>
  <c r="E149" i="30" s="1"/>
  <c r="U53" i="30"/>
  <c r="U52" i="30"/>
  <c r="G132" i="30" s="1"/>
  <c r="I132" i="30" s="1"/>
  <c r="C149" i="30" s="1"/>
  <c r="U51" i="30"/>
  <c r="N54" i="30"/>
  <c r="Q54" i="30"/>
  <c r="R54" i="30"/>
  <c r="S54" i="30"/>
  <c r="P54" i="30"/>
  <c r="F54" i="30"/>
  <c r="Q164" i="30" l="1"/>
  <c r="R164" i="30" s="1"/>
  <c r="O163" i="30"/>
  <c r="R163" i="30" s="1"/>
  <c r="J188" i="3"/>
  <c r="F89" i="3"/>
  <c r="G89" i="3" s="1"/>
  <c r="F92" i="3"/>
  <c r="G92" i="3" s="1"/>
  <c r="F93" i="3"/>
  <c r="G93" i="3" s="1"/>
  <c r="F90" i="3"/>
  <c r="G90" i="3" s="1"/>
  <c r="P165" i="30"/>
  <c r="F149" i="30"/>
  <c r="D166" i="30"/>
  <c r="E166" i="30" s="1"/>
  <c r="P166" i="30" s="1"/>
  <c r="Q166" i="30" s="1"/>
  <c r="R147" i="30"/>
  <c r="I149" i="30"/>
  <c r="C167" i="30"/>
  <c r="P147" i="30"/>
  <c r="Z147" i="30"/>
  <c r="X147" i="30"/>
  <c r="B167" i="30"/>
  <c r="T147" i="30"/>
  <c r="AB147" i="30"/>
  <c r="N148" i="30"/>
  <c r="L148" i="30"/>
  <c r="J148" i="30"/>
  <c r="K148" i="30" s="1"/>
  <c r="H149" i="30"/>
  <c r="G149" i="30"/>
  <c r="CH18" i="32"/>
  <c r="BH19" i="32"/>
  <c r="BF19" i="32"/>
  <c r="AJ19" i="32"/>
  <c r="C45" i="3"/>
  <c r="G45" i="3" s="1"/>
  <c r="O45" i="3" s="1"/>
  <c r="P45" i="3" s="1"/>
  <c r="AA11" i="32"/>
  <c r="AG11" i="32" s="1"/>
  <c r="AI11" i="32" s="1"/>
  <c r="H15" i="14"/>
  <c r="D126" i="30"/>
  <c r="E126" i="30"/>
  <c r="C34" i="2"/>
  <c r="E34" i="2" s="1"/>
  <c r="C35" i="3"/>
  <c r="G35" i="3" s="1"/>
  <c r="O35" i="3" s="1"/>
  <c r="P35" i="3" s="1"/>
  <c r="BI9" i="32"/>
  <c r="BG9" i="32"/>
  <c r="BH9" i="32"/>
  <c r="BF9" i="32"/>
  <c r="AW9" i="32"/>
  <c r="AU9" i="32"/>
  <c r="AV9" i="32"/>
  <c r="AT9" i="32"/>
  <c r="U9" i="32"/>
  <c r="Z10" i="32"/>
  <c r="AF10" i="32" s="1"/>
  <c r="N10" i="32"/>
  <c r="T10" i="32" s="1"/>
  <c r="X10" i="32" s="1"/>
  <c r="AA10" i="32"/>
  <c r="AG10" i="32" s="1"/>
  <c r="O10" i="32"/>
  <c r="U10" i="32" s="1"/>
  <c r="Y10" i="32" s="1"/>
  <c r="W50" i="30"/>
  <c r="D86" i="3" s="1"/>
  <c r="V50" i="30"/>
  <c r="V53" i="30"/>
  <c r="V51" i="30"/>
  <c r="D38" i="3" s="1"/>
  <c r="AL10" i="32"/>
  <c r="AR10" i="32" s="1"/>
  <c r="AX10" i="32"/>
  <c r="BD10" i="32" s="1"/>
  <c r="BJ10" i="32"/>
  <c r="BP10" i="32" s="1"/>
  <c r="BT10" i="32" s="1"/>
  <c r="B10" i="32"/>
  <c r="H10" i="32" s="1"/>
  <c r="L10" i="32" s="1"/>
  <c r="BV10" i="32"/>
  <c r="CB10" i="32" s="1"/>
  <c r="CF10" i="32" s="1"/>
  <c r="BW10" i="32"/>
  <c r="CC10" i="32" s="1"/>
  <c r="CG10" i="32" s="1"/>
  <c r="AM10" i="32"/>
  <c r="AS10" i="32" s="1"/>
  <c r="C10" i="32"/>
  <c r="I10" i="32" s="1"/>
  <c r="M10" i="32" s="1"/>
  <c r="BK10" i="32"/>
  <c r="BQ10" i="32" s="1"/>
  <c r="BU10" i="32" s="1"/>
  <c r="AY10" i="32"/>
  <c r="BE10" i="32" s="1"/>
  <c r="Q165" i="30" l="1"/>
  <c r="R165" i="30" s="1"/>
  <c r="G140" i="3"/>
  <c r="H140" i="3"/>
  <c r="G143" i="3"/>
  <c r="H143" i="3"/>
  <c r="H142" i="3"/>
  <c r="G142" i="3"/>
  <c r="G139" i="3"/>
  <c r="H139" i="3"/>
  <c r="B187" i="3"/>
  <c r="C187" i="3" s="1"/>
  <c r="H117" i="3"/>
  <c r="G117" i="3"/>
  <c r="B190" i="3"/>
  <c r="C190" i="3" s="1"/>
  <c r="G120" i="3"/>
  <c r="H120" i="3"/>
  <c r="B189" i="3"/>
  <c r="C189" i="3" s="1"/>
  <c r="H119" i="3"/>
  <c r="G119" i="3"/>
  <c r="B186" i="3"/>
  <c r="C186" i="3" s="1"/>
  <c r="G116" i="3"/>
  <c r="H116" i="3"/>
  <c r="J149" i="30"/>
  <c r="K149" i="30" s="1"/>
  <c r="N166" i="30"/>
  <c r="D167" i="30"/>
  <c r="E167" i="30" s="1"/>
  <c r="P167" i="30" s="1"/>
  <c r="Q167" i="30" s="1"/>
  <c r="F34" i="2"/>
  <c r="C83" i="3"/>
  <c r="E83" i="3" s="1"/>
  <c r="F83" i="3" s="1"/>
  <c r="L149" i="30"/>
  <c r="G126" i="30"/>
  <c r="I126" i="30" s="1"/>
  <c r="C143" i="30" s="1"/>
  <c r="N149" i="30"/>
  <c r="V148" i="30"/>
  <c r="Z148" i="30"/>
  <c r="P148" i="30"/>
  <c r="X148" i="30"/>
  <c r="R148" i="30"/>
  <c r="AB148" i="30"/>
  <c r="T148" i="30"/>
  <c r="CH19" i="32"/>
  <c r="N11" i="32"/>
  <c r="T11" i="32" s="1"/>
  <c r="X11" i="32" s="1"/>
  <c r="AY11" i="32"/>
  <c r="BE11" i="32" s="1"/>
  <c r="BI11" i="32" s="1"/>
  <c r="BW11" i="32"/>
  <c r="CC11" i="32" s="1"/>
  <c r="CG11" i="32" s="1"/>
  <c r="AK11" i="32"/>
  <c r="BK11" i="32"/>
  <c r="BQ11" i="32" s="1"/>
  <c r="BU11" i="32" s="1"/>
  <c r="C11" i="32"/>
  <c r="I11" i="32" s="1"/>
  <c r="M11" i="32" s="1"/>
  <c r="AM11" i="32"/>
  <c r="AS11" i="32" s="1"/>
  <c r="AW11" i="32" s="1"/>
  <c r="O11" i="32"/>
  <c r="U11" i="32" s="1"/>
  <c r="Y11" i="32" s="1"/>
  <c r="F126" i="30"/>
  <c r="H126" i="30" s="1"/>
  <c r="B143" i="30" s="1"/>
  <c r="C35" i="2"/>
  <c r="E35" i="2" s="1"/>
  <c r="C36" i="3"/>
  <c r="G36" i="3" s="1"/>
  <c r="O36" i="3" s="1"/>
  <c r="P36" i="3" s="1"/>
  <c r="CH9" i="32"/>
  <c r="BI10" i="32"/>
  <c r="BG10" i="32"/>
  <c r="BH10" i="32"/>
  <c r="BF10" i="32"/>
  <c r="AU11" i="32"/>
  <c r="AV10" i="32"/>
  <c r="AT10" i="32"/>
  <c r="AW10" i="32"/>
  <c r="AU10" i="32"/>
  <c r="AK10" i="32"/>
  <c r="AI10" i="32"/>
  <c r="AH10" i="32"/>
  <c r="AJ10" i="32"/>
  <c r="Y9" i="32"/>
  <c r="CI9" i="32" s="1"/>
  <c r="AA12" i="32"/>
  <c r="AG12" i="32" s="1"/>
  <c r="O166" i="30" l="1"/>
  <c r="R166" i="30" s="1"/>
  <c r="J142" i="3"/>
  <c r="M142" i="3" s="1"/>
  <c r="E189" i="3"/>
  <c r="I189" i="3" s="1"/>
  <c r="D189" i="3"/>
  <c r="H189" i="3" s="1"/>
  <c r="G189" i="3"/>
  <c r="F189" i="3"/>
  <c r="J139" i="3"/>
  <c r="M139" i="3" s="1"/>
  <c r="G190" i="3"/>
  <c r="F190" i="3"/>
  <c r="D190" i="3"/>
  <c r="H190" i="3" s="1"/>
  <c r="E190" i="3"/>
  <c r="I190" i="3" s="1"/>
  <c r="J117" i="3"/>
  <c r="J143" i="3"/>
  <c r="M143" i="3" s="1"/>
  <c r="F186" i="3"/>
  <c r="D186" i="3"/>
  <c r="H186" i="3" s="1"/>
  <c r="E186" i="3"/>
  <c r="I186" i="3" s="1"/>
  <c r="G186" i="3"/>
  <c r="J119" i="3"/>
  <c r="G187" i="3"/>
  <c r="F187" i="3"/>
  <c r="E187" i="3"/>
  <c r="I187" i="3" s="1"/>
  <c r="D187" i="3"/>
  <c r="H187" i="3" s="1"/>
  <c r="J140" i="3"/>
  <c r="M140" i="3" s="1"/>
  <c r="J120" i="3"/>
  <c r="J116" i="3"/>
  <c r="N167" i="30"/>
  <c r="F35" i="2"/>
  <c r="C84" i="3"/>
  <c r="E84" i="3" s="1"/>
  <c r="F84" i="3" s="1"/>
  <c r="G143" i="30"/>
  <c r="AA6" i="32" s="1"/>
  <c r="C161" i="30"/>
  <c r="I143" i="30"/>
  <c r="Z149" i="30"/>
  <c r="R149" i="30"/>
  <c r="P149" i="30"/>
  <c r="X149" i="30"/>
  <c r="V149" i="30"/>
  <c r="AB149" i="30"/>
  <c r="T149" i="30"/>
  <c r="BG11" i="32"/>
  <c r="B11" i="32"/>
  <c r="H11" i="32" s="1"/>
  <c r="L11" i="32" s="1"/>
  <c r="AX11" i="32"/>
  <c r="BD11" i="32" s="1"/>
  <c r="BH11" i="32" s="1"/>
  <c r="Z11" i="32"/>
  <c r="AF11" i="32" s="1"/>
  <c r="AJ11" i="32" s="1"/>
  <c r="BV11" i="32"/>
  <c r="CB11" i="32" s="1"/>
  <c r="CF11" i="32" s="1"/>
  <c r="AL11" i="32"/>
  <c r="AR11" i="32" s="1"/>
  <c r="AV11" i="32" s="1"/>
  <c r="BJ11" i="32"/>
  <c r="BP11" i="32" s="1"/>
  <c r="BT11" i="32" s="1"/>
  <c r="C37" i="3"/>
  <c r="AX12" i="32"/>
  <c r="BD12" i="32" s="1"/>
  <c r="BF12" i="32" s="1"/>
  <c r="G83" i="3"/>
  <c r="B161" i="30"/>
  <c r="F143" i="30"/>
  <c r="H143" i="30"/>
  <c r="CI11" i="32"/>
  <c r="AT11" i="32"/>
  <c r="AK12" i="32"/>
  <c r="AI12" i="32"/>
  <c r="CH10" i="32"/>
  <c r="CI10" i="32"/>
  <c r="O12" i="32"/>
  <c r="U12" i="32" s="1"/>
  <c r="Y12" i="32" s="1"/>
  <c r="C12" i="32"/>
  <c r="BK12" i="32"/>
  <c r="BQ12" i="32" s="1"/>
  <c r="BU12" i="32" s="1"/>
  <c r="AM12" i="32"/>
  <c r="AS12" i="32" s="1"/>
  <c r="BW12" i="32"/>
  <c r="CC12" i="32" s="1"/>
  <c r="CG12" i="32" s="1"/>
  <c r="AY12" i="32"/>
  <c r="BE12" i="32" s="1"/>
  <c r="O167" i="30" l="1"/>
  <c r="R167" i="30" s="1"/>
  <c r="J187" i="3"/>
  <c r="J186" i="3"/>
  <c r="J189" i="3"/>
  <c r="J190" i="3"/>
  <c r="H133" i="3"/>
  <c r="G133" i="3"/>
  <c r="B180" i="3"/>
  <c r="C180" i="3" s="1"/>
  <c r="H110" i="3"/>
  <c r="G110" i="3"/>
  <c r="AM6" i="32"/>
  <c r="AS6" i="32" s="1"/>
  <c r="AW6" i="32" s="1"/>
  <c r="AY6" i="32"/>
  <c r="BE6" i="32" s="1"/>
  <c r="BI6" i="32" s="1"/>
  <c r="BK6" i="32"/>
  <c r="BQ6" i="32" s="1"/>
  <c r="BU6" i="32" s="1"/>
  <c r="O6" i="32"/>
  <c r="U6" i="32" s="1"/>
  <c r="Y6" i="32" s="1"/>
  <c r="C6" i="32"/>
  <c r="I6" i="32" s="1"/>
  <c r="M6" i="32" s="1"/>
  <c r="J143" i="30"/>
  <c r="K143" i="30" s="1"/>
  <c r="BW6" i="32"/>
  <c r="CC6" i="32" s="1"/>
  <c r="CG6" i="32" s="1"/>
  <c r="D161" i="30"/>
  <c r="E161" i="30" s="1"/>
  <c r="N161" i="30" s="1"/>
  <c r="O161" i="30" s="1"/>
  <c r="BF11" i="32"/>
  <c r="AG6" i="32"/>
  <c r="AK6" i="32" s="1"/>
  <c r="C36" i="2"/>
  <c r="E36" i="2" s="1"/>
  <c r="BV12" i="32"/>
  <c r="CB12" i="32" s="1"/>
  <c r="CF12" i="32" s="1"/>
  <c r="AH11" i="32"/>
  <c r="N12" i="32"/>
  <c r="T12" i="32" s="1"/>
  <c r="X12" i="32" s="1"/>
  <c r="AL12" i="32"/>
  <c r="AR12" i="32" s="1"/>
  <c r="AT12" i="32" s="1"/>
  <c r="B12" i="32"/>
  <c r="H12" i="32" s="1"/>
  <c r="L12" i="32" s="1"/>
  <c r="Z12" i="32"/>
  <c r="AF12" i="32" s="1"/>
  <c r="AJ12" i="32" s="1"/>
  <c r="C38" i="3"/>
  <c r="G38" i="3" s="1"/>
  <c r="O38" i="3" s="1"/>
  <c r="P38" i="3" s="1"/>
  <c r="BJ12" i="32"/>
  <c r="BP12" i="32" s="1"/>
  <c r="BT12" i="32" s="1"/>
  <c r="I12" i="32"/>
  <c r="M12" i="32" s="1"/>
  <c r="BJ6" i="32"/>
  <c r="L143" i="30"/>
  <c r="C32" i="3" s="1"/>
  <c r="G32" i="3" s="1"/>
  <c r="O32" i="3" s="1"/>
  <c r="P32" i="3" s="1"/>
  <c r="B6" i="32"/>
  <c r="H6" i="32" s="1"/>
  <c r="AL6" i="32"/>
  <c r="G84" i="3"/>
  <c r="BV6" i="32"/>
  <c r="N143" i="30"/>
  <c r="P143" i="30" s="1"/>
  <c r="AX6" i="32"/>
  <c r="N6" i="32"/>
  <c r="Z6" i="32"/>
  <c r="AU6" i="32"/>
  <c r="AT6" i="32"/>
  <c r="G37" i="3"/>
  <c r="O37" i="3" s="1"/>
  <c r="P37" i="3" s="1"/>
  <c r="CH11" i="32"/>
  <c r="BI12" i="32"/>
  <c r="BG12" i="32"/>
  <c r="AW12" i="32"/>
  <c r="AU12" i="32"/>
  <c r="BH12" i="32"/>
  <c r="J133" i="3" l="1"/>
  <c r="M133" i="3" s="1"/>
  <c r="J110" i="3"/>
  <c r="E180" i="3"/>
  <c r="I180" i="3" s="1"/>
  <c r="D180" i="3"/>
  <c r="H180" i="3" s="1"/>
  <c r="G180" i="3"/>
  <c r="F180" i="3"/>
  <c r="H134" i="3"/>
  <c r="G134" i="3"/>
  <c r="B181" i="3"/>
  <c r="C181" i="3" s="1"/>
  <c r="H111" i="3"/>
  <c r="G111" i="3"/>
  <c r="P161" i="30"/>
  <c r="C85" i="3"/>
  <c r="E85" i="3" s="1"/>
  <c r="F36" i="2"/>
  <c r="BG6" i="32"/>
  <c r="AI6" i="32"/>
  <c r="C37" i="2"/>
  <c r="E37" i="2" s="1"/>
  <c r="BP6" i="32"/>
  <c r="BT6" i="32" s="1"/>
  <c r="BD6" i="32"/>
  <c r="AR6" i="32"/>
  <c r="AV6" i="32" s="1"/>
  <c r="T6" i="32"/>
  <c r="X6" i="32" s="1"/>
  <c r="AF6" i="32"/>
  <c r="AJ6" i="32" s="1"/>
  <c r="CB6" i="32"/>
  <c r="CF6" i="32" s="1"/>
  <c r="AV12" i="32"/>
  <c r="AH12" i="32"/>
  <c r="L6" i="32"/>
  <c r="X143" i="30"/>
  <c r="Z143" i="30"/>
  <c r="V143" i="30"/>
  <c r="C31" i="2"/>
  <c r="E31" i="2" s="1"/>
  <c r="R143" i="30"/>
  <c r="AB143" i="30"/>
  <c r="T143" i="30"/>
  <c r="CI6" i="32"/>
  <c r="AA13" i="32"/>
  <c r="AG13" i="32" s="1"/>
  <c r="BK13" i="32"/>
  <c r="BQ13" i="32" s="1"/>
  <c r="BU13" i="32" s="1"/>
  <c r="AY13" i="32"/>
  <c r="BE13" i="32" s="1"/>
  <c r="AM13" i="32"/>
  <c r="AS13" i="32" s="1"/>
  <c r="O13" i="32"/>
  <c r="U13" i="32" s="1"/>
  <c r="Y13" i="32" s="1"/>
  <c r="BW13" i="32"/>
  <c r="CC13" i="32" s="1"/>
  <c r="CG13" i="32" s="1"/>
  <c r="C13" i="32"/>
  <c r="Z13" i="32"/>
  <c r="AF13" i="32" s="1"/>
  <c r="AL13" i="32"/>
  <c r="AR13" i="32" s="1"/>
  <c r="N13" i="32"/>
  <c r="T13" i="32" s="1"/>
  <c r="X13" i="32" s="1"/>
  <c r="BV13" i="32"/>
  <c r="CB13" i="32" s="1"/>
  <c r="CF13" i="32" s="1"/>
  <c r="BJ13" i="32"/>
  <c r="BP13" i="32" s="1"/>
  <c r="BT13" i="32" s="1"/>
  <c r="B13" i="32"/>
  <c r="AX13" i="32"/>
  <c r="BD13" i="32" s="1"/>
  <c r="Q161" i="30" l="1"/>
  <c r="R161" i="30" s="1"/>
  <c r="J180" i="3"/>
  <c r="J111" i="3"/>
  <c r="J134" i="3"/>
  <c r="M134" i="3" s="1"/>
  <c r="F31" i="2"/>
  <c r="G181" i="3"/>
  <c r="F181" i="3"/>
  <c r="D181" i="3"/>
  <c r="H181" i="3" s="1"/>
  <c r="E181" i="3"/>
  <c r="I181" i="3" s="1"/>
  <c r="F85" i="3"/>
  <c r="G85" i="3" s="1"/>
  <c r="F37" i="2"/>
  <c r="C86" i="3"/>
  <c r="E86" i="3" s="1"/>
  <c r="BH6" i="32"/>
  <c r="CH6" i="32" s="1"/>
  <c r="BF6" i="32"/>
  <c r="AH6" i="32"/>
  <c r="I13" i="32"/>
  <c r="M13" i="32" s="1"/>
  <c r="H13" i="32"/>
  <c r="L13" i="32" s="1"/>
  <c r="C80" i="3"/>
  <c r="E80" i="3" s="1"/>
  <c r="F80" i="3" s="1"/>
  <c r="AK13" i="32"/>
  <c r="AI13" i="32"/>
  <c r="AJ13" i="32"/>
  <c r="AH13" i="32"/>
  <c r="C9" i="34"/>
  <c r="E9" i="34" s="1"/>
  <c r="BH13" i="32"/>
  <c r="BF13" i="32"/>
  <c r="AU13" i="32"/>
  <c r="AW13" i="32"/>
  <c r="BG13" i="32"/>
  <c r="BI13" i="32"/>
  <c r="C39" i="3"/>
  <c r="AV13" i="32"/>
  <c r="AT13" i="32"/>
  <c r="E73" i="41"/>
  <c r="CI12" i="32"/>
  <c r="J181" i="3" l="1"/>
  <c r="G135" i="3"/>
  <c r="H135" i="3"/>
  <c r="B182" i="3"/>
  <c r="C182" i="3" s="1"/>
  <c r="G112" i="3"/>
  <c r="H112" i="3"/>
  <c r="F86" i="3"/>
  <c r="G86" i="3" s="1"/>
  <c r="D9" i="34"/>
  <c r="F9" i="34" s="1"/>
  <c r="G80" i="3"/>
  <c r="CI13" i="32"/>
  <c r="CH13" i="32"/>
  <c r="G39" i="3"/>
  <c r="O39" i="3" s="1"/>
  <c r="P39" i="3" s="1"/>
  <c r="E87" i="3"/>
  <c r="F87" i="3" s="1"/>
  <c r="Z7" i="32"/>
  <c r="N7" i="32"/>
  <c r="BJ7" i="32"/>
  <c r="AL7" i="32"/>
  <c r="B7" i="32"/>
  <c r="AX7" i="32"/>
  <c r="BV7" i="32"/>
  <c r="AA7" i="32"/>
  <c r="O7" i="32"/>
  <c r="BK7" i="32"/>
  <c r="AM7" i="32"/>
  <c r="BW7" i="32"/>
  <c r="C7" i="32"/>
  <c r="AY7" i="32"/>
  <c r="CH12" i="32"/>
  <c r="J112" i="3" l="1"/>
  <c r="E182" i="3"/>
  <c r="I182" i="3" s="1"/>
  <c r="D182" i="3"/>
  <c r="H182" i="3" s="1"/>
  <c r="G182" i="3"/>
  <c r="F182" i="3"/>
  <c r="J135" i="3"/>
  <c r="G136" i="3"/>
  <c r="H136" i="3"/>
  <c r="G130" i="3"/>
  <c r="H130" i="3"/>
  <c r="B183" i="3"/>
  <c r="C183" i="3" s="1"/>
  <c r="G113" i="3"/>
  <c r="H113" i="3"/>
  <c r="G87" i="3"/>
  <c r="B177" i="3"/>
  <c r="C177" i="3" s="1"/>
  <c r="D177" i="3" s="1"/>
  <c r="H177" i="3" s="1"/>
  <c r="H107" i="3"/>
  <c r="G107" i="3"/>
  <c r="AG7" i="32"/>
  <c r="BD7" i="32"/>
  <c r="BP7" i="32"/>
  <c r="AS7" i="32"/>
  <c r="H7" i="32"/>
  <c r="C32" i="2"/>
  <c r="E32" i="2" s="1"/>
  <c r="C33" i="3"/>
  <c r="G33" i="3" s="1"/>
  <c r="O33" i="3" s="1"/>
  <c r="P33" i="3" s="1"/>
  <c r="BE7" i="32"/>
  <c r="BQ7" i="32"/>
  <c r="AR7" i="32"/>
  <c r="T7" i="32"/>
  <c r="CC7" i="32"/>
  <c r="AF7" i="32"/>
  <c r="I7" i="32"/>
  <c r="U7" i="32"/>
  <c r="CB7" i="32"/>
  <c r="J130" i="3" l="1"/>
  <c r="J136" i="3"/>
  <c r="M136" i="3" s="1"/>
  <c r="G183" i="3"/>
  <c r="F183" i="3"/>
  <c r="E183" i="3"/>
  <c r="I183" i="3" s="1"/>
  <c r="D183" i="3"/>
  <c r="H183" i="3" s="1"/>
  <c r="J182" i="3"/>
  <c r="M135" i="3"/>
  <c r="J113" i="3"/>
  <c r="G137" i="3"/>
  <c r="H137" i="3"/>
  <c r="B184" i="3"/>
  <c r="C184" i="3" s="1"/>
  <c r="G114" i="3"/>
  <c r="H114" i="3"/>
  <c r="F32" i="2"/>
  <c r="C81" i="3"/>
  <c r="E81" i="3" s="1"/>
  <c r="F81" i="3" s="1"/>
  <c r="AH7" i="32"/>
  <c r="AI7" i="32"/>
  <c r="J107" i="3"/>
  <c r="G177" i="3"/>
  <c r="F177" i="3"/>
  <c r="E177" i="3"/>
  <c r="I177" i="3" s="1"/>
  <c r="CF7" i="32"/>
  <c r="M7" i="32"/>
  <c r="L7" i="32"/>
  <c r="CG7" i="32"/>
  <c r="AV7" i="32"/>
  <c r="AT7" i="32"/>
  <c r="BI7" i="32"/>
  <c r="BG7" i="32"/>
  <c r="AA14" i="32"/>
  <c r="AG14" i="32" s="1"/>
  <c r="O14" i="32"/>
  <c r="U14" i="32" s="1"/>
  <c r="Y14" i="32" s="1"/>
  <c r="BK14" i="32"/>
  <c r="BQ14" i="32" s="1"/>
  <c r="BU14" i="32" s="1"/>
  <c r="AY14" i="32"/>
  <c r="BE14" i="32" s="1"/>
  <c r="BW14" i="32"/>
  <c r="CC14" i="32" s="1"/>
  <c r="CG14" i="32" s="1"/>
  <c r="AM14" i="32"/>
  <c r="AS14" i="32" s="1"/>
  <c r="C14" i="32"/>
  <c r="AW7" i="32"/>
  <c r="AU7" i="32"/>
  <c r="BH7" i="32"/>
  <c r="BF7" i="32"/>
  <c r="Y7" i="32"/>
  <c r="Z14" i="32"/>
  <c r="AF14" i="32" s="1"/>
  <c r="B14" i="32"/>
  <c r="BV14" i="32"/>
  <c r="CB14" i="32" s="1"/>
  <c r="CF14" i="32" s="1"/>
  <c r="AX14" i="32"/>
  <c r="BD14" i="32" s="1"/>
  <c r="N14" i="32"/>
  <c r="T14" i="32" s="1"/>
  <c r="X14" i="32" s="1"/>
  <c r="BJ14" i="32"/>
  <c r="BP14" i="32" s="1"/>
  <c r="BT14" i="32" s="1"/>
  <c r="AL14" i="32"/>
  <c r="AR14" i="32" s="1"/>
  <c r="AJ7" i="32"/>
  <c r="X7" i="32"/>
  <c r="BU7" i="32"/>
  <c r="BT7" i="32"/>
  <c r="AK7" i="32"/>
  <c r="J137" i="3" l="1"/>
  <c r="M137" i="3" s="1"/>
  <c r="J183" i="3"/>
  <c r="D184" i="3"/>
  <c r="H184" i="3" s="1"/>
  <c r="G184" i="3"/>
  <c r="F184" i="3"/>
  <c r="E184" i="3"/>
  <c r="I184" i="3" s="1"/>
  <c r="J114" i="3"/>
  <c r="J177" i="3"/>
  <c r="I14" i="32"/>
  <c r="M14" i="32" s="1"/>
  <c r="H14" i="32"/>
  <c r="L14" i="32" s="1"/>
  <c r="G81" i="3"/>
  <c r="AJ14" i="32"/>
  <c r="AH14" i="32"/>
  <c r="AK14" i="32"/>
  <c r="AI14" i="32"/>
  <c r="C10" i="34"/>
  <c r="E10" i="34" s="1"/>
  <c r="AV14" i="32"/>
  <c r="AT14" i="32"/>
  <c r="BH14" i="32"/>
  <c r="BF14" i="32"/>
  <c r="CH7" i="32"/>
  <c r="AU14" i="32"/>
  <c r="AW14" i="32"/>
  <c r="CI7" i="32"/>
  <c r="E88" i="3"/>
  <c r="F88" i="3" s="1"/>
  <c r="BI14" i="32"/>
  <c r="BG14" i="32"/>
  <c r="J184" i="3" l="1"/>
  <c r="G131" i="3"/>
  <c r="H131" i="3"/>
  <c r="B178" i="3"/>
  <c r="C178" i="3" s="1"/>
  <c r="G108" i="3"/>
  <c r="H108" i="3"/>
  <c r="G88" i="3"/>
  <c r="C40" i="3"/>
  <c r="G40" i="3" s="1"/>
  <c r="O40" i="3" s="1"/>
  <c r="P40" i="3" s="1"/>
  <c r="D10" i="34"/>
  <c r="F10" i="34" s="1"/>
  <c r="CH14" i="32"/>
  <c r="CI14" i="32"/>
  <c r="AA8" i="32"/>
  <c r="AA20" i="32" s="1"/>
  <c r="BW8" i="32"/>
  <c r="BW20" i="32" s="1"/>
  <c r="C8" i="32"/>
  <c r="C20" i="32" s="1"/>
  <c r="O8" i="32"/>
  <c r="O20" i="32" s="1"/>
  <c r="AY8" i="32"/>
  <c r="AY20" i="32" s="1"/>
  <c r="AM8" i="32"/>
  <c r="AM20" i="32" s="1"/>
  <c r="BK8" i="32"/>
  <c r="BK20" i="32" s="1"/>
  <c r="Z8" i="32"/>
  <c r="Z20" i="32" s="1"/>
  <c r="N8" i="32"/>
  <c r="N20" i="32" s="1"/>
  <c r="B8" i="32"/>
  <c r="B20" i="32" s="1"/>
  <c r="BJ8" i="32"/>
  <c r="BJ20" i="32" s="1"/>
  <c r="BV8" i="32"/>
  <c r="BV20" i="32" s="1"/>
  <c r="K157" i="30"/>
  <c r="N157" i="30"/>
  <c r="AL8" i="32"/>
  <c r="AL20" i="32" s="1"/>
  <c r="AX8" i="32"/>
  <c r="AX20" i="32" s="1"/>
  <c r="D178" i="3" l="1"/>
  <c r="H178" i="3" s="1"/>
  <c r="G178" i="3"/>
  <c r="F178" i="3"/>
  <c r="E178" i="3"/>
  <c r="I178" i="3" s="1"/>
  <c r="J131" i="3"/>
  <c r="G138" i="3"/>
  <c r="H138" i="3"/>
  <c r="B185" i="3"/>
  <c r="C185" i="3" s="1"/>
  <c r="G115" i="3"/>
  <c r="H115" i="3"/>
  <c r="J108" i="3"/>
  <c r="E175" i="30"/>
  <c r="B20" i="20" s="1"/>
  <c r="M130" i="3"/>
  <c r="C8" i="34"/>
  <c r="N175" i="30"/>
  <c r="H8" i="32"/>
  <c r="H21" i="32" s="1"/>
  <c r="C17" i="29"/>
  <c r="AS8" i="32"/>
  <c r="AS21" i="32" s="1"/>
  <c r="D20" i="29"/>
  <c r="CC8" i="32"/>
  <c r="CC21" i="32" s="1"/>
  <c r="D23" i="29"/>
  <c r="C33" i="2"/>
  <c r="E33" i="2" s="1"/>
  <c r="C34" i="3"/>
  <c r="T8" i="32"/>
  <c r="T21" i="32" s="1"/>
  <c r="C18" i="29"/>
  <c r="BE8" i="32"/>
  <c r="BE21" i="32" s="1"/>
  <c r="D21" i="29"/>
  <c r="AG8" i="32"/>
  <c r="D19" i="29"/>
  <c r="BD8" i="32"/>
  <c r="BD21" i="32" s="1"/>
  <c r="C21" i="29"/>
  <c r="CB8" i="32"/>
  <c r="CB21" i="32" s="1"/>
  <c r="C23" i="29"/>
  <c r="AF8" i="32"/>
  <c r="C19" i="29"/>
  <c r="U8" i="32"/>
  <c r="U21" i="32" s="1"/>
  <c r="D18" i="29"/>
  <c r="AR8" i="32"/>
  <c r="AR21" i="32" s="1"/>
  <c r="C20" i="29"/>
  <c r="BP8" i="32"/>
  <c r="BP21" i="32" s="1"/>
  <c r="C22" i="29"/>
  <c r="BQ8" i="32"/>
  <c r="BQ21" i="32" s="1"/>
  <c r="D22" i="29"/>
  <c r="I8" i="32"/>
  <c r="I21" i="32" s="1"/>
  <c r="D17" i="29"/>
  <c r="D185" i="3" l="1"/>
  <c r="H185" i="3" s="1"/>
  <c r="G185" i="3"/>
  <c r="F194" i="3" s="1"/>
  <c r="F185" i="3"/>
  <c r="D202" i="3" s="1"/>
  <c r="M21" i="14" s="1"/>
  <c r="P21" i="14" s="1"/>
  <c r="E185" i="3"/>
  <c r="I185" i="3" s="1"/>
  <c r="J138" i="3"/>
  <c r="M138" i="3" s="1"/>
  <c r="J178" i="3"/>
  <c r="M131" i="3"/>
  <c r="J115" i="3"/>
  <c r="F33" i="2"/>
  <c r="F45" i="2" s="1"/>
  <c r="C82" i="3"/>
  <c r="E82" i="3" s="1"/>
  <c r="F82" i="3" s="1"/>
  <c r="AI8" i="32"/>
  <c r="AI21" i="32" s="1"/>
  <c r="AG21" i="32"/>
  <c r="AH8" i="32"/>
  <c r="AH21" i="32" s="1"/>
  <c r="AF21" i="32"/>
  <c r="Q175" i="30"/>
  <c r="I14" i="17" s="1"/>
  <c r="P175" i="30"/>
  <c r="O175" i="30"/>
  <c r="D8" i="34"/>
  <c r="F8" i="34" s="1"/>
  <c r="F18" i="34" s="1"/>
  <c r="E8" i="34"/>
  <c r="E18" i="34" s="1"/>
  <c r="E23" i="29"/>
  <c r="E19" i="29"/>
  <c r="D173" i="1" s="1"/>
  <c r="E21" i="29"/>
  <c r="E20" i="29"/>
  <c r="D174" i="1" s="1"/>
  <c r="M8" i="32"/>
  <c r="M21" i="32" s="1"/>
  <c r="Y8" i="32"/>
  <c r="CF8" i="32"/>
  <c r="E78" i="14"/>
  <c r="H78" i="14" s="1"/>
  <c r="K78" i="14" s="1"/>
  <c r="AT8" i="32"/>
  <c r="AT21" i="32" s="1"/>
  <c r="AV8" i="32"/>
  <c r="AV21" i="32" s="1"/>
  <c r="BI8" i="32"/>
  <c r="BG8" i="32"/>
  <c r="BG21" i="32" s="1"/>
  <c r="G34" i="3"/>
  <c r="O34" i="3" s="1"/>
  <c r="P34" i="3" s="1"/>
  <c r="P46" i="3" s="1"/>
  <c r="AW8" i="32"/>
  <c r="AU8" i="32"/>
  <c r="AU21" i="32" s="1"/>
  <c r="BU8" i="32"/>
  <c r="D24" i="29"/>
  <c r="E22" i="29"/>
  <c r="AJ8" i="32"/>
  <c r="BF8" i="32"/>
  <c r="BF21" i="32" s="1"/>
  <c r="BH8" i="32"/>
  <c r="E18" i="29"/>
  <c r="E17" i="29"/>
  <c r="C24" i="29"/>
  <c r="BT8" i="32"/>
  <c r="AK8" i="32"/>
  <c r="X8" i="32"/>
  <c r="CG8" i="32"/>
  <c r="L8" i="32"/>
  <c r="E19" i="34"/>
  <c r="J185" i="3" l="1"/>
  <c r="E74" i="41"/>
  <c r="Y21" i="32"/>
  <c r="D5" i="29" s="1"/>
  <c r="X21" i="32"/>
  <c r="C5" i="29" s="1"/>
  <c r="AW21" i="32"/>
  <c r="D7" i="29" s="1"/>
  <c r="L21" i="32"/>
  <c r="C4" i="29" s="1"/>
  <c r="BH21" i="32"/>
  <c r="C8" i="29" s="1"/>
  <c r="BI21" i="32"/>
  <c r="D8" i="29" s="1"/>
  <c r="AJ21" i="32"/>
  <c r="C6" i="29" s="1"/>
  <c r="AK21" i="32"/>
  <c r="D6" i="29" s="1"/>
  <c r="CG21" i="32"/>
  <c r="D10" i="29" s="1"/>
  <c r="CF21" i="32"/>
  <c r="C10" i="29" s="1"/>
  <c r="BT21" i="32"/>
  <c r="C9" i="29" s="1"/>
  <c r="BU21" i="32"/>
  <c r="D9" i="29" s="1"/>
  <c r="I11" i="17"/>
  <c r="I15" i="17"/>
  <c r="I9" i="17"/>
  <c r="I13" i="17"/>
  <c r="I10" i="17"/>
  <c r="R175" i="30"/>
  <c r="I12" i="17"/>
  <c r="G82" i="3"/>
  <c r="C3" i="35"/>
  <c r="D44" i="41" s="1"/>
  <c r="C206" i="1" s="1"/>
  <c r="C176" i="1"/>
  <c r="D176" i="1"/>
  <c r="D172" i="1"/>
  <c r="D175" i="1"/>
  <c r="E76" i="41"/>
  <c r="CH8" i="32"/>
  <c r="CH21" i="32" s="1"/>
  <c r="C7" i="29"/>
  <c r="E75" i="41"/>
  <c r="D171" i="1"/>
  <c r="E24" i="29"/>
  <c r="E25" i="29" s="1"/>
  <c r="CI8" i="32"/>
  <c r="CI21" i="32" s="1"/>
  <c r="D4" i="29"/>
  <c r="AV14" i="17"/>
  <c r="G132" i="3" l="1"/>
  <c r="H132" i="3"/>
  <c r="B179" i="3"/>
  <c r="C179" i="3" s="1"/>
  <c r="C191" i="3" s="1"/>
  <c r="H109" i="3"/>
  <c r="G109" i="3"/>
  <c r="E5" i="29"/>
  <c r="E7" i="29"/>
  <c r="C24" i="11" s="1"/>
  <c r="E8" i="29"/>
  <c r="E6" i="29"/>
  <c r="G6" i="29" s="1"/>
  <c r="E10" i="29"/>
  <c r="G10" i="29" s="1"/>
  <c r="E9" i="29"/>
  <c r="G9" i="29" s="1"/>
  <c r="D11" i="29"/>
  <c r="C172" i="1"/>
  <c r="C173" i="1"/>
  <c r="C175" i="1"/>
  <c r="C174" i="1"/>
  <c r="C23" i="11"/>
  <c r="K23" i="11" s="1"/>
  <c r="C22" i="11"/>
  <c r="E79" i="41"/>
  <c r="C11" i="29"/>
  <c r="E4" i="29"/>
  <c r="C167" i="1"/>
  <c r="C163" i="1"/>
  <c r="C164" i="1"/>
  <c r="C161" i="1"/>
  <c r="C165" i="1"/>
  <c r="C166" i="1"/>
  <c r="C162" i="1"/>
  <c r="G179" i="3" l="1"/>
  <c r="F179" i="3"/>
  <c r="E179" i="3"/>
  <c r="I179" i="3" s="1"/>
  <c r="I191" i="3" s="1"/>
  <c r="D179" i="3"/>
  <c r="J132" i="3"/>
  <c r="J109" i="3"/>
  <c r="N24" i="11"/>
  <c r="Q24" i="11" s="1"/>
  <c r="R24" i="11" s="1"/>
  <c r="K24" i="11"/>
  <c r="K166" i="1"/>
  <c r="C213" i="1"/>
  <c r="C25" i="11"/>
  <c r="C34" i="14"/>
  <c r="F34" i="14" s="1"/>
  <c r="K163" i="1"/>
  <c r="I8" i="18"/>
  <c r="BI13" i="17" s="1"/>
  <c r="K165" i="1"/>
  <c r="D12" i="17"/>
  <c r="AO12" i="17" s="1"/>
  <c r="K164" i="1"/>
  <c r="K167" i="1"/>
  <c r="E19" i="16"/>
  <c r="K162" i="1"/>
  <c r="C27" i="11"/>
  <c r="E24" i="16"/>
  <c r="C215" i="1"/>
  <c r="I10" i="18"/>
  <c r="BI15" i="17" s="1"/>
  <c r="C33" i="14"/>
  <c r="F33" i="14" s="1"/>
  <c r="E21" i="16"/>
  <c r="D15" i="17"/>
  <c r="U15" i="17" s="1"/>
  <c r="C210" i="1"/>
  <c r="C38" i="14"/>
  <c r="F38" i="14" s="1"/>
  <c r="D73" i="41"/>
  <c r="I5" i="18"/>
  <c r="BI10" i="17" s="1"/>
  <c r="D75" i="41"/>
  <c r="C212" i="1"/>
  <c r="D78" i="41"/>
  <c r="D10" i="17"/>
  <c r="I7" i="18"/>
  <c r="BI12" i="17" s="1"/>
  <c r="C35" i="14"/>
  <c r="F35" i="14" s="1"/>
  <c r="E22" i="16"/>
  <c r="I6" i="18"/>
  <c r="BI11" i="17" s="1"/>
  <c r="D76" i="41"/>
  <c r="E20" i="16"/>
  <c r="C211" i="1"/>
  <c r="D11" i="17"/>
  <c r="BS11" i="17" s="1"/>
  <c r="C36" i="14"/>
  <c r="F36" i="14" s="1"/>
  <c r="D74" i="41"/>
  <c r="D13" i="17"/>
  <c r="BY13" i="17" s="1"/>
  <c r="C26" i="11"/>
  <c r="D77" i="41"/>
  <c r="C214" i="1"/>
  <c r="D14" i="17"/>
  <c r="E23" i="16"/>
  <c r="C37" i="14"/>
  <c r="F37" i="14" s="1"/>
  <c r="I9" i="18"/>
  <c r="BI14" i="17" s="1"/>
  <c r="B191" i="3"/>
  <c r="C171" i="1"/>
  <c r="N23" i="11"/>
  <c r="Q23" i="11" s="1"/>
  <c r="R23" i="11" s="1"/>
  <c r="E18" i="16"/>
  <c r="C209" i="1"/>
  <c r="I4" i="18"/>
  <c r="D72" i="41"/>
  <c r="C32" i="14"/>
  <c r="F32" i="14" s="1"/>
  <c r="D9" i="17"/>
  <c r="AO9" i="17" s="1"/>
  <c r="E11" i="29"/>
  <c r="B5" i="39" s="1"/>
  <c r="K22" i="11"/>
  <c r="N22" i="11"/>
  <c r="Q22" i="11" s="1"/>
  <c r="AV15" i="17"/>
  <c r="AV11" i="17"/>
  <c r="AI12" i="17"/>
  <c r="AV9" i="17"/>
  <c r="AM9" i="17"/>
  <c r="AM13" i="17"/>
  <c r="AI15" i="17"/>
  <c r="AM14" i="17"/>
  <c r="AM10" i="17"/>
  <c r="AI10" i="17"/>
  <c r="AV13" i="17"/>
  <c r="AV12" i="17"/>
  <c r="AP11" i="17"/>
  <c r="AP10" i="17"/>
  <c r="AI11" i="17"/>
  <c r="AM12" i="17"/>
  <c r="AI9" i="17"/>
  <c r="AM11" i="17"/>
  <c r="AV10" i="17"/>
  <c r="AI14" i="17"/>
  <c r="AP15" i="17"/>
  <c r="AP9" i="17"/>
  <c r="AI13" i="17"/>
  <c r="AP12" i="17"/>
  <c r="AP14" i="17"/>
  <c r="AP13" i="17"/>
  <c r="AM15" i="17"/>
  <c r="D201" i="3" l="1"/>
  <c r="M20" i="14" s="1"/>
  <c r="F191" i="3"/>
  <c r="F193" i="3"/>
  <c r="E201" i="3"/>
  <c r="E77" i="14" s="1"/>
  <c r="H77" i="14" s="1"/>
  <c r="K77" i="14" s="1"/>
  <c r="K12" i="7" s="1"/>
  <c r="L12" i="7" s="1"/>
  <c r="G191" i="3"/>
  <c r="H179" i="3"/>
  <c r="H191" i="3" s="1"/>
  <c r="D191" i="3"/>
  <c r="E191" i="3"/>
  <c r="M132" i="3"/>
  <c r="M144" i="3" s="1"/>
  <c r="K8" i="7" s="1"/>
  <c r="L8" i="7" s="1"/>
  <c r="J144" i="3"/>
  <c r="J121" i="3"/>
  <c r="K7" i="7" s="1"/>
  <c r="L7" i="7" s="1"/>
  <c r="S10" i="17"/>
  <c r="E23" i="18"/>
  <c r="H23" i="18" s="1"/>
  <c r="I23" i="18" s="1"/>
  <c r="E26" i="18"/>
  <c r="H26" i="18" s="1"/>
  <c r="I26" i="18" s="1"/>
  <c r="E24" i="18"/>
  <c r="H24" i="18" s="1"/>
  <c r="I24" i="18" s="1"/>
  <c r="E25" i="18"/>
  <c r="H25" i="18" s="1"/>
  <c r="I25" i="18" s="1"/>
  <c r="E22" i="18"/>
  <c r="H22" i="18" s="1"/>
  <c r="BY12" i="17"/>
  <c r="K25" i="11"/>
  <c r="N25" i="11"/>
  <c r="Q25" i="11" s="1"/>
  <c r="R25" i="11" s="1"/>
  <c r="S12" i="17"/>
  <c r="R22" i="11"/>
  <c r="BX12" i="17"/>
  <c r="AS12" i="17"/>
  <c r="BS12" i="17"/>
  <c r="U12" i="17"/>
  <c r="BS13" i="17"/>
  <c r="G11" i="29"/>
  <c r="BS15" i="17"/>
  <c r="AS15" i="17"/>
  <c r="BX15" i="17"/>
  <c r="S15" i="17"/>
  <c r="U10" i="17"/>
  <c r="BY15" i="17"/>
  <c r="BS10" i="17"/>
  <c r="BX10" i="17"/>
  <c r="BY10" i="17"/>
  <c r="AS10" i="17"/>
  <c r="U11" i="17"/>
  <c r="J4" i="29"/>
  <c r="J8" i="29"/>
  <c r="AS11" i="17"/>
  <c r="J7" i="29"/>
  <c r="J10" i="29"/>
  <c r="J6" i="29"/>
  <c r="K5" i="29"/>
  <c r="J5" i="29"/>
  <c r="K4" i="29"/>
  <c r="K6" i="29"/>
  <c r="S11" i="17"/>
  <c r="H11" i="29"/>
  <c r="E10" i="11" s="1"/>
  <c r="H10" i="11" s="1"/>
  <c r="H13" i="11" s="1"/>
  <c r="K10" i="29"/>
  <c r="J9" i="29"/>
  <c r="BX11" i="17"/>
  <c r="U13" i="17"/>
  <c r="AS13" i="17"/>
  <c r="BX13" i="17"/>
  <c r="BZ13" i="17" s="1"/>
  <c r="E26" i="16"/>
  <c r="C11" i="16" s="1"/>
  <c r="M11" i="16" s="1"/>
  <c r="AV16" i="17"/>
  <c r="D79" i="41"/>
  <c r="K9" i="29"/>
  <c r="K7" i="29"/>
  <c r="K8" i="29"/>
  <c r="BY11" i="17"/>
  <c r="S13" i="17"/>
  <c r="F39" i="14"/>
  <c r="M16" i="14" s="1"/>
  <c r="P16" i="14" s="1"/>
  <c r="BY14" i="17"/>
  <c r="BS14" i="17"/>
  <c r="S14" i="17"/>
  <c r="BX14" i="17"/>
  <c r="U14" i="17"/>
  <c r="AS14" i="17"/>
  <c r="N26" i="11"/>
  <c r="Q26" i="11" s="1"/>
  <c r="R26" i="11" s="1"/>
  <c r="K26" i="11"/>
  <c r="H20" i="14"/>
  <c r="F47" i="14"/>
  <c r="AM16" i="17"/>
  <c r="AI16" i="17"/>
  <c r="AP16" i="17"/>
  <c r="E12" i="29"/>
  <c r="D6" i="41"/>
  <c r="D11" i="7"/>
  <c r="E11" i="7" s="1"/>
  <c r="D6" i="7"/>
  <c r="E6" i="7" s="1"/>
  <c r="D5" i="7"/>
  <c r="E5" i="7" s="1"/>
  <c r="E10" i="28"/>
  <c r="D8" i="7"/>
  <c r="E8" i="7" s="1"/>
  <c r="D8" i="1"/>
  <c r="D14" i="7"/>
  <c r="E14" i="7" s="1"/>
  <c r="D7" i="7"/>
  <c r="E7" i="7" s="1"/>
  <c r="D12" i="7"/>
  <c r="E12" i="7" s="1"/>
  <c r="B3" i="44"/>
  <c r="D3" i="44" s="1"/>
  <c r="K3" i="44" s="1"/>
  <c r="K14" i="7"/>
  <c r="L14" i="7" s="1"/>
  <c r="C4" i="35"/>
  <c r="G44" i="41" s="1"/>
  <c r="K6" i="7"/>
  <c r="L6" i="7" s="1"/>
  <c r="C5" i="39"/>
  <c r="C7" i="39" s="1"/>
  <c r="C8" i="39" s="1"/>
  <c r="C9" i="39" s="1"/>
  <c r="G5" i="39"/>
  <c r="G7" i="39" s="1"/>
  <c r="G8" i="39" s="1"/>
  <c r="G9" i="39" s="1"/>
  <c r="G10" i="39" s="1"/>
  <c r="F5" i="39"/>
  <c r="F7" i="39" s="1"/>
  <c r="F8" i="39" s="1"/>
  <c r="F9" i="39" s="1"/>
  <c r="K5" i="7"/>
  <c r="L5" i="7" s="1"/>
  <c r="E5" i="39"/>
  <c r="E7" i="39" s="1"/>
  <c r="E8" i="39" s="1"/>
  <c r="E9" i="39" s="1"/>
  <c r="E10" i="39" s="1"/>
  <c r="H5" i="39"/>
  <c r="H7" i="39" s="1"/>
  <c r="H8" i="39" s="1"/>
  <c r="H9" i="39" s="1"/>
  <c r="H10" i="39" s="1"/>
  <c r="D5" i="39"/>
  <c r="D7" i="39" s="1"/>
  <c r="D8" i="39" s="1"/>
  <c r="D9" i="39" s="1"/>
  <c r="D10" i="39" s="1"/>
  <c r="O3" i="18"/>
  <c r="BI9" i="17"/>
  <c r="BI16" i="17" s="1"/>
  <c r="N27" i="11"/>
  <c r="Q27" i="11" s="1"/>
  <c r="K27" i="11"/>
  <c r="S9" i="17"/>
  <c r="BS9" i="17"/>
  <c r="BX9" i="17"/>
  <c r="D16" i="17"/>
  <c r="BY9" i="17"/>
  <c r="AS9" i="17"/>
  <c r="U9" i="17"/>
  <c r="B7" i="39"/>
  <c r="B8" i="39" s="1"/>
  <c r="B9" i="39" s="1"/>
  <c r="B10" i="39" s="1"/>
  <c r="AO14" i="17"/>
  <c r="AO10" i="17"/>
  <c r="AO15" i="17"/>
  <c r="AO11" i="17"/>
  <c r="AO13" i="17"/>
  <c r="P20" i="14" l="1"/>
  <c r="F57" i="14"/>
  <c r="J179" i="3"/>
  <c r="K190" i="3" s="1"/>
  <c r="C68" i="14"/>
  <c r="K11" i="7" s="1"/>
  <c r="L11" i="7" s="1"/>
  <c r="M11" i="7" s="1"/>
  <c r="E14" i="10"/>
  <c r="K14" i="10" s="1"/>
  <c r="L3" i="44"/>
  <c r="K9" i="44"/>
  <c r="M8" i="7"/>
  <c r="M14" i="14"/>
  <c r="E14" i="14"/>
  <c r="P4" i="18"/>
  <c r="I22" i="18"/>
  <c r="BZ12" i="17"/>
  <c r="Q28" i="11"/>
  <c r="BZ15" i="17"/>
  <c r="L11" i="16"/>
  <c r="BZ10" i="17"/>
  <c r="K11" i="16"/>
  <c r="K28" i="11"/>
  <c r="J11" i="16"/>
  <c r="BS16" i="17"/>
  <c r="BZ11" i="17"/>
  <c r="N11" i="16"/>
  <c r="E16" i="14"/>
  <c r="H16" i="14" s="1"/>
  <c r="AS16" i="17"/>
  <c r="BX16" i="17"/>
  <c r="AO16" i="17"/>
  <c r="U16" i="17"/>
  <c r="BZ14" i="17"/>
  <c r="S16" i="17"/>
  <c r="J6" i="39"/>
  <c r="B13" i="39" s="1"/>
  <c r="B15" i="39" s="1"/>
  <c r="BZ9" i="17"/>
  <c r="BY16" i="17"/>
  <c r="M5" i="7"/>
  <c r="D33" i="7"/>
  <c r="M6" i="7"/>
  <c r="D32" i="7"/>
  <c r="F12" i="7"/>
  <c r="F6" i="7"/>
  <c r="C32" i="7"/>
  <c r="R27" i="11"/>
  <c r="R28" i="11" s="1"/>
  <c r="D11" i="39"/>
  <c r="C12" i="37" s="1"/>
  <c r="E53" i="41" s="1"/>
  <c r="B12" i="37"/>
  <c r="D53" i="41" s="1"/>
  <c r="F10" i="39"/>
  <c r="B14" i="37" s="1"/>
  <c r="D55" i="41" s="1"/>
  <c r="F7" i="7"/>
  <c r="F8" i="7"/>
  <c r="F11" i="7"/>
  <c r="C31" i="7"/>
  <c r="B11" i="39"/>
  <c r="C10" i="37" s="1"/>
  <c r="B10" i="37"/>
  <c r="M12" i="7"/>
  <c r="M7" i="7"/>
  <c r="H11" i="39"/>
  <c r="C16" i="37" s="1"/>
  <c r="E57" i="41" s="1"/>
  <c r="B16" i="37"/>
  <c r="D57" i="41" s="1"/>
  <c r="G11" i="39"/>
  <c r="C15" i="37" s="1"/>
  <c r="E56" i="41" s="1"/>
  <c r="B15" i="37"/>
  <c r="D56" i="41" s="1"/>
  <c r="M14" i="7"/>
  <c r="D35" i="7"/>
  <c r="L15" i="7"/>
  <c r="E15" i="7"/>
  <c r="K6" i="41"/>
  <c r="C191" i="1"/>
  <c r="G13" i="41"/>
  <c r="G12" i="41"/>
  <c r="G38" i="41"/>
  <c r="J6" i="41"/>
  <c r="G33" i="41"/>
  <c r="G10" i="41"/>
  <c r="C205" i="1"/>
  <c r="G39" i="41"/>
  <c r="G34" i="41"/>
  <c r="G11" i="41"/>
  <c r="G9" i="41"/>
  <c r="E11" i="39"/>
  <c r="C13" i="37" s="1"/>
  <c r="E54" i="41" s="1"/>
  <c r="B13" i="37"/>
  <c r="D54" i="41" s="1"/>
  <c r="C10" i="39"/>
  <c r="B11" i="37" s="1"/>
  <c r="D52" i="41" s="1"/>
  <c r="F14" i="7"/>
  <c r="C35" i="7"/>
  <c r="C33" i="7"/>
  <c r="F5" i="7"/>
  <c r="J191" i="3" l="1"/>
  <c r="M15" i="14" s="1"/>
  <c r="E57" i="14" s="1"/>
  <c r="D31" i="7"/>
  <c r="N3" i="44"/>
  <c r="L9" i="44"/>
  <c r="E13" i="10"/>
  <c r="K13" i="10" s="1"/>
  <c r="K16" i="10" s="1"/>
  <c r="D44" i="10" s="1"/>
  <c r="G44" i="10" s="1"/>
  <c r="D47" i="10"/>
  <c r="E47" i="10" s="1"/>
  <c r="G47" i="10" s="1"/>
  <c r="H14" i="14"/>
  <c r="H22" i="14" s="1"/>
  <c r="B6" i="14" s="1"/>
  <c r="D9" i="7" s="1"/>
  <c r="E9" i="7" s="1"/>
  <c r="C47" i="14"/>
  <c r="P14" i="14"/>
  <c r="C57" i="14"/>
  <c r="P3" i="18"/>
  <c r="Q3" i="18" s="1"/>
  <c r="B3" i="19" s="1"/>
  <c r="D21" i="41" s="1"/>
  <c r="G21" i="41" s="1"/>
  <c r="O11" i="16"/>
  <c r="K13" i="7" s="1"/>
  <c r="D34" i="7" s="1"/>
  <c r="BZ16" i="17"/>
  <c r="E47" i="14"/>
  <c r="H14" i="17"/>
  <c r="K14" i="17" s="1"/>
  <c r="H13" i="17"/>
  <c r="K13" i="17" s="1"/>
  <c r="H11" i="17"/>
  <c r="K11" i="17" s="1"/>
  <c r="H15" i="17"/>
  <c r="K15" i="17" s="1"/>
  <c r="H12" i="17"/>
  <c r="K12" i="17" s="1"/>
  <c r="H10" i="17"/>
  <c r="K10" i="17" s="1"/>
  <c r="H9" i="17"/>
  <c r="K9" i="17" s="1"/>
  <c r="B2" i="37"/>
  <c r="B14" i="39"/>
  <c r="B3" i="37" s="1"/>
  <c r="G40" i="41"/>
  <c r="G41" i="41" s="1"/>
  <c r="F11" i="39"/>
  <c r="C14" i="37" s="1"/>
  <c r="E55" i="41" s="1"/>
  <c r="G35" i="41"/>
  <c r="M15" i="7"/>
  <c r="D36" i="7"/>
  <c r="D51" i="41"/>
  <c r="B17" i="37"/>
  <c r="D58" i="41" s="1"/>
  <c r="E51" i="41"/>
  <c r="B16" i="39"/>
  <c r="B5" i="37" s="1"/>
  <c r="B18" i="39"/>
  <c r="B7" i="37" s="1"/>
  <c r="B4" i="37"/>
  <c r="D28" i="41" s="1"/>
  <c r="G27" i="41" s="1"/>
  <c r="C204" i="1" s="1"/>
  <c r="B17" i="39"/>
  <c r="B6" i="37" s="1"/>
  <c r="C11" i="39"/>
  <c r="C11" i="37" s="1"/>
  <c r="E52" i="41" s="1"/>
  <c r="F15" i="7"/>
  <c r="C36" i="7"/>
  <c r="I58" i="14" l="1"/>
  <c r="J59" i="14" s="1"/>
  <c r="K10" i="7" s="1"/>
  <c r="L10" i="7" s="1"/>
  <c r="M10" i="7" s="1"/>
  <c r="P15" i="14"/>
  <c r="P22" i="14" s="1"/>
  <c r="C6" i="14" s="1"/>
  <c r="K9" i="7" s="1"/>
  <c r="L9" i="7" s="1"/>
  <c r="M9" i="7" s="1"/>
  <c r="F9" i="7"/>
  <c r="P3" i="44"/>
  <c r="O3" i="44"/>
  <c r="N9" i="44"/>
  <c r="Q30" i="11" s="1"/>
  <c r="K19" i="10"/>
  <c r="C190" i="1"/>
  <c r="I48" i="14"/>
  <c r="J49" i="14" s="1"/>
  <c r="D10" i="7" s="1"/>
  <c r="E10" i="7" s="1"/>
  <c r="F10" i="7" s="1"/>
  <c r="K21" i="41"/>
  <c r="J21" i="41"/>
  <c r="L13" i="7"/>
  <c r="D13" i="7"/>
  <c r="C34" i="7" s="1"/>
  <c r="AK9" i="17"/>
  <c r="BL9" i="17" s="1"/>
  <c r="L9" i="17"/>
  <c r="AK12" i="17"/>
  <c r="L12" i="17"/>
  <c r="AK11" i="17"/>
  <c r="L11" i="17"/>
  <c r="L10" i="17"/>
  <c r="AK10" i="17"/>
  <c r="L14" i="17"/>
  <c r="AK14" i="17"/>
  <c r="BL14" i="17" s="1"/>
  <c r="C14" i="19" s="1"/>
  <c r="L13" i="17"/>
  <c r="AK13" i="17"/>
  <c r="AK15" i="17"/>
  <c r="BL15" i="17" s="1"/>
  <c r="C15" i="19" s="1"/>
  <c r="L15" i="17"/>
  <c r="D27" i="41"/>
  <c r="C203" i="1"/>
  <c r="J31" i="41"/>
  <c r="K31" i="41"/>
  <c r="K29" i="41"/>
  <c r="J29" i="41"/>
  <c r="C201" i="1" s="1"/>
  <c r="J30" i="41"/>
  <c r="C202" i="1"/>
  <c r="K30" i="41"/>
  <c r="C17" i="37"/>
  <c r="E58" i="41" s="1"/>
  <c r="AX13" i="17"/>
  <c r="BG15" i="17"/>
  <c r="AZ12" i="17"/>
  <c r="AZ11" i="17"/>
  <c r="AZ9" i="17"/>
  <c r="BG9" i="17"/>
  <c r="AZ13" i="17"/>
  <c r="AX9" i="17"/>
  <c r="AZ15" i="17"/>
  <c r="AX15" i="17"/>
  <c r="BC13" i="17"/>
  <c r="BG13" i="17"/>
  <c r="BG11" i="17"/>
  <c r="AZ14" i="17"/>
  <c r="BC11" i="17"/>
  <c r="BG12" i="17"/>
  <c r="BG14" i="17"/>
  <c r="BG10" i="17"/>
  <c r="BC9" i="17"/>
  <c r="BC10" i="17"/>
  <c r="BC12" i="17"/>
  <c r="AX14" i="17"/>
  <c r="AX11" i="17"/>
  <c r="AZ10" i="17"/>
  <c r="AX10" i="17"/>
  <c r="BC14" i="17"/>
  <c r="AX12" i="17"/>
  <c r="BC15" i="17"/>
  <c r="N5" i="7" l="1"/>
  <c r="D30" i="7"/>
  <c r="D37" i="7" s="1"/>
  <c r="D42" i="7" s="1"/>
  <c r="L16" i="7"/>
  <c r="Q3" i="44"/>
  <c r="O9" i="44"/>
  <c r="R30" i="11" s="1"/>
  <c r="R3" i="44"/>
  <c r="R9" i="44" s="1"/>
  <c r="P9" i="44"/>
  <c r="G50" i="10" s="1"/>
  <c r="D31" i="41" s="1"/>
  <c r="N12" i="7"/>
  <c r="N6" i="7"/>
  <c r="N11" i="7"/>
  <c r="N9" i="7"/>
  <c r="N8" i="7"/>
  <c r="M13" i="7"/>
  <c r="N13" i="7"/>
  <c r="N7" i="7"/>
  <c r="N14" i="7"/>
  <c r="N10" i="7"/>
  <c r="C30" i="7"/>
  <c r="C37" i="7" s="1"/>
  <c r="E13" i="7"/>
  <c r="C9" i="19"/>
  <c r="BF9" i="17"/>
  <c r="BM9" i="17" s="1"/>
  <c r="AK16" i="17"/>
  <c r="BF14" i="17"/>
  <c r="BM14" i="17" s="1"/>
  <c r="BF15" i="17"/>
  <c r="BM15" i="17" s="1"/>
  <c r="BF10" i="17"/>
  <c r="BM10" i="17" s="1"/>
  <c r="BG16" i="17"/>
  <c r="BF12" i="17"/>
  <c r="BM12" i="17" s="1"/>
  <c r="BF13" i="17"/>
  <c r="BM13" i="17" s="1"/>
  <c r="BF11" i="17"/>
  <c r="BM11" i="17" s="1"/>
  <c r="BL10" i="17"/>
  <c r="BL12" i="17"/>
  <c r="BL13" i="17"/>
  <c r="BL11" i="17"/>
  <c r="D43" i="7" l="1"/>
  <c r="F13" i="7"/>
  <c r="E16" i="7"/>
  <c r="G13" i="7" s="1"/>
  <c r="S3" i="44"/>
  <c r="S9" i="44" s="1"/>
  <c r="Q9" i="44"/>
  <c r="G30" i="41"/>
  <c r="C200" i="1" s="1"/>
  <c r="M16" i="7"/>
  <c r="D9" i="19"/>
  <c r="BU9" i="17"/>
  <c r="BN9" i="17"/>
  <c r="BF16" i="17"/>
  <c r="C12" i="19"/>
  <c r="BN12" i="17"/>
  <c r="D13" i="19"/>
  <c r="BU13" i="17"/>
  <c r="BN15" i="17"/>
  <c r="BU15" i="17"/>
  <c r="D15" i="19"/>
  <c r="C11" i="19"/>
  <c r="BN11" i="17"/>
  <c r="C13" i="19"/>
  <c r="BN13" i="17"/>
  <c r="D11" i="19"/>
  <c r="BU11" i="17"/>
  <c r="BU10" i="17"/>
  <c r="D10" i="19"/>
  <c r="BM16" i="17"/>
  <c r="BL16" i="17"/>
  <c r="BN10" i="17"/>
  <c r="C10" i="19"/>
  <c r="BU12" i="17"/>
  <c r="D12" i="19"/>
  <c r="BN14" i="17"/>
  <c r="BU14" i="17"/>
  <c r="D14" i="19"/>
  <c r="D24" i="41"/>
  <c r="D44" i="7"/>
  <c r="J34" i="41" l="1"/>
  <c r="K34" i="41"/>
  <c r="N16" i="7"/>
  <c r="N15" i="7"/>
  <c r="G6" i="7"/>
  <c r="G15" i="7"/>
  <c r="G14" i="7"/>
  <c r="G9" i="7"/>
  <c r="G11" i="7"/>
  <c r="G10" i="7"/>
  <c r="G16" i="7"/>
  <c r="F16" i="7"/>
  <c r="G12" i="7"/>
  <c r="G8" i="7"/>
  <c r="G7" i="7"/>
  <c r="G5" i="7"/>
  <c r="BP9" i="17"/>
  <c r="E9" i="19"/>
  <c r="BO9" i="17"/>
  <c r="F9" i="19" s="1"/>
  <c r="C16" i="19"/>
  <c r="D16" i="19"/>
  <c r="BP13" i="17"/>
  <c r="BO13" i="17"/>
  <c r="F13" i="19" s="1"/>
  <c r="E13" i="19"/>
  <c r="BP14" i="17"/>
  <c r="BO14" i="17"/>
  <c r="F14" i="19" s="1"/>
  <c r="E14" i="19"/>
  <c r="BO10" i="17"/>
  <c r="F10" i="19" s="1"/>
  <c r="E10" i="19"/>
  <c r="BP10" i="17"/>
  <c r="BN16" i="17"/>
  <c r="BW9" i="17"/>
  <c r="BV9" i="17"/>
  <c r="C2" i="19" s="1"/>
  <c r="BP12" i="17"/>
  <c r="E12" i="19"/>
  <c r="BO12" i="17"/>
  <c r="F12" i="19" s="1"/>
  <c r="E11" i="19"/>
  <c r="BO11" i="17"/>
  <c r="F11" i="19" s="1"/>
  <c r="BP11" i="17"/>
  <c r="BO15" i="17"/>
  <c r="F15" i="19" s="1"/>
  <c r="E15" i="19"/>
  <c r="BP15" i="17"/>
  <c r="J26" i="41"/>
  <c r="C198" i="1" s="1"/>
  <c r="K25" i="41"/>
  <c r="G24" i="41"/>
  <c r="C199" i="1" s="1"/>
  <c r="K24" i="41"/>
  <c r="J25" i="41"/>
  <c r="C197" i="1" s="1"/>
  <c r="C195" i="1"/>
  <c r="J24" i="41"/>
  <c r="D2" i="19" l="1"/>
  <c r="D18" i="41" s="1"/>
  <c r="K37" i="41"/>
  <c r="C188" i="1"/>
  <c r="D17" i="41"/>
  <c r="G9" i="19"/>
  <c r="BQ9" i="17"/>
  <c r="H9" i="19" s="1"/>
  <c r="J9" i="19" s="1"/>
  <c r="G11" i="19"/>
  <c r="D64" i="41" s="1"/>
  <c r="BQ11" i="17"/>
  <c r="H11" i="19" s="1"/>
  <c r="J11" i="19" s="1"/>
  <c r="BO16" i="17"/>
  <c r="BT7" i="17" s="1"/>
  <c r="BT6" i="17"/>
  <c r="BQ15" i="17"/>
  <c r="H15" i="19" s="1"/>
  <c r="J15" i="19" s="1"/>
  <c r="G15" i="19"/>
  <c r="D68" i="41" s="1"/>
  <c r="G12" i="19"/>
  <c r="D65" i="41" s="1"/>
  <c r="BQ12" i="17"/>
  <c r="H12" i="19" s="1"/>
  <c r="J12" i="19" s="1"/>
  <c r="G10" i="19"/>
  <c r="BQ10" i="17"/>
  <c r="H10" i="19" s="1"/>
  <c r="J10" i="19" s="1"/>
  <c r="BP16" i="17"/>
  <c r="BQ13" i="17"/>
  <c r="H13" i="19" s="1"/>
  <c r="J13" i="19" s="1"/>
  <c r="G13" i="19"/>
  <c r="D66" i="41" s="1"/>
  <c r="E16" i="19"/>
  <c r="BQ14" i="17"/>
  <c r="H14" i="19" s="1"/>
  <c r="J14" i="19" s="1"/>
  <c r="G14" i="19"/>
  <c r="D67" i="41" s="1"/>
  <c r="C196" i="1"/>
  <c r="J37" i="41"/>
  <c r="C189" i="1" l="1"/>
  <c r="I15" i="19"/>
  <c r="E68" i="41" s="1"/>
  <c r="I9" i="19"/>
  <c r="E62" i="41" s="1"/>
  <c r="D62" i="41"/>
  <c r="I11" i="19"/>
  <c r="E64" i="41" s="1"/>
  <c r="I12" i="19"/>
  <c r="E65" i="41" s="1"/>
  <c r="D63" i="41"/>
  <c r="G16" i="19"/>
  <c r="D69" i="41" s="1"/>
  <c r="I13" i="19"/>
  <c r="E66" i="41" s="1"/>
  <c r="I10" i="19"/>
  <c r="BQ16" i="17"/>
  <c r="BU7" i="17" s="1"/>
  <c r="BU6" i="17"/>
  <c r="B2" i="19" s="1"/>
  <c r="D16" i="41" s="1"/>
  <c r="I14" i="19"/>
  <c r="E67" i="41" s="1"/>
  <c r="E63" i="41" l="1"/>
  <c r="I16" i="19"/>
  <c r="E69" i="41" s="1"/>
  <c r="K16" i="41"/>
  <c r="C186" i="1"/>
  <c r="G16" i="41"/>
  <c r="C187" i="1" s="1"/>
  <c r="J16" i="41"/>
  <c r="D46" i="34" l="1"/>
  <c r="D166" i="1"/>
  <c r="C46" i="34" l="1"/>
  <c r="B46" i="34"/>
  <c r="D45" i="34"/>
  <c r="D43" i="34"/>
  <c r="D42" i="34"/>
  <c r="D44" i="34"/>
  <c r="D164" i="1"/>
  <c r="D162" i="1"/>
  <c r="D163" i="1"/>
  <c r="D165" i="1"/>
  <c r="B42" i="34" l="1"/>
  <c r="B44" i="34"/>
  <c r="B43" i="34"/>
  <c r="B45" i="34"/>
  <c r="F46" i="34"/>
  <c r="C45" i="34"/>
  <c r="C43" i="34"/>
  <c r="C42" i="34"/>
  <c r="C44" i="34"/>
  <c r="D41" i="34"/>
  <c r="D161" i="1"/>
  <c r="F42" i="34" l="1"/>
  <c r="K161" i="1"/>
  <c r="F44" i="34"/>
  <c r="F43" i="34"/>
  <c r="F45" i="34"/>
  <c r="B41" i="34"/>
  <c r="C41" i="34"/>
  <c r="B177" i="1"/>
  <c r="G177" i="1" s="1"/>
  <c r="F177" i="1" l="1"/>
  <c r="H177" i="1"/>
  <c r="E177" i="1"/>
  <c r="F41" i="34"/>
  <c r="K169" i="1"/>
  <c r="D45" i="41" s="1"/>
  <c r="A47" i="34"/>
  <c r="D177" i="1"/>
  <c r="C177" i="1"/>
  <c r="D167" i="1"/>
  <c r="G45" i="41" l="1"/>
  <c r="C207" i="1"/>
  <c r="C208" i="1" s="1"/>
  <c r="B47" i="34"/>
  <c r="B48" i="34" s="1"/>
  <c r="B57" i="34" s="1"/>
  <c r="C47" i="34"/>
  <c r="D47" i="34"/>
  <c r="D48" i="34" s="1"/>
  <c r="D57" i="34" s="1"/>
  <c r="C48" i="34" l="1"/>
  <c r="C57" i="34" s="1"/>
  <c r="F47" i="34"/>
  <c r="F48" i="34" s="1"/>
  <c r="F57" i="34" s="1"/>
  <c r="B62" i="34" s="1"/>
  <c r="C62" i="34" l="1"/>
  <c r="D62" i="34" l="1"/>
  <c r="E62" i="34" l="1"/>
  <c r="F62" i="34" l="1"/>
  <c r="G62" i="34" l="1"/>
  <c r="H62" i="34" l="1"/>
  <c r="I62" i="34" l="1"/>
  <c r="J62" i="34" l="1"/>
  <c r="K62" i="34" l="1"/>
  <c r="B61" i="34" l="1"/>
  <c r="B63" i="34" s="1"/>
  <c r="B70" i="34" l="1"/>
  <c r="C10" i="35"/>
  <c r="E10" i="35" s="1"/>
  <c r="C70" i="34"/>
  <c r="D70" i="34"/>
  <c r="B88" i="34"/>
  <c r="D10" i="35" s="1"/>
  <c r="C61" i="34"/>
  <c r="E61" i="34"/>
  <c r="G61" i="34"/>
  <c r="K61" i="34"/>
  <c r="D61" i="34"/>
  <c r="I61" i="34"/>
  <c r="H61" i="34"/>
  <c r="J61" i="34"/>
  <c r="F61" i="34"/>
  <c r="B94" i="34" l="1"/>
  <c r="D16" i="35" s="1"/>
  <c r="H63" i="34"/>
  <c r="B91" i="34"/>
  <c r="D13" i="35" s="1"/>
  <c r="E63" i="34"/>
  <c r="B93" i="34"/>
  <c r="D15" i="35" s="1"/>
  <c r="G63" i="34"/>
  <c r="I63" i="34"/>
  <c r="B95" i="34"/>
  <c r="D17" i="35" s="1"/>
  <c r="F63" i="34"/>
  <c r="B92" i="34"/>
  <c r="D14" i="35" s="1"/>
  <c r="B90" i="34"/>
  <c r="D12" i="35" s="1"/>
  <c r="D63" i="34"/>
  <c r="B89" i="34"/>
  <c r="D11" i="35" s="1"/>
  <c r="C63" i="34"/>
  <c r="J63" i="34"/>
  <c r="B96" i="34"/>
  <c r="D18" i="35" s="1"/>
  <c r="B97" i="34"/>
  <c r="D19" i="35" s="1"/>
  <c r="K63" i="34"/>
  <c r="C14" i="35" l="1"/>
  <c r="E14" i="35" s="1"/>
  <c r="B74" i="34"/>
  <c r="C74" i="34" s="1"/>
  <c r="B73" i="34"/>
  <c r="C73" i="34" s="1"/>
  <c r="C13" i="35"/>
  <c r="E13" i="35" s="1"/>
  <c r="C12" i="35"/>
  <c r="E12" i="35" s="1"/>
  <c r="B72" i="34"/>
  <c r="C72" i="34" s="1"/>
  <c r="B75" i="34"/>
  <c r="C75" i="34" s="1"/>
  <c r="C15" i="35"/>
  <c r="E15" i="35" s="1"/>
  <c r="C16" i="35"/>
  <c r="E16" i="35" s="1"/>
  <c r="B76" i="34"/>
  <c r="C76" i="34" s="1"/>
  <c r="B78" i="34"/>
  <c r="C78" i="34" s="1"/>
  <c r="C18" i="35"/>
  <c r="E18" i="35" s="1"/>
  <c r="B79" i="34"/>
  <c r="C79" i="34" s="1"/>
  <c r="C19" i="35"/>
  <c r="E19" i="35" s="1"/>
  <c r="C11" i="35"/>
  <c r="E11" i="35" s="1"/>
  <c r="B71" i="34"/>
  <c r="B77" i="34"/>
  <c r="C77" i="34" s="1"/>
  <c r="C17" i="35"/>
  <c r="E17" i="35" s="1"/>
  <c r="C71" i="34" l="1"/>
  <c r="D71" i="34" s="1"/>
  <c r="B85" i="34" l="1"/>
  <c r="C25" i="35" s="1"/>
  <c r="E71" i="34"/>
  <c r="D72" i="34"/>
  <c r="E72" i="34" l="1"/>
  <c r="D73" i="34"/>
  <c r="D74" i="34" l="1"/>
  <c r="E73" i="34"/>
  <c r="D75" i="34" l="1"/>
  <c r="E74" i="34"/>
  <c r="E75" i="34" l="1"/>
  <c r="D76" i="34"/>
  <c r="E76" i="34" l="1"/>
  <c r="D77" i="34"/>
  <c r="D78" i="34" l="1"/>
  <c r="E77" i="34"/>
  <c r="E78" i="34" l="1"/>
  <c r="D79" i="34"/>
  <c r="B83" i="34" l="1"/>
  <c r="E79" i="34"/>
  <c r="C83" i="34" s="1"/>
  <c r="D83" i="34" l="1"/>
  <c r="C22" i="3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7" authorId="0" shapeId="0" xr:uid="{00000000-0006-0000-1400-000001000000}">
      <text>
        <r>
          <rPr>
            <sz val="10"/>
            <rFont val="Arial"/>
            <family val="2"/>
          </rPr>
          <t xml:space="preserve">intensive animal: urea
extensive: (both manures): barnyard manure only
semi-intensive animal manure: only urea was recorded
</t>
        </r>
      </text>
    </comment>
    <comment ref="L7" authorId="0" shapeId="0" xr:uid="{00000000-0006-0000-1400-000002000000}">
      <text>
        <r>
          <rPr>
            <sz val="10"/>
            <rFont val="Arial"/>
            <family val="2"/>
          </rPr>
          <t xml:space="preserve">intensive animal: urea
extensive: (both manures): barnyard manure only
semi-intensive animal manure: only urea was recorded
</t>
        </r>
      </text>
    </comment>
  </commentList>
</comments>
</file>

<file path=xl/sharedStrings.xml><?xml version="1.0" encoding="utf-8"?>
<sst xmlns="http://schemas.openxmlformats.org/spreadsheetml/2006/main" count="3360" uniqueCount="1849">
  <si>
    <t>EF</t>
  </si>
  <si>
    <t>METHANE EMMISSIONS FROM ENTERIC FERMENTATION (TIER 1)</t>
  </si>
  <si>
    <t>Total kg CH4</t>
  </si>
  <si>
    <t>if not</t>
  </si>
  <si>
    <t>if sum of rain - sum of PE &gt; soil water holding capacity during rainy season</t>
  </si>
  <si>
    <t xml:space="preserve"> fraction of all N added to/mineralised in managed soils in regions where leaching/runoff occurs that is lost through leaching and runoff</t>
  </si>
  <si>
    <t>kg N (kg of N additions)-1</t>
  </si>
  <si>
    <t xml:space="preserve">FracLEACH-(H) </t>
  </si>
  <si>
    <t>0.05-0.5</t>
  </si>
  <si>
    <t xml:space="preserve"> fraction of applied organic N fertiliser materials (FON) and of urine and dung N deposited by grazing animals (FPRP) that volatilises as NH3 and NOx</t>
  </si>
  <si>
    <t>kg N volatilised (kg of N applied or deposited)-1</t>
  </si>
  <si>
    <t xml:space="preserve">FracGASM </t>
  </si>
  <si>
    <t>0.03-0.3</t>
  </si>
  <si>
    <t xml:space="preserve"> fraction of synthetic fertilzer N that volatilises as NH3 and NOx</t>
  </si>
  <si>
    <t>kg N volatilised (kg of N applied)-1</t>
  </si>
  <si>
    <t xml:space="preserve">FracGASF </t>
  </si>
  <si>
    <t>0.000 - 0.006</t>
  </si>
  <si>
    <t>emission factor for N2O emission from N inputs for flooded rice</t>
  </si>
  <si>
    <t>kg N2O–N (kg N input)-1</t>
  </si>
  <si>
    <t>EF1R</t>
  </si>
  <si>
    <t>0.005-0.025</t>
  </si>
  <si>
    <t xml:space="preserve"> emission factor for N2O emissions from N leaching and runoff</t>
  </si>
  <si>
    <t>kg N2O–N (kg N leached and runoff)-1</t>
  </si>
  <si>
    <t xml:space="preserve">EF5 </t>
  </si>
  <si>
    <t>0.002-0.05</t>
  </si>
  <si>
    <t xml:space="preserve"> emission factor for N2O emissions from atmospheric deposition of N on soils and water surfaces</t>
  </si>
  <si>
    <t>[kg N–N2O (kg NH3–N + NOx–N volatilised)-1]</t>
  </si>
  <si>
    <t xml:space="preserve">EF4 </t>
  </si>
  <si>
    <t>0.003-0.03</t>
  </si>
  <si>
    <t xml:space="preserve"> emission factor for N2O emissions from urine and dung N deposited on pasture, range and paddock by grazing animals</t>
  </si>
  <si>
    <t>EF3PRP-SO</t>
  </si>
  <si>
    <t>0.007-0.06</t>
  </si>
  <si>
    <t xml:space="preserve">EF3PRP-CPP </t>
  </si>
  <si>
    <t>5 TO 48</t>
  </si>
  <si>
    <t xml:space="preserve"> emission factor for N2O emissions from drained/managed organic soils</t>
  </si>
  <si>
    <t>kg N2O–N ha-1 yr-1</t>
  </si>
  <si>
    <t xml:space="preserve">EF2 </t>
  </si>
  <si>
    <t xml:space="preserve"> emission factor for N2O emissions from N inputs</t>
  </si>
  <si>
    <t xml:space="preserve">EF1 </t>
  </si>
  <si>
    <t>UNCERTAINTY RANGE</t>
  </si>
  <si>
    <t>DEFAULT VALUES</t>
  </si>
  <si>
    <t>DESCRIPTION</t>
  </si>
  <si>
    <t>UNIT</t>
  </si>
  <si>
    <t>EMISSION FACTORS</t>
  </si>
  <si>
    <t xml:space="preserve"> </t>
  </si>
  <si>
    <t>TABLE 11.1 AND TABLE 11.3</t>
  </si>
  <si>
    <t>N2O EMISSIONS FROM MANAGED SOILS</t>
  </si>
  <si>
    <t>uncertainty of these emissions is +/- 30%</t>
  </si>
  <si>
    <t>Goats</t>
  </si>
  <si>
    <t>Sheep</t>
  </si>
  <si>
    <t>Warm (&gt;25°C)</t>
  </si>
  <si>
    <t>Temperate (15 to 25°C)</t>
  </si>
  <si>
    <t xml:space="preserve">Cool (&lt;15°C)  </t>
  </si>
  <si>
    <t>ANIMAL CATEGORY</t>
  </si>
  <si>
    <t>CH4 emission factor by average annual temperature (°C)</t>
  </si>
  <si>
    <t>kg CH4 head-1. yr-1</t>
  </si>
  <si>
    <t>AND ASSES, AND POULTRY FOR DEVELOPING COUNTRIES</t>
  </si>
  <si>
    <t>MANURE MANAGEMENT METHANE EMISSION FACTORS BY TEMPERATURE FOR SHEEP, GOATS, CAMELS, HORSES, MULES</t>
  </si>
  <si>
    <t>Table 10.15</t>
  </si>
  <si>
    <t>Other cattle</t>
  </si>
  <si>
    <t>Dairy cows</t>
  </si>
  <si>
    <t xml:space="preserve">Most livestock manure is managed as a solid on pastures and ranges. A smaller but significant fraction is burned as fuel. </t>
  </si>
  <si>
    <t>≥28</t>
  </si>
  <si>
    <t>≤10</t>
  </si>
  <si>
    <t>Warm</t>
  </si>
  <si>
    <t>Temperate</t>
  </si>
  <si>
    <t>Cool</t>
  </si>
  <si>
    <t>Livestock species</t>
  </si>
  <si>
    <t>Regional characteristics</t>
  </si>
  <si>
    <t>Region</t>
  </si>
  <si>
    <t>CH4 emission factors by average annual temperature (°C)b</t>
  </si>
  <si>
    <t>MANURE MANAGEMENT METHANE EMISSION FACTORS BY  TEMPERATURE FOR CATTLE, SWINE AND BUFFALO</t>
  </si>
  <si>
    <t>Table 10.14</t>
  </si>
  <si>
    <t>METHANE EMISSIONS FROM MANURE MANAGEMENT</t>
  </si>
  <si>
    <t>Table 10.10</t>
  </si>
  <si>
    <t>Dairy cattle</t>
  </si>
  <si>
    <t>source</t>
  </si>
  <si>
    <t>Unit</t>
  </si>
  <si>
    <t>METHANE EMISSIONS FROM LIVESTOCK; Kg CH4 per head per year</t>
  </si>
  <si>
    <t>EMISSION FACTORS TIER 1 IPCC (2006)</t>
  </si>
  <si>
    <t xml:space="preserve">Category </t>
  </si>
  <si>
    <t>unit</t>
  </si>
  <si>
    <t>value</t>
  </si>
  <si>
    <t>%</t>
  </si>
  <si>
    <t>Methane</t>
  </si>
  <si>
    <t>* Excluding those from energy use, nitrogen fertilizer production and purchased feed</t>
  </si>
  <si>
    <t>Including indirect emission from managed soils</t>
  </si>
  <si>
    <t>N2O</t>
  </si>
  <si>
    <t xml:space="preserve">Global warming potential </t>
  </si>
  <si>
    <t>GE</t>
  </si>
  <si>
    <t>METHANE EMMISSIONS FROM ENTERIC FERMENTATION (TIER 2)</t>
  </si>
  <si>
    <t>Other mature female</t>
  </si>
  <si>
    <t>table 10A.2</t>
  </si>
  <si>
    <t>Other draft bull</t>
  </si>
  <si>
    <t xml:space="preserve">other Mature female-grazing </t>
  </si>
  <si>
    <t>Other young</t>
  </si>
  <si>
    <t>AFRICA</t>
  </si>
  <si>
    <t>Tier 1</t>
  </si>
  <si>
    <t>a</t>
  </si>
  <si>
    <t>b</t>
  </si>
  <si>
    <t>c</t>
  </si>
  <si>
    <t>Tab to calculate : methane emissions from enteric fermentation (T1 +T2), Gross energy intaker, and N excretion rate in manure ( Tier 1 and Tier 2).</t>
  </si>
  <si>
    <t>ANNUAL AVERAGE NITROGEN EXCRETION RATES (TIER 1)</t>
  </si>
  <si>
    <t>(Used for calculation N2O emissions manure management)</t>
  </si>
  <si>
    <t>other cattle</t>
  </si>
  <si>
    <t>ANNUAL AVERAGE NITROGEN EXCRETION RATES (TIER 2)</t>
  </si>
  <si>
    <t>18.45 = conversion factor for dietary GE per kg of dry matter, MJ kg-1. This value is relatively constant</t>
  </si>
  <si>
    <t>6.25 = conversion from kg of dietary protein to kg of dietary N, kg feed protein (kg N)-1</t>
  </si>
  <si>
    <t>Tier 2; Equation 10.33:</t>
  </si>
  <si>
    <t>Nretention(T)=A+B</t>
  </si>
  <si>
    <t>A=milk*((milkprot%/100)/6,38)</t>
  </si>
  <si>
    <t>B=a/b</t>
  </si>
  <si>
    <t>a=WG*(268-((7,03*NEg)/WG))</t>
  </si>
  <si>
    <t>b=1000/6,25</t>
  </si>
  <si>
    <t>CALCULATION OF METHANE EMMISSIONS FROM MANURE MANGEMENT (Tier 1)</t>
  </si>
  <si>
    <t>tab to calculate CH4 emissions from manure management (T1+T2), N2O emissions direct and indirect from Manure management (T1+T2)</t>
  </si>
  <si>
    <t>UE</t>
  </si>
  <si>
    <t>ASH</t>
  </si>
  <si>
    <t>VS</t>
  </si>
  <si>
    <t>kg N</t>
  </si>
  <si>
    <t>fraction</t>
  </si>
  <si>
    <t xml:space="preserve">dry lot </t>
  </si>
  <si>
    <t>Total kg N2O</t>
  </si>
  <si>
    <t>FracGasMS</t>
  </si>
  <si>
    <t>Total kg N</t>
  </si>
  <si>
    <t>EF4</t>
  </si>
  <si>
    <t>ha</t>
  </si>
  <si>
    <t>Total</t>
  </si>
  <si>
    <t>Annual purchase of animal manure</t>
  </si>
  <si>
    <t xml:space="preserve">Annual purchase of other organic N additions </t>
  </si>
  <si>
    <t>Annual purchase of bedding materials</t>
  </si>
  <si>
    <t>Annual 'sales' of home produced manure</t>
  </si>
  <si>
    <t>total</t>
  </si>
  <si>
    <t>Upland</t>
  </si>
  <si>
    <t xml:space="preserve">CH4rice </t>
  </si>
  <si>
    <t xml:space="preserve">EFi </t>
  </si>
  <si>
    <t xml:space="preserve">SFs,r </t>
  </si>
  <si>
    <t xml:space="preserve">SFo </t>
  </si>
  <si>
    <t>CFOAi</t>
  </si>
  <si>
    <t>ROAi</t>
  </si>
  <si>
    <t>SFp</t>
  </si>
  <si>
    <t>SFw</t>
  </si>
  <si>
    <t xml:space="preserve">EFc </t>
  </si>
  <si>
    <t>t</t>
  </si>
  <si>
    <t>A</t>
  </si>
  <si>
    <t xml:space="preserve">CH4rice=A*t*EFi </t>
  </si>
  <si>
    <t>SFo=(1+ROAi*CFOAi)^0.59</t>
  </si>
  <si>
    <t>Table 5.14</t>
  </si>
  <si>
    <t>Table 5.13</t>
  </si>
  <si>
    <t>Table 5.12</t>
  </si>
  <si>
    <t>Table 5.11</t>
  </si>
  <si>
    <t>kg CH4.yr-1</t>
  </si>
  <si>
    <t>(kg CH4.ha-1.day-1)</t>
  </si>
  <si>
    <t>(-)</t>
  </si>
  <si>
    <t>(tonnes.ha-1)</t>
  </si>
  <si>
    <t>kg CH4.ha-1.day-1)</t>
  </si>
  <si>
    <t>(day)</t>
  </si>
  <si>
    <t>(ha.yr-1)</t>
  </si>
  <si>
    <t>Annual CH4 emission from rice cultivation</t>
  </si>
  <si>
    <t>Adjusted daily emission factor for a particular harvested area</t>
  </si>
  <si>
    <t>Scaling factor for soil type, rice cultivar etc if available</t>
  </si>
  <si>
    <t xml:space="preserve">Scaling factor for both types and amount of organic amendment </t>
  </si>
  <si>
    <t>Conversion factor for organic amendment</t>
  </si>
  <si>
    <t>Application rate of organic amendment in fresh weight</t>
  </si>
  <si>
    <t xml:space="preserve">Scaling factor to account for the differences in water regime durng the cultivation period </t>
  </si>
  <si>
    <t>cultivation period of rice</t>
  </si>
  <si>
    <t>Annual harvested area</t>
  </si>
  <si>
    <t>Subcategories for reporting year</t>
  </si>
  <si>
    <t>equation 5.1</t>
  </si>
  <si>
    <t>equation 5.2</t>
  </si>
  <si>
    <t>equation 5.3</t>
  </si>
  <si>
    <t>eq. 2.2</t>
  </si>
  <si>
    <t>equation</t>
  </si>
  <si>
    <t>Rice Cultivation: Annual CH4 emissions from rice based on IPCC Tier 1</t>
  </si>
  <si>
    <t>irrigated</t>
  </si>
  <si>
    <t>Rain fed and deep water</t>
  </si>
  <si>
    <t>Continuously flooded</t>
  </si>
  <si>
    <t>intermittently flooded-single aeration</t>
  </si>
  <si>
    <t>Intermittently flooded-multiple aeration</t>
  </si>
  <si>
    <t>regular rainfed</t>
  </si>
  <si>
    <t>drought prone</t>
  </si>
  <si>
    <t>deep water</t>
  </si>
  <si>
    <t>Scaling Factor (SFw )</t>
  </si>
  <si>
    <t>Aggregated case</t>
  </si>
  <si>
    <t>Disaggregated case</t>
  </si>
  <si>
    <t>page5.49</t>
  </si>
  <si>
    <t>Scaling Factor (SFp )</t>
  </si>
  <si>
    <t xml:space="preserve">water regime prior to rice cultivation </t>
  </si>
  <si>
    <t>flooded pre-season (&gt;30)*</t>
  </si>
  <si>
    <t xml:space="preserve">* short-pre season of less than 30 d are not considered in selection of SFp </t>
  </si>
  <si>
    <t>non-flooded pre-season &lt;180 days( often in double cropping of rice)</t>
  </si>
  <si>
    <t>non-flooded pre-season &gt;180 days (single rice crop following a dry fallow period)</t>
  </si>
  <si>
    <t>from Table 5.13</t>
  </si>
  <si>
    <t>page 5.50</t>
  </si>
  <si>
    <t>from table 5.14</t>
  </si>
  <si>
    <t>page 5.51</t>
  </si>
  <si>
    <t>conversion factor (CFOA)</t>
  </si>
  <si>
    <t>straw incorporated in soil shortly (&lt;30 days) before cultivation</t>
  </si>
  <si>
    <t>straw incorporated in soil long (&gt;30 days) before cultivation</t>
  </si>
  <si>
    <t>Compost</t>
  </si>
  <si>
    <t>Farm yard manure</t>
  </si>
  <si>
    <t>green manure</t>
  </si>
  <si>
    <t xml:space="preserve">organic amendment </t>
  </si>
  <si>
    <t>EFi=EFc*SFw* SFp*SFo*SFs,r</t>
  </si>
  <si>
    <t>NONE</t>
  </si>
  <si>
    <t xml:space="preserve">FOR EVERY SCALING FACTOR, SELECT FROM TABLES BELOW TO ENTER IN MAIN TABLE </t>
  </si>
  <si>
    <t>FOR SFw AND SFp CHANGE VALUE IF INFORMATION FOR DISAGGREGATED CASES.</t>
  </si>
  <si>
    <t>Scaling factor to account for the differences in water regime in the pre-season before the cultivation period(=1 if less than 30 days)</t>
  </si>
  <si>
    <t>Baseline emission factor for continuously flooded fields without organic amendments</t>
  </si>
  <si>
    <t>TOTAL</t>
  </si>
  <si>
    <t>Sheep and other</t>
  </si>
  <si>
    <t>Cattle, Pig and poultry</t>
  </si>
  <si>
    <t>EF3prp</t>
  </si>
  <si>
    <t>Fprp</t>
  </si>
  <si>
    <t>(kg N.yr-1)</t>
  </si>
  <si>
    <t>(ha)</t>
  </si>
  <si>
    <t>Anthropogenic N input type</t>
  </si>
  <si>
    <t>equation 11.1</t>
  </si>
  <si>
    <t>Fcr; N in crop residues</t>
  </si>
  <si>
    <t>crop residues</t>
  </si>
  <si>
    <t>Fon; N in animal manure,comopst, sewage sludge, other</t>
  </si>
  <si>
    <t>animal manure, compost sewage sludge</t>
  </si>
  <si>
    <t>EF1fr</t>
  </si>
  <si>
    <t>Fsn; N in synthetic fertilizers</t>
  </si>
  <si>
    <t>synthetic fertilizers</t>
  </si>
  <si>
    <t>EF1</t>
  </si>
  <si>
    <t>Anthropogenic N input types to estimate annual direct N2O-N emissions produced from managed soils</t>
  </si>
  <si>
    <t>N2O Ninputs</t>
  </si>
  <si>
    <t>F</t>
  </si>
  <si>
    <t>N2O Ninputs=F*EF</t>
  </si>
  <si>
    <t>Tabble 11.1</t>
  </si>
  <si>
    <t>(kg N2O-N . yr-1)</t>
  </si>
  <si>
    <t>( kg N2O-N . kg N inputs -1)</t>
  </si>
  <si>
    <t>(kg N. yr-1)</t>
  </si>
  <si>
    <t>Annual direct N2ON emissions produced from managed soils</t>
  </si>
  <si>
    <t>Emission factor for N2O emissions from N inputs</t>
  </si>
  <si>
    <t>Amount of N applied</t>
  </si>
  <si>
    <t>(kg N2O . yr-1)</t>
  </si>
  <si>
    <t xml:space="preserve">Annual amount of synthetic fertilizer N applied to soils </t>
  </si>
  <si>
    <t xml:space="preserve">Fraction of synthetic fertilizer N that volatilises </t>
  </si>
  <si>
    <t xml:space="preserve">Annual amount of animal manure, compost, sewage sludge and other organic N additions intentionally applied to soils </t>
  </si>
  <si>
    <t xml:space="preserve">Annual amount of urine and dung N deposited by grazing animals on pasture, range and paddock </t>
  </si>
  <si>
    <t>Fraction of applied organic N fertilizer materials (FON) and of urine and dung N deposited by grazing animals (FPRP) that volatilises</t>
  </si>
  <si>
    <t>(kg N2O-N .kg N volatilized-1)</t>
  </si>
  <si>
    <t>(kg NH3-N+Nox-N .kg N applied or deposited-1)</t>
  </si>
  <si>
    <t>(kg NH3-N+Nox-N .kg N applied-1)</t>
  </si>
  <si>
    <t>(kg N2O-N .yr-1)</t>
  </si>
  <si>
    <t>Table11.3</t>
  </si>
  <si>
    <t>Fsn</t>
  </si>
  <si>
    <t>Frac GASF</t>
  </si>
  <si>
    <t>Fon</t>
  </si>
  <si>
    <t>Frac GASM</t>
  </si>
  <si>
    <t>N2O (atd)-N</t>
  </si>
  <si>
    <t xml:space="preserve">Total </t>
  </si>
  <si>
    <t xml:space="preserve">equation </t>
  </si>
  <si>
    <t>equation 11.9</t>
  </si>
  <si>
    <t>N2O (atd)-N=[ (Fsn*Frac GSAF)+(Fon+Fprp)*Frac GASM ]*EF4</t>
  </si>
  <si>
    <t>(kg N2O.yr-1)</t>
  </si>
  <si>
    <t>Species/Livestock category</t>
  </si>
  <si>
    <t>number of animals</t>
  </si>
  <si>
    <t>(head)</t>
  </si>
  <si>
    <t>N t</t>
  </si>
  <si>
    <t>emisison factor for enteric fermentation</t>
  </si>
  <si>
    <t>(kg CH4 . head-1.yr-1)</t>
  </si>
  <si>
    <t>Table 10.10, 10.11</t>
  </si>
  <si>
    <t>EF t</t>
  </si>
  <si>
    <t>equation 10.19</t>
  </si>
  <si>
    <t>equation 10.19 and 10.20</t>
  </si>
  <si>
    <t>CH4 emisisons from enteric fermentation</t>
  </si>
  <si>
    <t>(kg CH4.yr-1)</t>
  </si>
  <si>
    <t>CH4 enteric= N t*EF t</t>
  </si>
  <si>
    <t>CH4 enteric</t>
  </si>
  <si>
    <t>CH4 manure= N t*EF t</t>
  </si>
  <si>
    <t>CH4 manure</t>
  </si>
  <si>
    <t>Table 10.14 -10.16</t>
  </si>
  <si>
    <t>equation 10.22</t>
  </si>
  <si>
    <t>(MJ.day-1)</t>
  </si>
  <si>
    <t>equation 10.21</t>
  </si>
  <si>
    <t>CH4 enteric= (GE* Ym/100*365)/55.65</t>
  </si>
  <si>
    <t>CH4 enteric t</t>
  </si>
  <si>
    <t>CH4 emisisons from enteric fermentation per category</t>
  </si>
  <si>
    <t>CH4 conversion factor</t>
  </si>
  <si>
    <t>typical animal mass for livestock category t</t>
  </si>
  <si>
    <t>default N excretion rate</t>
  </si>
  <si>
    <t>annual N excretion for livestock category t</t>
  </si>
  <si>
    <t>Nex t</t>
  </si>
  <si>
    <t xml:space="preserve">Nrate t </t>
  </si>
  <si>
    <t>TAM t</t>
  </si>
  <si>
    <t>(kg N .animal-1.yr-1)</t>
  </si>
  <si>
    <t>kg N (1000 kg animal mass)-1 day-1</t>
  </si>
  <si>
    <t>(see Table 10.19)</t>
  </si>
  <si>
    <t>equation 10.30</t>
  </si>
  <si>
    <t>Nex t = Nrate t * TAM t /1000 * 365</t>
  </si>
  <si>
    <t>equation 2.2</t>
  </si>
  <si>
    <t>equation 2.7</t>
  </si>
  <si>
    <t xml:space="preserve">Land use category </t>
  </si>
  <si>
    <t>Land use during reporting year</t>
  </si>
  <si>
    <t>Initial land use</t>
  </si>
  <si>
    <t>Annual area of cropland with perennial woody biomass</t>
  </si>
  <si>
    <t>Annual growth rate of perenial woody biomass</t>
  </si>
  <si>
    <t>(tonnes C.ha-1.yr-1)</t>
  </si>
  <si>
    <t>Estimates or Tables 5.1</t>
  </si>
  <si>
    <t>Δ CB</t>
  </si>
  <si>
    <r>
      <t xml:space="preserve">Δ </t>
    </r>
    <r>
      <rPr>
        <sz val="12"/>
        <color theme="1"/>
        <rFont val="Calibri"/>
        <family val="2"/>
        <scheme val="minor"/>
      </rPr>
      <t>CG</t>
    </r>
  </si>
  <si>
    <t>Δ CL</t>
  </si>
  <si>
    <t>Annual carbon stock in biomass removed (removal or harvest)</t>
  </si>
  <si>
    <t>(tonnes C.yr-1)</t>
  </si>
  <si>
    <t>Δ CB=A*(Δ CG-Δ CL)</t>
  </si>
  <si>
    <t>Cropland</t>
  </si>
  <si>
    <t>Annual change in carbon stocks in mineral soils</t>
  </si>
  <si>
    <t>Area in the last year of an inventory period</t>
  </si>
  <si>
    <t>Reference carbon stock in the last year of inventory period</t>
  </si>
  <si>
    <t xml:space="preserve">Time dependence of stock change factors (D) or number of years over a single inventory time </t>
  </si>
  <si>
    <t>Stock change factor for the management regime</t>
  </si>
  <si>
    <t>Stock change for input of organic matter</t>
  </si>
  <si>
    <t>( tonnes C.ha-1)</t>
  </si>
  <si>
    <t>(yr)</t>
  </si>
  <si>
    <t>Stock change factor for land-use system or subsystem</t>
  </si>
  <si>
    <t>(tonnes C. yr-1)</t>
  </si>
  <si>
    <t>A (0)</t>
  </si>
  <si>
    <t>Table 2.3</t>
  </si>
  <si>
    <t>SOC ref (0)</t>
  </si>
  <si>
    <t>D</t>
  </si>
  <si>
    <t>F LU</t>
  </si>
  <si>
    <t>F MG</t>
  </si>
  <si>
    <t>F I</t>
  </si>
  <si>
    <t>Δ C Mineral</t>
  </si>
  <si>
    <t xml:space="preserve"> Δ C Mineral as in equation 2.25</t>
  </si>
  <si>
    <t>Equation 2.25; formulation B</t>
  </si>
  <si>
    <t xml:space="preserve">Annual change in carbon stocks in organic soils </t>
  </si>
  <si>
    <t xml:space="preserve">Land area of cultivated organic soil </t>
  </si>
  <si>
    <t>L organic</t>
  </si>
  <si>
    <t>L organic= A*EF</t>
  </si>
  <si>
    <t>Emission factor for climate type</t>
  </si>
  <si>
    <t xml:space="preserve">Annual carbon loss from cultivated organic soils </t>
  </si>
  <si>
    <t>Equation 2.26</t>
  </si>
  <si>
    <t>(Table 5.6: Warm temp=10.0; Tropical/subtropical = 20.0)</t>
  </si>
  <si>
    <t>Annual change in soil organic carbon stock</t>
  </si>
  <si>
    <t>Annual change in carbon stocks in soils</t>
  </si>
  <si>
    <t>equation 2.6</t>
  </si>
  <si>
    <t xml:space="preserve">Annual change in inorganic carbon stocks from soils </t>
  </si>
  <si>
    <t>( assumed to be 0 unless estimated with Tier 3)</t>
  </si>
  <si>
    <t>Δ C inorganic</t>
  </si>
  <si>
    <t>Annual change in carbon stock in soils</t>
  </si>
  <si>
    <t>Δ C Soils</t>
  </si>
  <si>
    <t>Δ C Soils=ΔC Mineral- L organic + ΔC inorganic</t>
  </si>
  <si>
    <t>equation 2.24</t>
  </si>
  <si>
    <t xml:space="preserve">Amount of crop land of crop of farm </t>
  </si>
  <si>
    <t>( kg N .ha-1 .yr-1)</t>
  </si>
  <si>
    <t xml:space="preserve">Crop </t>
  </si>
  <si>
    <t>input of N from crop residue</t>
  </si>
  <si>
    <t>Fcr</t>
  </si>
  <si>
    <t>Ncr</t>
  </si>
  <si>
    <t>frac cr</t>
  </si>
  <si>
    <t>Fcr=A* Ncr*(1- frac cr)</t>
  </si>
  <si>
    <t xml:space="preserve">Amount of N in crop residues of crop </t>
  </si>
  <si>
    <t>CP</t>
  </si>
  <si>
    <t>Nintake = (GE/18.45) * (CP/6.25)</t>
  </si>
  <si>
    <t>(%)</t>
  </si>
  <si>
    <t>crude protein</t>
  </si>
  <si>
    <t>Nex (t)</t>
  </si>
  <si>
    <t>N intake (t)</t>
  </si>
  <si>
    <t>equation 10.31</t>
  </si>
  <si>
    <t xml:space="preserve">annual N excretion rates </t>
  </si>
  <si>
    <t>equation 10.32</t>
  </si>
  <si>
    <t>equation 10.24</t>
  </si>
  <si>
    <t xml:space="preserve">Gross energy intake </t>
  </si>
  <si>
    <t>Digestible energy</t>
  </si>
  <si>
    <t xml:space="preserve">Urinary energy </t>
  </si>
  <si>
    <t>DE</t>
  </si>
  <si>
    <t>( MJ.day-1)</t>
  </si>
  <si>
    <t>( kg VS.day-1 )</t>
  </si>
  <si>
    <t>volatile solid excretion per day on a dry-organic matter basis</t>
  </si>
  <si>
    <t xml:space="preserve"> ash content of manure calculated as a fraction of the dry matter feed intake (e.g., 0.08 for cattle). </t>
  </si>
  <si>
    <t>GHG balance</t>
  </si>
  <si>
    <t>Gross energy intake</t>
  </si>
  <si>
    <t>Maize</t>
  </si>
  <si>
    <t>Grassland</t>
  </si>
  <si>
    <t>conversion factor CO2-C to CO2 =44/12</t>
  </si>
  <si>
    <t>days</t>
  </si>
  <si>
    <t>B o</t>
  </si>
  <si>
    <t xml:space="preserve">maximum methane producing capacity for manure produced by livestock category </t>
  </si>
  <si>
    <t>(m3 CH4 kg-1 of VS excreted )</t>
  </si>
  <si>
    <t xml:space="preserve">t </t>
  </si>
  <si>
    <t>equation 10.23</t>
  </si>
  <si>
    <t>(MCF/100)*MS</t>
  </si>
  <si>
    <t>Ym</t>
  </si>
  <si>
    <t>VS=(GE*(1-(DE/100)+(UE*GE)*((1-ASH)/18.65)</t>
  </si>
  <si>
    <t>MCF</t>
  </si>
  <si>
    <t>Table 10.17, Tables 10.A-4 through 10.A-9, and page 10.43 for more information</t>
  </si>
  <si>
    <t>methane conversion factors for each manure management system by climate region</t>
  </si>
  <si>
    <t>EFt= (VS*365)*[Bo*0.67 kg/m3* SUM (( MCF/100)*MS)]</t>
  </si>
  <si>
    <t>Pasture</t>
  </si>
  <si>
    <t>EF3</t>
  </si>
  <si>
    <t>(kg N2O-N .kg N excr-1)</t>
  </si>
  <si>
    <t>N2O direct MMS</t>
  </si>
  <si>
    <t>Annual direct N2O from MMS</t>
  </si>
  <si>
    <t>N2O direct MMS= N t *N2O direct emisisons t</t>
  </si>
  <si>
    <t>direct N2O emissiosn per livestock and per MMS</t>
  </si>
  <si>
    <t>(kg N2O-N. animal-1.yr-1)</t>
  </si>
  <si>
    <t>(kg N.animal-1.yr-1)</t>
  </si>
  <si>
    <t>Emission factor for N2O emissions from atmospheric deposition of nitrogen on soils and water surfaces</t>
  </si>
  <si>
    <t>table 11.3</t>
  </si>
  <si>
    <t xml:space="preserve"> (kg N2O-N. kg NH3-N + NOx-N volatilised-1)</t>
  </si>
  <si>
    <t>(kg N2O. Yr-1)</t>
  </si>
  <si>
    <t>N2O indirect= Nvolatilization  * EF4* (44/28)</t>
  </si>
  <si>
    <t>T2</t>
  </si>
  <si>
    <t>T1</t>
  </si>
  <si>
    <r>
      <rPr>
        <sz val="12"/>
        <color rgb="FFFF0000"/>
        <rFont val="Calibri"/>
        <family val="2"/>
        <scheme val="minor"/>
      </rPr>
      <t>NexT2</t>
    </r>
    <r>
      <rPr>
        <sz val="12"/>
        <rFont val="Calibri"/>
        <family val="2"/>
        <scheme val="minor"/>
      </rPr>
      <t>*MS*EF3</t>
    </r>
  </si>
  <si>
    <r>
      <rPr>
        <sz val="12"/>
        <color rgb="FFFF0000"/>
        <rFont val="Calibri"/>
        <family val="2"/>
        <scheme val="minor"/>
      </rPr>
      <t>NexT1</t>
    </r>
    <r>
      <rPr>
        <sz val="12"/>
        <rFont val="Calibri"/>
        <family val="2"/>
        <scheme val="minor"/>
      </rPr>
      <t>*MS*EF3</t>
    </r>
  </si>
  <si>
    <r>
      <rPr>
        <sz val="12"/>
        <color rgb="FFFF0000"/>
        <rFont val="Calibri"/>
        <family val="2"/>
        <scheme val="minor"/>
      </rPr>
      <t>NexT1</t>
    </r>
    <r>
      <rPr>
        <sz val="12"/>
        <rFont val="Calibri"/>
        <family val="2"/>
        <scheme val="minor"/>
      </rPr>
      <t>*MS*FracGasMS</t>
    </r>
  </si>
  <si>
    <r>
      <rPr>
        <sz val="12"/>
        <color rgb="FFFF0000"/>
        <rFont val="Calibri"/>
        <family val="2"/>
        <scheme val="minor"/>
      </rPr>
      <t>NexT2</t>
    </r>
    <r>
      <rPr>
        <sz val="12"/>
        <rFont val="Calibri"/>
        <family val="2"/>
        <scheme val="minor"/>
      </rPr>
      <t>*MS*FracGasMS</t>
    </r>
  </si>
  <si>
    <r>
      <t>Nvolatilization</t>
    </r>
    <r>
      <rPr>
        <b/>
        <sz val="12"/>
        <color rgb="FFFF0000"/>
        <rFont val="Calibri"/>
        <family val="2"/>
        <scheme val="minor"/>
      </rPr>
      <t>(T1)</t>
    </r>
  </si>
  <si>
    <r>
      <t xml:space="preserve">Nvolatilization </t>
    </r>
    <r>
      <rPr>
        <b/>
        <sz val="12"/>
        <color rgb="FFFF0000"/>
        <rFont val="Calibri"/>
        <family val="2"/>
        <scheme val="minor"/>
      </rPr>
      <t>(T2)</t>
    </r>
  </si>
  <si>
    <r>
      <t xml:space="preserve">N2O indirect </t>
    </r>
    <r>
      <rPr>
        <b/>
        <sz val="12"/>
        <color rgb="FFFF0000"/>
        <rFont val="Calibri"/>
        <family val="2"/>
        <scheme val="minor"/>
      </rPr>
      <t>(T1)</t>
    </r>
  </si>
  <si>
    <t>Annual amount of manure N that is lost due to volatilisation of NH3 and Nox</t>
  </si>
  <si>
    <t xml:space="preserve">percent of managed manure N from a livestock category that volatilises as NH3 and Nox in the manure management system </t>
  </si>
  <si>
    <t xml:space="preserve">Annual amount of manure N from a livestock category that is lost due to volatilisation of NH3 and Nox in the manure management system </t>
  </si>
  <si>
    <t xml:space="preserve">Indirect N2O emissions due to volatilisation of  N from Manure Management </t>
  </si>
  <si>
    <r>
      <t>N2O indirect</t>
    </r>
    <r>
      <rPr>
        <b/>
        <sz val="12"/>
        <color rgb="FFFF0000"/>
        <rFont val="Calibri"/>
        <family val="2"/>
        <scheme val="minor"/>
      </rPr>
      <t>(T2)</t>
    </r>
  </si>
  <si>
    <t>equation 10.27</t>
  </si>
  <si>
    <t>equation 10.26</t>
  </si>
  <si>
    <t>Indirect N2O emissions (Equation 10.26 and 10.27) ( T1 &amp; T 2)</t>
  </si>
  <si>
    <t>(kg N retained .animal-1.yr-1)/(kg N intake . animal-1.yr-1)</t>
  </si>
  <si>
    <t>fraction of N intake that is retained by animal of species/category t</t>
  </si>
  <si>
    <t>Nex(t ) = Nintake(t ) * (1− Nretention(t) )</t>
  </si>
  <si>
    <t>animal type</t>
  </si>
  <si>
    <t xml:space="preserve">manure management system </t>
  </si>
  <si>
    <t>N loss from manure management system due to volatilisation of N-NH3 and N-Nox</t>
  </si>
  <si>
    <t>range of FracGasMS</t>
  </si>
  <si>
    <t>Table 10.22</t>
  </si>
  <si>
    <t>dairy cow</t>
  </si>
  <si>
    <t>Pit storage</t>
  </si>
  <si>
    <t>daily spread</t>
  </si>
  <si>
    <t>(10-40)</t>
  </si>
  <si>
    <t>(10-35)</t>
  </si>
  <si>
    <t>(5-60)</t>
  </si>
  <si>
    <t xml:space="preserve">Other cattle </t>
  </si>
  <si>
    <t xml:space="preserve">deep bedding </t>
  </si>
  <si>
    <t>(20-50)</t>
  </si>
  <si>
    <t>(10-65)</t>
  </si>
  <si>
    <t>(20-40)</t>
  </si>
  <si>
    <t xml:space="preserve">data available for swine and poultry too </t>
  </si>
  <si>
    <t>MMS</t>
  </si>
  <si>
    <t>Table 10.19</t>
  </si>
  <si>
    <t xml:space="preserve">Table 10.17 MCF values by temperature for manure management  systems </t>
  </si>
  <si>
    <t xml:space="preserve">system </t>
  </si>
  <si>
    <t>cool</t>
  </si>
  <si>
    <t>&lt;10</t>
  </si>
  <si>
    <t xml:space="preserve">Pasture / range / paddock </t>
  </si>
  <si>
    <t>MCF's by average annual temperature (C ) in (%)</t>
  </si>
  <si>
    <t xml:space="preserve">warm </t>
  </si>
  <si>
    <t>&gt;28</t>
  </si>
  <si>
    <t>solid storage</t>
  </si>
  <si>
    <t xml:space="preserve">Table 10.21 default emissions factors for direct N2O emissions from manure management systems </t>
  </si>
  <si>
    <t>system</t>
  </si>
  <si>
    <t>Emission factor for direct N2O from MMS</t>
  </si>
  <si>
    <t>(Kg N2O-N. kg Nitrogen excreeted-1)</t>
  </si>
  <si>
    <t>Solid storage</t>
  </si>
  <si>
    <t>AGB</t>
  </si>
  <si>
    <t>AGB=0.091 * (DBH)^2.472</t>
  </si>
  <si>
    <t xml:space="preserve">Ccontent </t>
  </si>
  <si>
    <t>tree species</t>
  </si>
  <si>
    <t xml:space="preserve">average diameter at breast height </t>
  </si>
  <si>
    <t>DBH</t>
  </si>
  <si>
    <t>(nb)</t>
  </si>
  <si>
    <t>(cm)</t>
  </si>
  <si>
    <t>(kg DW)</t>
  </si>
  <si>
    <t>Carbon content in biomass</t>
  </si>
  <si>
    <t>Average carbon content per tree of species (tr)</t>
  </si>
  <si>
    <t>tr</t>
  </si>
  <si>
    <t>( kg C. tr-1)</t>
  </si>
  <si>
    <t>Ctree</t>
  </si>
  <si>
    <t>Ctree=AGB* Ccontent</t>
  </si>
  <si>
    <t>nb tree</t>
  </si>
  <si>
    <t>*(44/12)</t>
  </si>
  <si>
    <t>( kg DW)</t>
  </si>
  <si>
    <t>AGBest</t>
  </si>
  <si>
    <t>AGB= AGBest  +(2.69/100 *AGBest)</t>
  </si>
  <si>
    <t xml:space="preserve"> MICCA project ( Kuyah et al 2012; Chave et Al. 2005</t>
  </si>
  <si>
    <t>Above ground biomass estimated ( Kuyah et al. 2012)</t>
  </si>
  <si>
    <t>Aboveground biomass corrected ( Chave et al. 2005)</t>
  </si>
  <si>
    <t>(kg C . kg DW-1)</t>
  </si>
  <si>
    <t>Tier 2</t>
  </si>
  <si>
    <r>
      <t>Emission factor for N</t>
    </r>
    <r>
      <rPr>
        <sz val="12"/>
        <color theme="1"/>
        <rFont val="Calibri"/>
        <family val="2"/>
        <scheme val="minor"/>
      </rPr>
      <t xml:space="preserve">2O emission from atmospheric deposition of N on soils and water surfaces </t>
    </r>
  </si>
  <si>
    <r>
      <t>Annual amount of N</t>
    </r>
    <r>
      <rPr>
        <sz val="12"/>
        <color theme="1"/>
        <rFont val="Calibri"/>
        <family val="2"/>
        <scheme val="minor"/>
      </rPr>
      <t xml:space="preserve">2O-N produced from atmospheric deposition of N volatilised from managed soils </t>
    </r>
  </si>
  <si>
    <t xml:space="preserve">Nex </t>
  </si>
  <si>
    <t>Nex (T2)</t>
  </si>
  <si>
    <t>Nex (T1)</t>
  </si>
  <si>
    <t xml:space="preserve">Livestock/ Species category </t>
  </si>
  <si>
    <t>annual N excretion for livestock category t (Tier 1)</t>
  </si>
  <si>
    <t>annual N excretion per animal for livestock category t (Tier 1)</t>
  </si>
  <si>
    <t>Annual N from manure handled in manure management system (s)</t>
  </si>
  <si>
    <t xml:space="preserve">Annual N from manure handled in manure management system (s) remaining after losses from volatilization </t>
  </si>
  <si>
    <t xml:space="preserve">Total Available Nitrogen from Manure management  for field application  </t>
  </si>
  <si>
    <t>( minus N losses via Volatilization and direct losses)</t>
  </si>
  <si>
    <t>Nex = Nex (T1)* nb of animals</t>
  </si>
  <si>
    <t>N MMs = Nex * Fraction MS</t>
  </si>
  <si>
    <t>N pasture</t>
  </si>
  <si>
    <t>N pasture= Nex * Fraction MS pasture</t>
  </si>
  <si>
    <t xml:space="preserve">N MMs solid </t>
  </si>
  <si>
    <t>N MMs Dry lot</t>
  </si>
  <si>
    <t>N1</t>
  </si>
  <si>
    <t>N 1 = N MMs Solid - N vol solid</t>
  </si>
  <si>
    <t xml:space="preserve">N1 = N MMs dry lot - N vol dry lot </t>
  </si>
  <si>
    <t>N2</t>
  </si>
  <si>
    <t>N2 = sum N1 - N direct loss</t>
  </si>
  <si>
    <t xml:space="preserve">All MMS </t>
  </si>
  <si>
    <t>annual N excretion per animal for livestock category t (Tier 2)</t>
  </si>
  <si>
    <t>annual N excretion for livestock category t (Tier 2)</t>
  </si>
  <si>
    <t>Nex = Nex (T2)* nb of animals</t>
  </si>
  <si>
    <t>calculated under 'ent fermentation' tab</t>
  </si>
  <si>
    <t>N flow calculations of total available N from manure for application to  fields</t>
  </si>
  <si>
    <t xml:space="preserve">Relative stock change factors for different management activities on cropland </t>
  </si>
  <si>
    <t>factor value type</t>
  </si>
  <si>
    <t xml:space="preserve">level </t>
  </si>
  <si>
    <t xml:space="preserve">moisture regime </t>
  </si>
  <si>
    <t xml:space="preserve">IPCC defaults </t>
  </si>
  <si>
    <t xml:space="preserve">temperature regime </t>
  </si>
  <si>
    <t>long term cultivated</t>
  </si>
  <si>
    <t xml:space="preserve">temperate/ Boreal </t>
  </si>
  <si>
    <t xml:space="preserve">tropical </t>
  </si>
  <si>
    <t xml:space="preserve">Tropical montane </t>
  </si>
  <si>
    <t xml:space="preserve">Dry </t>
  </si>
  <si>
    <t xml:space="preserve">Moist </t>
  </si>
  <si>
    <t>Moist/ Wet</t>
  </si>
  <si>
    <t>n/a</t>
  </si>
  <si>
    <t>Paddy rice</t>
  </si>
  <si>
    <t>All</t>
  </si>
  <si>
    <t>Dry/Moist/Wet</t>
  </si>
  <si>
    <t>Perenial/ Tree crop</t>
  </si>
  <si>
    <t>Set aside (&lt; 20 years)</t>
  </si>
  <si>
    <t>Moist/Wet</t>
  </si>
  <si>
    <t>Temperate/Boreal and Tropical</t>
  </si>
  <si>
    <t xml:space="preserve">Tropical Montane </t>
  </si>
  <si>
    <t>Tillage (F MG)</t>
  </si>
  <si>
    <t>Full</t>
  </si>
  <si>
    <t xml:space="preserve">Reduced </t>
  </si>
  <si>
    <t xml:space="preserve">Temperate/ Boreal </t>
  </si>
  <si>
    <t xml:space="preserve">Tropical </t>
  </si>
  <si>
    <t>TABLE 5.5</t>
  </si>
  <si>
    <t>No-till</t>
  </si>
  <si>
    <t>Land use           (F LU)</t>
  </si>
  <si>
    <t>Input (Ft)</t>
  </si>
  <si>
    <t>Low</t>
  </si>
  <si>
    <t>Medium</t>
  </si>
  <si>
    <t>High without Manure</t>
  </si>
  <si>
    <t>High with Manure</t>
  </si>
  <si>
    <t xml:space="preserve">CROPLAND REMAINING CROPLAND </t>
  </si>
  <si>
    <t>TABLE 6.2</t>
  </si>
  <si>
    <t xml:space="preserve">GRASSLAND REMAINING GRASS LAND </t>
  </si>
  <si>
    <t>Sub-Total</t>
  </si>
  <si>
    <t xml:space="preserve">Relative stock change factors for grassland management  </t>
  </si>
  <si>
    <t>Land Use (F LU)</t>
  </si>
  <si>
    <t>Factor</t>
  </si>
  <si>
    <t>Level</t>
  </si>
  <si>
    <t xml:space="preserve">Climate regime </t>
  </si>
  <si>
    <t>IPCC Default</t>
  </si>
  <si>
    <t>all</t>
  </si>
  <si>
    <t>all permanent grassland is addisgned a land use factor</t>
  </si>
  <si>
    <t xml:space="preserve">represents non degraded  and sustainable managed grassland but without significant management improvements. </t>
  </si>
  <si>
    <t>Moderately degraded grassland</t>
  </si>
  <si>
    <t xml:space="preserve">severly degraded </t>
  </si>
  <si>
    <t>Management    (F MG)</t>
  </si>
  <si>
    <t xml:space="preserve">Nominally managed </t>
  </si>
  <si>
    <t>represents overgrazed or moderatly degraded grassland, with somewhat reduced productivity  ( relative to the native or nominally managed grassland) and receiving no management inputs</t>
  </si>
  <si>
    <t xml:space="preserve">Implies major long term loss of productivity and vegetation cover, due to severe mechanical damage to the vegetation and/ or soil erosion . </t>
  </si>
  <si>
    <t xml:space="preserve">definition </t>
  </si>
  <si>
    <t xml:space="preserve">Improved grassland </t>
  </si>
  <si>
    <t>Tropical</t>
  </si>
  <si>
    <t>represents grassland which is sustainably managed with moderate grazing pressure and that receive at least one improvement ( eg. Fertilization , species imrpovemetn, irrigation…)</t>
  </si>
  <si>
    <t>Input (applied only to improve grassland)( F I)</t>
  </si>
  <si>
    <t>High</t>
  </si>
  <si>
    <t>Table 5.5 cropland;Table 6.2 Grassland</t>
  </si>
  <si>
    <t>TABLE 5.1</t>
  </si>
  <si>
    <t>Stock change factors ( F LU, F MG F I) for land-use conversions to cropland</t>
  </si>
  <si>
    <t>Climate regime</t>
  </si>
  <si>
    <t>IPCC default</t>
  </si>
  <si>
    <t xml:space="preserve">Definition </t>
  </si>
  <si>
    <t>Land use</t>
  </si>
  <si>
    <t>Native forest or grassland (non-degraded)</t>
  </si>
  <si>
    <t>shifting cultivation-shortened fallow</t>
  </si>
  <si>
    <t>shifting cultivation-mature fallow</t>
  </si>
  <si>
    <t xml:space="preserve"> represents native or ong-term , non degraded and sustainably manageg forest and grasslands.</t>
  </si>
  <si>
    <t>Permanent shifting cultivation, where tropical forest or woodland is cleared for planting of annual crops for a short time (eg 3-5 yrs) period and then abandoned for regrowth</t>
  </si>
  <si>
    <t>Factor value type</t>
  </si>
  <si>
    <r>
      <t>ha</t>
    </r>
    <r>
      <rPr>
        <vertAlign val="superscript"/>
        <sz val="12"/>
        <rFont val="Calibri"/>
        <family val="2"/>
        <scheme val="minor"/>
      </rPr>
      <t>-1</t>
    </r>
  </si>
  <si>
    <t xml:space="preserve">Manure-Methane </t>
  </si>
  <si>
    <r>
      <t>Manure-Direct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</si>
  <si>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r>
      <t>Manure-Indirect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</si>
  <si>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t xml:space="preserve">Enteric fermentation-Methane </t>
  </si>
  <si>
    <r>
      <t>Soil-Direct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</si>
  <si>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r>
      <t>Soil-Indirect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</si>
  <si>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t>Rice production-Methane</t>
  </si>
  <si>
    <t>Sources and Sinks</t>
  </si>
  <si>
    <t>select</t>
  </si>
  <si>
    <t>TIER 1</t>
  </si>
  <si>
    <t>Soil</t>
  </si>
  <si>
    <t>Subcategories /Fields</t>
  </si>
  <si>
    <t>( min. 2.5 cm)</t>
  </si>
  <si>
    <t>Cremoved</t>
  </si>
  <si>
    <t>C stock in woody biomass balance</t>
  </si>
  <si>
    <t>C stock bal = C biofarm - C removed</t>
  </si>
  <si>
    <t xml:space="preserve">C stock bal </t>
  </si>
  <si>
    <t>with T2 N excretion rate</t>
  </si>
  <si>
    <t>with T1 N excretion rate</t>
  </si>
  <si>
    <t>CALCULATION OF VOLATILE SOLID EXCRETION RATES AND  OF METHANE EMMISSIONS FROM MANURE MANGEMENT (Tier 2)</t>
  </si>
  <si>
    <t>Anthropogenic N input type from Urine and dung inputs to grazed soils</t>
  </si>
  <si>
    <t>Fprp cattle; N deposited by grazing animals on pasture, paddock and range</t>
  </si>
  <si>
    <t>Fprp sheep ; N deposited by grazing animals on pasture, paddock and range</t>
  </si>
  <si>
    <r>
      <t>Anthropogenic N input types to estimate annual direct N2O-N emissions produced</t>
    </r>
    <r>
      <rPr>
        <sz val="12"/>
        <color rgb="FFFF0000"/>
        <rFont val="Calibri"/>
        <family val="2"/>
        <scheme val="minor"/>
      </rPr>
      <t xml:space="preserve"> from flooded rice</t>
    </r>
  </si>
  <si>
    <t xml:space="preserve">Fsn; N in synthetic fertilizers </t>
  </si>
  <si>
    <t>INDIRECT N2O EMISSIONS</t>
  </si>
  <si>
    <t>DIRECT N20 EMISSIONS</t>
  </si>
  <si>
    <t xml:space="preserve">CALCULATIONS OF INPUT OF NITROGEN FROM CROP RESIDUES </t>
  </si>
  <si>
    <t>RICE</t>
  </si>
  <si>
    <t>SOC</t>
  </si>
  <si>
    <t>IPCC</t>
  </si>
  <si>
    <t>Rice field1</t>
  </si>
  <si>
    <t>Rice field2</t>
  </si>
  <si>
    <t>Rice field3</t>
  </si>
  <si>
    <t>Rice field4</t>
  </si>
  <si>
    <t>Rice field5</t>
  </si>
  <si>
    <t xml:space="preserve">Rice ecosystem type </t>
  </si>
  <si>
    <t>Rice fields</t>
  </si>
  <si>
    <t>Crop product</t>
  </si>
  <si>
    <t>DM content (%)</t>
  </si>
  <si>
    <t>Average Body weight (kg)</t>
  </si>
  <si>
    <t>Calves</t>
  </si>
  <si>
    <t>lambs (less 1 yr old)</t>
  </si>
  <si>
    <t>sheep</t>
  </si>
  <si>
    <t>Table 10.12+10.13</t>
  </si>
  <si>
    <t xml:space="preserve">Total Available Nitrogen from collected Manure used  for field application  </t>
  </si>
  <si>
    <t xml:space="preserve">The storage of manure , typically for a period of several months , in unconfined piles or stacks. Manure is able to be stacked du to the presence of a suffucient amout of bedding material or loss of moisture by evaporation. </t>
  </si>
  <si>
    <t xml:space="preserve">Dry lot </t>
  </si>
  <si>
    <t xml:space="preserve">The manure from pasture and range grazing animals is allowed to lie as deposited, and is not managed. </t>
  </si>
  <si>
    <t>-</t>
  </si>
  <si>
    <t>Area</t>
  </si>
  <si>
    <t>Energy requirement (MJ/year)</t>
  </si>
  <si>
    <t>IPCC Table 10.11</t>
  </si>
  <si>
    <t xml:space="preserve">total </t>
  </si>
  <si>
    <t>Sorghum</t>
  </si>
  <si>
    <t>Rice</t>
  </si>
  <si>
    <t>Groundnut</t>
  </si>
  <si>
    <t>Average Harvest index</t>
  </si>
  <si>
    <t>Field 2</t>
  </si>
  <si>
    <t>Field 3</t>
  </si>
  <si>
    <t xml:space="preserve">Fon; N in animal manure,comopst, sewage sludge, other </t>
  </si>
  <si>
    <t xml:space="preserve"> equation 2.27</t>
  </si>
  <si>
    <t>table 2.6</t>
  </si>
  <si>
    <t>table 2.5</t>
  </si>
  <si>
    <t>CO2, CO, CH4, N2O, Nox</t>
  </si>
  <si>
    <t>( kg animal-1)</t>
  </si>
  <si>
    <t>kg N. (1000 kg animal mass)-1 day-1</t>
  </si>
  <si>
    <t>Grassland 1</t>
  </si>
  <si>
    <t>C stock change in woody biomass</t>
  </si>
  <si>
    <t xml:space="preserve">Total annual removal amount </t>
  </si>
  <si>
    <t xml:space="preserve">Annual growth </t>
  </si>
  <si>
    <t>(kg C.yr-1)</t>
  </si>
  <si>
    <t xml:space="preserve">Fraction of livestock category t's manure handled using manure management systems </t>
  </si>
  <si>
    <t>CH4 emissions from manure management</t>
  </si>
  <si>
    <t>N2O TOTAL= N2O N Inputs +N2O Nprp</t>
  </si>
  <si>
    <t>Harvest area</t>
  </si>
  <si>
    <t>Rice ecosystem  type</t>
  </si>
  <si>
    <t xml:space="preserve">wtaer regime during cultivation </t>
  </si>
  <si>
    <t xml:space="preserve">select </t>
  </si>
  <si>
    <t>Field 4</t>
  </si>
  <si>
    <t>Field 5</t>
  </si>
  <si>
    <t xml:space="preserve">TOTAL </t>
  </si>
  <si>
    <t xml:space="preserve">Mass of fuel available for combustion </t>
  </si>
  <si>
    <t>Mb</t>
  </si>
  <si>
    <t>Combustion factor</t>
  </si>
  <si>
    <t>(dmnl)</t>
  </si>
  <si>
    <t>Cf</t>
  </si>
  <si>
    <t>Emission factor</t>
  </si>
  <si>
    <t>(g.kg-1 DM burnt)</t>
  </si>
  <si>
    <t>Gef</t>
  </si>
  <si>
    <t xml:space="preserve">Amount of GHG emissions from fire </t>
  </si>
  <si>
    <t>(tonnes of each GHG)</t>
  </si>
  <si>
    <t>Lfire</t>
  </si>
  <si>
    <t>equation 2.27</t>
  </si>
  <si>
    <t>for agricultural residues, mainly maize</t>
  </si>
  <si>
    <t>L=A*Mb*Cf*Gef* 10-3</t>
  </si>
  <si>
    <t>CO2</t>
  </si>
  <si>
    <t>CO</t>
  </si>
  <si>
    <t>CH4</t>
  </si>
  <si>
    <t>Nox</t>
  </si>
  <si>
    <t>inputs</t>
  </si>
  <si>
    <t>t CO2 eq</t>
  </si>
  <si>
    <t>Irrigated-Continuously flooded</t>
  </si>
  <si>
    <t>Rainfed-regular rainfed</t>
  </si>
  <si>
    <t>Rainfed-drought prone</t>
  </si>
  <si>
    <t>Rainfed-deep water</t>
  </si>
  <si>
    <t>flooded pre-season (&lt;30 days)</t>
  </si>
  <si>
    <t>flooded pre-season (&gt;30 days)</t>
  </si>
  <si>
    <t>Intermittently flooded-single aeration</t>
  </si>
  <si>
    <t>FOR LOOKUP FUNCTIONS</t>
  </si>
  <si>
    <t>Rice ecosystem Reference Table 5.12</t>
  </si>
  <si>
    <t xml:space="preserve">MMS: Manure management systems definitions </t>
  </si>
  <si>
    <t>Pasture/range/paddock</t>
  </si>
  <si>
    <t>Long term cultivated, temperate/boreal, dry</t>
  </si>
  <si>
    <t>Long term cultivated, temperate/boreal, moist</t>
  </si>
  <si>
    <t xml:space="preserve">Long term cultivated, tropical, dry </t>
  </si>
  <si>
    <t>Long term cultivated, tropical, moist/wet</t>
  </si>
  <si>
    <t>Long term cultivated, tropical montane, all</t>
  </si>
  <si>
    <t>Perenial/tree crop</t>
  </si>
  <si>
    <t>Set aside (&lt; 20 years), temperate/boreal and tropical, dry</t>
  </si>
  <si>
    <t>Set aside (&lt; 20 years), temperate/boreal and tropical, moist/wet</t>
  </si>
  <si>
    <t>Set aside (&lt; 20 years),tropical montane, all</t>
  </si>
  <si>
    <t>Reduced, temperate/boreal, dry</t>
  </si>
  <si>
    <t>Reduced, temperate/boreal, moist</t>
  </si>
  <si>
    <t>Reduced, tropical, dry</t>
  </si>
  <si>
    <t>Reduced, tropical, moist</t>
  </si>
  <si>
    <t xml:space="preserve">Reduced, tropical montane, all </t>
  </si>
  <si>
    <t>No-till, temperate/boreal, dry</t>
  </si>
  <si>
    <t>No-till, temperate/boreal, moist</t>
  </si>
  <si>
    <t>No-till, tropical, dry</t>
  </si>
  <si>
    <t>No-till, tropical, moist/wet</t>
  </si>
  <si>
    <t>No-till, tropical montane, all</t>
  </si>
  <si>
    <t>Low, temperate/boreal, dry</t>
  </si>
  <si>
    <t>Low, temperate/boreal, moist</t>
  </si>
  <si>
    <t>Low, tropical, dry</t>
  </si>
  <si>
    <t>Low, tropical, moist</t>
  </si>
  <si>
    <t>Low, tropical montane, all</t>
  </si>
  <si>
    <t>Medium, all</t>
  </si>
  <si>
    <t>High w/OUT manure, temperate/boral and tropical, dry</t>
  </si>
  <si>
    <t>High w/OUT manure, temperate/boral and tropical, moist/wet</t>
  </si>
  <si>
    <t>High w/OUT manure, tropical montane</t>
  </si>
  <si>
    <t>High with manure, temperate/boral and tropical, moist/wet</t>
  </si>
  <si>
    <t>High with manure, temperate/boral and tropical, dry</t>
  </si>
  <si>
    <t>High with manure, tropical montane</t>
  </si>
  <si>
    <t>Applies to improved grassland where one or more additional management inputs/imrpovements have been used (beyond that is required to be classified as improved grassland)</t>
  </si>
  <si>
    <t>Nominally managed</t>
  </si>
  <si>
    <t>Moderately degraded grassland, temperate/boreal</t>
  </si>
  <si>
    <t>Moderately degraded grassland, tropical montane</t>
  </si>
  <si>
    <t>Moderately degraded grassland, tropical</t>
  </si>
  <si>
    <t>Severely degraded</t>
  </si>
  <si>
    <t>Improved grassland, temperate/boreal</t>
  </si>
  <si>
    <t>Improved grassland, tropical</t>
  </si>
  <si>
    <t xml:space="preserve">Medium </t>
  </si>
  <si>
    <t>Improved grassland, tropical montane</t>
  </si>
  <si>
    <t>none</t>
  </si>
  <si>
    <t>Organic amendment inputs</t>
  </si>
  <si>
    <t>Rate of application</t>
  </si>
  <si>
    <t>Input</t>
  </si>
  <si>
    <t>Agroecology</t>
  </si>
  <si>
    <t>N content input</t>
  </si>
  <si>
    <t>Mineral fertilizer</t>
  </si>
  <si>
    <t>Manure</t>
  </si>
  <si>
    <t>Atomospheric deposition</t>
  </si>
  <si>
    <t>Crop yield</t>
  </si>
  <si>
    <t>Crop residue</t>
  </si>
  <si>
    <t>Gaseous losses</t>
  </si>
  <si>
    <t>Erosion</t>
  </si>
  <si>
    <t>Area_tot (ha)</t>
  </si>
  <si>
    <t>Rainfall (mm/year)</t>
  </si>
  <si>
    <t>SoilN (g/kg)</t>
  </si>
  <si>
    <t>SoilC (g/kg)</t>
  </si>
  <si>
    <t>Soilclay (%)</t>
  </si>
  <si>
    <t>FORMULA</t>
  </si>
  <si>
    <t>Land, soil &amp; climate</t>
  </si>
  <si>
    <t>fertilizer (kg/ha)*N fertilizer (kg/kg)*crop area (ha)</t>
  </si>
  <si>
    <t>area*manure (kg/ha)*(N manure*manure lost due to volitalization)</t>
  </si>
  <si>
    <t>0.14*SQRT(rainfall (mm/yr)*area (ha)</t>
  </si>
  <si>
    <r>
      <t>Non-symbiotic N fixation (2+(rainfall (mm)-1350)</t>
    </r>
    <r>
      <rPr>
        <sz val="11"/>
        <color theme="1"/>
        <rFont val="Calibri"/>
        <family val="2"/>
      </rPr>
      <t>*0.005) + Symbiotic N-fixation (% of uptake attributed to N fixation i.e 50% ×Total N uptake i.e N content in harvested crop(kg/kg)+ N content in crop residue(kg/kg)*area(ha)</t>
    </r>
  </si>
  <si>
    <t>yield (kg/ha)*N crop* crop area (ha)</t>
  </si>
  <si>
    <t>N content in harvested product*yield of crop (kg/ha)*crop area(ha)</t>
  </si>
  <si>
    <r>
      <rPr>
        <b/>
        <sz val="12"/>
        <color theme="1"/>
        <rFont val="Calibri"/>
        <family val="2"/>
        <scheme val="minor"/>
      </rPr>
      <t>area</t>
    </r>
    <r>
      <rPr>
        <sz val="12"/>
        <color theme="1"/>
        <rFont val="Calibri"/>
        <family val="2"/>
        <scheme val="minor"/>
      </rPr>
      <t xml:space="preserve"> (ha)*</t>
    </r>
    <r>
      <rPr>
        <b/>
        <sz val="12"/>
        <color theme="1"/>
        <rFont val="Calibri"/>
        <family val="2"/>
        <scheme val="minor"/>
      </rPr>
      <t>N content in residue</t>
    </r>
    <r>
      <rPr>
        <sz val="12"/>
        <color theme="1"/>
        <rFont val="Calibri"/>
        <family val="2"/>
        <scheme val="minor"/>
      </rPr>
      <t xml:space="preserve"> (kg/kg)*kg/ha </t>
    </r>
    <r>
      <rPr>
        <b/>
        <sz val="12"/>
        <color theme="1"/>
        <rFont val="Calibri"/>
        <family val="2"/>
        <scheme val="minor"/>
      </rPr>
      <t xml:space="preserve">residue removed </t>
    </r>
    <r>
      <rPr>
        <sz val="12"/>
        <color theme="1"/>
        <rFont val="Calibri"/>
        <family val="2"/>
        <scheme val="minor"/>
      </rPr>
      <t>(i.e crop residue removal from field*yield*residue index conversion)</t>
    </r>
  </si>
  <si>
    <r>
      <t>(SoilN +Fertilizer N (kg/kg)*fertilizer (kg/ha)*(2.1*10</t>
    </r>
    <r>
      <rPr>
        <sz val="11"/>
        <color theme="1"/>
        <rFont val="Calibri"/>
        <family val="2"/>
      </rPr>
      <t xml:space="preserve">ˉ²*rainfall+0.71) </t>
    </r>
  </si>
  <si>
    <r>
      <t>(SoilN (kg/kg) + (Fertilizer N *fertilizer (kg/ha))*(2.1*10</t>
    </r>
    <r>
      <rPr>
        <sz val="11"/>
        <color theme="1"/>
        <rFont val="Calibri"/>
        <family val="2"/>
      </rPr>
      <t>ˉ²*rainfall+3.9))*area</t>
    </r>
  </si>
  <si>
    <t>(SoilN +(Fertilizer N (kg/kg)*Fertilizer (kg/ha))*(2.1*10ˉ³*rainfall+5.4) )*crop area</t>
  </si>
  <si>
    <t>(SoilN +(Fertilizer N (kg/kg)*fertilizer (kg/ha))*(-9.4+0.13*clay+(0.01*rainfall)))*crop area</t>
  </si>
  <si>
    <t>C (crop cover) factor</t>
  </si>
  <si>
    <t>Erosivity of rainfall</t>
  </si>
  <si>
    <t>Erodibility of soil</t>
  </si>
  <si>
    <t>Length and steepness of slope</t>
  </si>
  <si>
    <t>Cover factor</t>
  </si>
  <si>
    <t xml:space="preserve">Management factor </t>
  </si>
  <si>
    <t>R</t>
  </si>
  <si>
    <t>K</t>
  </si>
  <si>
    <t>LS</t>
  </si>
  <si>
    <t>C</t>
  </si>
  <si>
    <t>P</t>
  </si>
  <si>
    <r>
      <rPr>
        <b/>
        <sz val="11"/>
        <color theme="1"/>
        <rFont val="Calibri"/>
        <family val="2"/>
        <scheme val="minor"/>
      </rPr>
      <t>From PPU</t>
    </r>
    <r>
      <rPr>
        <sz val="12"/>
        <color theme="1"/>
        <rFont val="Calibri"/>
        <family val="2"/>
        <scheme val="minor"/>
      </rPr>
      <t>: (Soil loss from RUSLE calculations (kg/ha/year)*Crop cover factor*Soil N*Enrichment factor (1.5))*crop area (ha)</t>
    </r>
  </si>
  <si>
    <t>N manure, N fertilizer &amp; volatalization</t>
  </si>
  <si>
    <t>N content</t>
  </si>
  <si>
    <t>None</t>
  </si>
  <si>
    <t xml:space="preserve">None </t>
  </si>
  <si>
    <t>TIER 2</t>
  </si>
  <si>
    <t>Crop name</t>
  </si>
  <si>
    <t>residue removal from field (fraction)</t>
  </si>
  <si>
    <t>OVERALL SOIL IMPACTS</t>
  </si>
  <si>
    <t>mm/yr</t>
  </si>
  <si>
    <t>FAO</t>
  </si>
  <si>
    <t>g/kg</t>
  </si>
  <si>
    <t>Annual precipitation</t>
  </si>
  <si>
    <t xml:space="preserve">SoilN </t>
  </si>
  <si>
    <t xml:space="preserve">Soil type </t>
  </si>
  <si>
    <t xml:space="preserve">SoilC </t>
  </si>
  <si>
    <t>Cowpea (Vigna unguiculata) - crop residue</t>
  </si>
  <si>
    <t>Cowpea (Vigna unguiculata) - grain</t>
  </si>
  <si>
    <t>Cowpea (Vigna unguiculata) - meal</t>
  </si>
  <si>
    <t>Groundnut (Arachis hypogaea) - crop residue</t>
  </si>
  <si>
    <t>Groundnut (Arachis hypogaea) - Kernel</t>
  </si>
  <si>
    <t>Groundnut (Arachis hypogaea) - seed hulls</t>
  </si>
  <si>
    <t>Rhodes grass (Chloris gayana) - hay</t>
  </si>
  <si>
    <t>Sugarcane (Saccharum officinarum) - crop residue</t>
  </si>
  <si>
    <t>Sugarcane (Saccharum officinarum) - molasses</t>
  </si>
  <si>
    <t>Feed</t>
  </si>
  <si>
    <t>N MMS1</t>
  </si>
  <si>
    <t>N MMS2</t>
  </si>
  <si>
    <t>Average</t>
  </si>
  <si>
    <t>CP(%)</t>
  </si>
  <si>
    <t>DE (fraction)</t>
  </si>
  <si>
    <r>
      <t>Equation 10.25-</t>
    </r>
    <r>
      <rPr>
        <b/>
        <sz val="12"/>
        <color rgb="FFFF0000"/>
        <rFont val="Calibri"/>
        <family val="2"/>
        <scheme val="minor"/>
      </rPr>
      <t xml:space="preserve"> T1</t>
    </r>
  </si>
  <si>
    <r>
      <t>Equation 10.25-</t>
    </r>
    <r>
      <rPr>
        <b/>
        <sz val="12"/>
        <color rgb="FFFF0000"/>
        <rFont val="Calibri"/>
        <family val="2"/>
        <scheme val="minor"/>
      </rPr>
      <t>T2</t>
    </r>
  </si>
  <si>
    <t>Season 2</t>
  </si>
  <si>
    <t>Ccontent total tree</t>
  </si>
  <si>
    <t>(kg DW.tr-1.yr-1)</t>
  </si>
  <si>
    <t>(kg C.yr-1))</t>
  </si>
  <si>
    <t>Cgrowth</t>
  </si>
  <si>
    <t>kg CO2 eq. yr-1</t>
  </si>
  <si>
    <t>(kg C. yr-1)</t>
  </si>
  <si>
    <t xml:space="preserve">Tier 3 </t>
  </si>
  <si>
    <t>N loss from manure due to volatilization</t>
  </si>
  <si>
    <t>Crop inputs</t>
  </si>
  <si>
    <t>LIVESTOCK</t>
  </si>
  <si>
    <t>Yield (kg/ha) &amp; residue</t>
  </si>
  <si>
    <t>N balance</t>
  </si>
  <si>
    <t>Slope</t>
  </si>
  <si>
    <t>0-5</t>
  </si>
  <si>
    <t>Slope (%)</t>
  </si>
  <si>
    <t>Cultivated (agricultural) lands</t>
  </si>
  <si>
    <t>Source</t>
  </si>
  <si>
    <t>20-30</t>
  </si>
  <si>
    <t>5-10</t>
  </si>
  <si>
    <t>10-20</t>
  </si>
  <si>
    <t>30-50</t>
  </si>
  <si>
    <t>50-100</t>
  </si>
  <si>
    <t>p factor</t>
  </si>
  <si>
    <t>SOIL EROSION INPUT DATA</t>
  </si>
  <si>
    <t>Management (P) Factor</t>
  </si>
  <si>
    <t>Soil colour</t>
  </si>
  <si>
    <t>Black</t>
  </si>
  <si>
    <t>Brown</t>
  </si>
  <si>
    <t>Red</t>
  </si>
  <si>
    <t>Yellow</t>
  </si>
  <si>
    <t>Name/class</t>
  </si>
  <si>
    <t>Andosol</t>
  </si>
  <si>
    <t>Cambisol</t>
  </si>
  <si>
    <t>Lixisol</t>
  </si>
  <si>
    <t>Fluvisol</t>
  </si>
  <si>
    <t>Estimated K Value</t>
  </si>
  <si>
    <t>Erodibility of soil (K Value)</t>
  </si>
  <si>
    <t>All other types (Non-Agricultural)</t>
  </si>
  <si>
    <t>Soil type</t>
  </si>
  <si>
    <t>Vertisol</t>
  </si>
  <si>
    <t>Phaeozem</t>
  </si>
  <si>
    <t>Nitosol</t>
  </si>
  <si>
    <t>Xerosol</t>
  </si>
  <si>
    <t>Land cover</t>
  </si>
  <si>
    <t>C Factor</t>
  </si>
  <si>
    <t>Dense forest</t>
  </si>
  <si>
    <t>Other forest</t>
  </si>
  <si>
    <t>Badlands hard</t>
  </si>
  <si>
    <t>Badlands soft</t>
  </si>
  <si>
    <t>Cereals</t>
  </si>
  <si>
    <t>Pulses</t>
  </si>
  <si>
    <t>Degraded grass</t>
  </si>
  <si>
    <t>Fallow hard</t>
  </si>
  <si>
    <t>Fallow plouged</t>
  </si>
  <si>
    <t>Ethiopian teff</t>
  </si>
  <si>
    <t>Continuous fallow</t>
  </si>
  <si>
    <t>Cover  (C) factor</t>
  </si>
  <si>
    <t>Landuse System</t>
  </si>
  <si>
    <t>LS Factor</t>
  </si>
  <si>
    <t>LS factor</t>
  </si>
  <si>
    <t>Intensive</t>
  </si>
  <si>
    <t>Semi-Intensive</t>
  </si>
  <si>
    <t>Extensive</t>
  </si>
  <si>
    <t xml:space="preserve">Soil clay </t>
  </si>
  <si>
    <t>Crop</t>
  </si>
  <si>
    <t>Dense grass</t>
  </si>
  <si>
    <t>Fertilizer in general (kg N/kg)</t>
  </si>
  <si>
    <t>Manure in general (kg N/kg)</t>
  </si>
  <si>
    <t>g/cm3</t>
  </si>
  <si>
    <t>reference to calculated SOC based on BK</t>
  </si>
  <si>
    <t>https://www.agric.wa.gov.au/soil-carbon/measuring-and-reporting-soil-organic-carbon?page=0%2C2</t>
  </si>
  <si>
    <t>m</t>
  </si>
  <si>
    <t>.</t>
  </si>
  <si>
    <t>Burning</t>
  </si>
  <si>
    <t xml:space="preserve">Fraction of residue burned </t>
  </si>
  <si>
    <t>amount of crop residue (t/ha-1)</t>
  </si>
  <si>
    <t>Amount of crop residue burned (t)</t>
  </si>
  <si>
    <t>(tonnes)</t>
  </si>
  <si>
    <t xml:space="preserve">Amdihun, A et al (2014). Modelling Soil Erosion Dynamics in The Blue Nile (Abbay) Basin. A Landscape Approach. Research Journal of environmental scienceS. </t>
  </si>
  <si>
    <t xml:space="preserve">Amdihun, A et al (2014). Modelling Soil Erosion Dynamics in The Blue Nile (Abbay) Basin. A Landscape Approach. Research Journal of environmental sciences. </t>
  </si>
  <si>
    <t>http://www.fao.org/docrep/012/k7930e/k7930e00.pdf</t>
  </si>
  <si>
    <t xml:space="preserve">equation for FPCM on page 18 </t>
  </si>
  <si>
    <t>kg FPCM-1</t>
  </si>
  <si>
    <t>http://www.sciencedirect.com/science/article/pii/S0889157504000146</t>
  </si>
  <si>
    <t xml:space="preserve">reference </t>
  </si>
  <si>
    <t>ME (MJ/kg fresh)</t>
  </si>
  <si>
    <t>ME (MJ/kg Fresh)</t>
  </si>
  <si>
    <t>Cleaned method of N</t>
  </si>
  <si>
    <t>Seasons</t>
  </si>
  <si>
    <t>Summary results</t>
  </si>
  <si>
    <t>Total GHG emissions</t>
  </si>
  <si>
    <t xml:space="preserve">GHG intensity </t>
  </si>
  <si>
    <t>On-farm</t>
  </si>
  <si>
    <t>Off-farm</t>
  </si>
  <si>
    <t>kg N. yr-1</t>
  </si>
  <si>
    <t>Leucaena</t>
  </si>
  <si>
    <t>ME content (MJ/kg DM)</t>
  </si>
  <si>
    <t>Source: From the FEAST DataBase</t>
  </si>
  <si>
    <t>Annual N deposited in pasture/range/paddock ON-FARM</t>
  </si>
  <si>
    <t>Annual N deposited in pasture/range/paddock OFF-FARM</t>
  </si>
  <si>
    <t>(using T1 N excreetion rates)</t>
  </si>
  <si>
    <t>(using T2 N excreetion rates)</t>
  </si>
  <si>
    <t>with T1 N rates</t>
  </si>
  <si>
    <t>with T2 N rates</t>
  </si>
  <si>
    <t>Soil clay content</t>
  </si>
  <si>
    <t xml:space="preserve">leaching </t>
  </si>
  <si>
    <t xml:space="preserve">Annual </t>
  </si>
  <si>
    <t xml:space="preserve">                                                                                                  </t>
  </si>
  <si>
    <t>Non-agricultural (all slope categories)</t>
  </si>
  <si>
    <t>Soil loss</t>
  </si>
  <si>
    <t>IN1 (kgN)</t>
  </si>
  <si>
    <t>IN2 (kgN)</t>
  </si>
  <si>
    <t>IN3 (kgN)</t>
  </si>
  <si>
    <t>OUT 1 (kgN)</t>
  </si>
  <si>
    <t>OUT2 (kgN)</t>
  </si>
  <si>
    <t>OUT3 (a) (kgN)</t>
  </si>
  <si>
    <t>OUT 3 (b) (kgN)</t>
  </si>
  <si>
    <t>OUT 3 (C) (kgN)</t>
  </si>
  <si>
    <t>OUT 3  (kgN)</t>
  </si>
  <si>
    <t>OUT4 (kgN)</t>
  </si>
  <si>
    <t>OUT5 (kgN)</t>
  </si>
  <si>
    <t>amount of soil (t /ha)</t>
  </si>
  <si>
    <t>Non-symbiotic N fixation</t>
  </si>
  <si>
    <t>Symbiotic N-fixation</t>
  </si>
  <si>
    <t>IN4(a) (kgN)</t>
  </si>
  <si>
    <t>IN4 (b) (kgN)</t>
  </si>
  <si>
    <t>SEASON 1 - WET SEASON</t>
  </si>
  <si>
    <t>Season 2- DRY SEASON</t>
  </si>
  <si>
    <t>length of dry feeding season (ratio)</t>
  </si>
  <si>
    <t xml:space="preserve">length of wet feeding season (ratio) </t>
  </si>
  <si>
    <t>OFF-FARM GRAZING</t>
  </si>
  <si>
    <t>Anthropogenic N input type from Urine and dung inputs to grazed soils-OFF FARM</t>
  </si>
  <si>
    <t>TIER 1 N excreetion rates</t>
  </si>
  <si>
    <t>TIER 2 N excreetion rates</t>
  </si>
  <si>
    <t>Annual direct N2ON emissions produced from off-farm grazing areas</t>
  </si>
  <si>
    <r>
      <t>OFF-Farm Soil-Direct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</si>
  <si>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r>
      <t>OFF-Farm Soil-Indirect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</si>
  <si>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t>Off-farm Soil</t>
  </si>
  <si>
    <t>Off-farm grassland</t>
  </si>
  <si>
    <t>direct N2O emissions per livestock and per MMS</t>
  </si>
  <si>
    <t>GHG emissions</t>
  </si>
  <si>
    <t>USDA nutrition data base entry #</t>
  </si>
  <si>
    <t>Energy  (kcal per FW 100g )</t>
  </si>
  <si>
    <t>Energy (kcal per 100 g DM)</t>
  </si>
  <si>
    <t xml:space="preserve"> t CO2 eq. / year</t>
  </si>
  <si>
    <t>Productivity / Energy</t>
  </si>
  <si>
    <t>Soil loss (t/ha/year)</t>
  </si>
  <si>
    <r>
      <t xml:space="preserve">Soil loss </t>
    </r>
    <r>
      <rPr>
        <b/>
        <sz val="10"/>
        <rFont val="Arial"/>
        <family val="2"/>
      </rPr>
      <t>(t/plot/ season)</t>
    </r>
  </si>
  <si>
    <t>assumed monthly rainfall the same (see inputs)</t>
  </si>
  <si>
    <t>Soil Erosion  ( t/farm/ time unit)</t>
  </si>
  <si>
    <t>N balance (kgN/year)</t>
  </si>
  <si>
    <t>Erosion  (t soil/year)</t>
  </si>
  <si>
    <t xml:space="preserve">SLOPE </t>
  </si>
  <si>
    <t>Flat (0-5%)</t>
  </si>
  <si>
    <t>Hilly (5-20%)</t>
  </si>
  <si>
    <t>Steep (20-30%)</t>
  </si>
  <si>
    <t>Extremely steep (30%+)</t>
  </si>
  <si>
    <t>GHG emission intensity</t>
  </si>
  <si>
    <t>Horizontal Slope Length (ft.)</t>
  </si>
  <si>
    <t>&lt;3</t>
  </si>
  <si>
    <t>Slope (m)</t>
  </si>
  <si>
    <t>Slope (ft)</t>
  </si>
  <si>
    <t>Horizontal slope length (m)</t>
  </si>
  <si>
    <t>Length of slope (m)</t>
  </si>
  <si>
    <t>Average soil erosion (t/ha/time)</t>
  </si>
  <si>
    <t>Ntot (kg/ha/ 20cm depth)</t>
  </si>
  <si>
    <t>N-mineralized (kg N/ha/yr)</t>
  </si>
  <si>
    <t>N leached (kg N/ha/yr) @clay &lt; 35%</t>
  </si>
  <si>
    <t>N leached (kg N/ha/yr) @clay &gt;35% and &lt;55%)</t>
  </si>
  <si>
    <t>Cowpea</t>
  </si>
  <si>
    <r>
      <t xml:space="preserve">Amdihun, A et al (2014). Modelling Soil Erosion Dynamics in The Blue Nile (Abbay) Basin. A Landscape Approach. </t>
    </r>
    <r>
      <rPr>
        <i/>
        <sz val="12"/>
        <rFont val="Calibri"/>
        <family val="2"/>
        <scheme val="minor"/>
      </rPr>
      <t>Research Journal of environmental sciences.</t>
    </r>
    <r>
      <rPr>
        <sz val="12"/>
        <rFont val="Calibri"/>
        <family val="2"/>
        <scheme val="minor"/>
      </rPr>
      <t xml:space="preserve"> </t>
    </r>
  </si>
  <si>
    <t>Fertilizer (kg N/ha)</t>
  </si>
  <si>
    <t>Yield (kg DM/ha)</t>
  </si>
  <si>
    <t>Crop residue (kg DM/ha)</t>
  </si>
  <si>
    <t>Res_remove (kg DM/ha)</t>
  </si>
  <si>
    <t>Ncrop (kg N/kg DM)</t>
  </si>
  <si>
    <t>Nres (kg N /kg DM)</t>
  </si>
  <si>
    <t>Nfertilizer (kgN/kg DM )</t>
  </si>
  <si>
    <t>N-fixing plant (Kg N/ha)</t>
  </si>
  <si>
    <t>Rainy season</t>
  </si>
  <si>
    <t>Energy req. season 1 (MJ)</t>
  </si>
  <si>
    <t>Energy req. season 2 (MJ)</t>
  </si>
  <si>
    <t>DMI required season1 (kg DM/yr)</t>
  </si>
  <si>
    <t>DMI required season 2 (kg DM/yr)</t>
  </si>
  <si>
    <t>Main product DM content fraction</t>
  </si>
  <si>
    <t>Main Product Dry Yield (t DM/ha)</t>
  </si>
  <si>
    <t>Crop residue  Fresh yield (t FW/ha)</t>
  </si>
  <si>
    <t>Crop residue  Dry Yield(t DM/ha)</t>
  </si>
  <si>
    <t xml:space="preserve"> Main product N conten (kg N/kg DM)</t>
  </si>
  <si>
    <t>N fixation by crop (kg N/ha/yr)</t>
  </si>
  <si>
    <t>Crop residue N content per area (kg N/ ha)</t>
  </si>
  <si>
    <t>Crop residue N content (kg N/kg DM)</t>
  </si>
  <si>
    <t>Crop residue DM content fraction</t>
  </si>
  <si>
    <t>Water content (g per 100 g)</t>
  </si>
  <si>
    <t>productivity</t>
  </si>
  <si>
    <t>Apart from the weight gains, we assume the following:</t>
  </si>
  <si>
    <r>
      <t>·</t>
    </r>
    <r>
      <rPr>
        <sz val="7"/>
        <color rgb="FF1F497D"/>
        <rFont val="Times New Roman"/>
        <family val="1"/>
      </rPr>
      <t xml:space="preserve">         </t>
    </r>
    <r>
      <rPr>
        <sz val="11"/>
        <color rgb="FF1F497D"/>
        <rFont val="Calibri"/>
        <family val="2"/>
        <scheme val="minor"/>
      </rPr>
      <t>Mortality is negligible</t>
    </r>
  </si>
  <si>
    <r>
      <t>·</t>
    </r>
    <r>
      <rPr>
        <sz val="7"/>
        <color rgb="FF1F497D"/>
        <rFont val="Times New Roman"/>
        <family val="1"/>
      </rPr>
      <t xml:space="preserve">         </t>
    </r>
    <r>
      <rPr>
        <sz val="11"/>
        <color rgb="FF1F497D"/>
        <rFont val="Calibri"/>
        <family val="2"/>
        <scheme val="minor"/>
      </rPr>
      <t>Per category, animals of different ages and calvings are equally divided throughout the year, so on average each year 50% of the calves become a heifers/steers and 50% of the heifers/steers become adults. Each calving results into average 0.5 calf during that year.</t>
    </r>
  </si>
  <si>
    <r>
      <t>·</t>
    </r>
    <r>
      <rPr>
        <sz val="7"/>
        <color rgb="FF1F497D"/>
        <rFont val="Times New Roman"/>
        <family val="1"/>
      </rPr>
      <t xml:space="preserve">         </t>
    </r>
    <r>
      <rPr>
        <sz val="11"/>
        <color rgb="FF1F497D"/>
        <rFont val="Calibri"/>
        <family val="2"/>
        <scheme val="minor"/>
      </rPr>
      <t>Only heifers or (especially) steers leave the farm (being sold)</t>
    </r>
  </si>
  <si>
    <t>ASSUMPTIONS:</t>
  </si>
  <si>
    <t xml:space="preserve">A simple model that produces total live weight gains in kg/year, based on average weight gains of calves and heifers/steers for three productivity levels. Just fill in the number of animals of each category, and the number of heifers/steers that leave the farm per year. </t>
  </si>
  <si>
    <t>Steers/heifers</t>
  </si>
  <si>
    <t>Production (kg/year)</t>
  </si>
  <si>
    <t>Milk (FPCM)</t>
  </si>
  <si>
    <t>Energy (kcal/year)</t>
  </si>
  <si>
    <t>Meat</t>
  </si>
  <si>
    <t>kg N per ha</t>
  </si>
  <si>
    <t>kgN</t>
  </si>
  <si>
    <t>Total Milk production (kg FPCM/yr)</t>
  </si>
  <si>
    <t>http://www.fao.org/agriculture/dairy-gateway/milk-and-milk-products/milk-composition/en/#.V-0RgCh96Uk</t>
  </si>
  <si>
    <t xml:space="preserve">GHG emissions from inorganic fertilizer production </t>
  </si>
  <si>
    <t>Fertilizer type</t>
  </si>
  <si>
    <t>Quantity used on farm</t>
  </si>
  <si>
    <t>Emission factor (kg CO2eq/kg fertilizer)</t>
  </si>
  <si>
    <t>GHG emissions (kg CO2eq/year)</t>
  </si>
  <si>
    <t>Urea</t>
  </si>
  <si>
    <t>CAN</t>
  </si>
  <si>
    <t>DAP</t>
  </si>
  <si>
    <t>NPK</t>
  </si>
  <si>
    <t xml:space="preserve">Lime </t>
  </si>
  <si>
    <t xml:space="preserve">Purchased Inorganic fertilizers </t>
  </si>
  <si>
    <t>Lime -application</t>
  </si>
  <si>
    <t xml:space="preserve">DAP </t>
  </si>
  <si>
    <t>%N</t>
  </si>
  <si>
    <t>emission factor (kg CO2eq/kg N)</t>
  </si>
  <si>
    <t>kg N per 1 kg of fertilzer</t>
  </si>
  <si>
    <t>emissions factor (kg CO2 eq/kg fertilizer)</t>
  </si>
  <si>
    <t xml:space="preserve">Off-farm emissions </t>
  </si>
  <si>
    <t>GHG emissions (kg CO2eq/ ha-1)</t>
  </si>
  <si>
    <t xml:space="preserve">Time spent in stable (fraction of day) </t>
  </si>
  <si>
    <r>
      <t xml:space="preserve">Time spent grazing  pasture/fields </t>
    </r>
    <r>
      <rPr>
        <b/>
        <sz val="11"/>
        <color theme="1"/>
        <rFont val="Calibri"/>
        <family val="2"/>
        <scheme val="minor"/>
      </rPr>
      <t>on-farm</t>
    </r>
    <r>
      <rPr>
        <sz val="11"/>
        <color theme="1"/>
        <rFont val="Calibri"/>
        <family val="2"/>
        <scheme val="minor"/>
      </rPr>
      <t xml:space="preserve"> (fraction of day) </t>
    </r>
  </si>
  <si>
    <r>
      <t xml:space="preserve">Time spent grazing </t>
    </r>
    <r>
      <rPr>
        <b/>
        <sz val="11"/>
        <color theme="1"/>
        <rFont val="Calibri"/>
        <family val="2"/>
        <scheme val="minor"/>
      </rPr>
      <t>off-farm</t>
    </r>
    <r>
      <rPr>
        <sz val="11"/>
        <color theme="1"/>
        <rFont val="Calibri"/>
        <family val="2"/>
        <scheme val="minor"/>
      </rPr>
      <t xml:space="preserve"> (fraction of day) </t>
    </r>
  </si>
  <si>
    <t>Collection of manure in stable (fraction)</t>
  </si>
  <si>
    <t>On-farm manure used as fertilizer (fraction of total on-farm manure collected)</t>
  </si>
  <si>
    <t>Livestock numbers, whereabouts, manure use</t>
  </si>
  <si>
    <t>Additional manure inputs and outputs</t>
  </si>
  <si>
    <t>Stable</t>
  </si>
  <si>
    <t>Yard</t>
  </si>
  <si>
    <t>Pasture/fields</t>
  </si>
  <si>
    <t>t/ha</t>
  </si>
  <si>
    <t>kg N/year</t>
  </si>
  <si>
    <t>Soil Erosion</t>
  </si>
  <si>
    <t>t soil/year</t>
  </si>
  <si>
    <t>kg N/ha/yr</t>
  </si>
  <si>
    <t>t soil/ha/yr</t>
  </si>
  <si>
    <t>Bulk density</t>
  </si>
  <si>
    <t>no of months/year</t>
  </si>
  <si>
    <t>Soil depth</t>
  </si>
  <si>
    <t xml:space="preserve">Water regime prior to rice cultivation </t>
  </si>
  <si>
    <t>Cultivation period</t>
  </si>
  <si>
    <t>Adult cattle - male</t>
  </si>
  <si>
    <t>LIVESTOCK FEEDING</t>
  </si>
  <si>
    <t>Year</t>
  </si>
  <si>
    <t>AME = 2500 kcal</t>
  </si>
  <si>
    <t xml:space="preserve">AME Days </t>
  </si>
  <si>
    <t>Total AME days</t>
  </si>
  <si>
    <t>Total energy (kcal/year)</t>
  </si>
  <si>
    <t xml:space="preserve">t CO2e /ha </t>
  </si>
  <si>
    <t>t CO2e</t>
  </si>
  <si>
    <t>t CO2e /ha</t>
  </si>
  <si>
    <t>kg CO2e / kg FPCM</t>
  </si>
  <si>
    <t>per ha</t>
  </si>
  <si>
    <t>per kg FPCM</t>
  </si>
  <si>
    <r>
      <t>kg CO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e </t>
    </r>
  </si>
  <si>
    <r>
      <t>kg CH</t>
    </r>
    <r>
      <rPr>
        <vertAlign val="subscript"/>
        <sz val="12"/>
        <rFont val="Calibri"/>
        <family val="2"/>
        <scheme val="minor"/>
      </rPr>
      <t>4 /</t>
    </r>
    <r>
      <rPr>
        <sz val="12"/>
        <color theme="1"/>
        <rFont val="Calibri"/>
        <family val="2"/>
        <scheme val="minor"/>
      </rPr>
      <t>ha</t>
    </r>
  </si>
  <si>
    <r>
      <t>kg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 /ha</t>
    </r>
  </si>
  <si>
    <t>kg CO2e/ ha</t>
  </si>
  <si>
    <t>Liv. Manure</t>
  </si>
  <si>
    <t>Liv.enteric fermentation</t>
  </si>
  <si>
    <t>Feed item DM req S1</t>
  </si>
  <si>
    <t>Feed item DM req S2</t>
  </si>
  <si>
    <t>Feed item</t>
  </si>
  <si>
    <t>Associated Crop</t>
  </si>
  <si>
    <t>kg N/ kg FPCM</t>
  </si>
  <si>
    <t>Total milk produced (kg FPCM/year)</t>
  </si>
  <si>
    <t>waste - distribution</t>
  </si>
  <si>
    <t>waste - processing</t>
  </si>
  <si>
    <t>kg soil/ kg FPCM</t>
  </si>
  <si>
    <t>Main</t>
  </si>
  <si>
    <t>Residue</t>
  </si>
  <si>
    <t>Total area used for feed production (ha)</t>
  </si>
  <si>
    <t>Per product</t>
  </si>
  <si>
    <t>Per livestock enterprise</t>
  </si>
  <si>
    <t>Per hectare</t>
  </si>
  <si>
    <t>PRODUCED</t>
  </si>
  <si>
    <t>Total energy from livestock products (kcal/year)</t>
  </si>
  <si>
    <t xml:space="preserve"> kg CO2 eq. /kg FPCM</t>
  </si>
  <si>
    <t>Origin of feed Purchased (off farm or outside landscape) = 0, Produced =1 in situ</t>
  </si>
  <si>
    <t>Associated crop</t>
  </si>
  <si>
    <t>Natural pasture</t>
  </si>
  <si>
    <t>Rhodes</t>
  </si>
  <si>
    <t>Sugarcane</t>
  </si>
  <si>
    <t>FEED PRODUCTION</t>
  </si>
  <si>
    <t>CALCULATIONS OF FEED BASKET QUALITY</t>
  </si>
  <si>
    <t>CONSUMED</t>
  </si>
  <si>
    <t>Purchased</t>
  </si>
  <si>
    <t>AME days/ha total</t>
  </si>
  <si>
    <t>Productivity</t>
  </si>
  <si>
    <t>Total milk consumed (kg FPCM/year)</t>
  </si>
  <si>
    <t>Land requirement</t>
  </si>
  <si>
    <t>Total land required (ha/year)</t>
  </si>
  <si>
    <t>Total milk produced (kg FPCM/ha/yr)</t>
  </si>
  <si>
    <t xml:space="preserve"> t CO2 eq. / ha/yr</t>
  </si>
  <si>
    <t>Protein content milk (%)</t>
  </si>
  <si>
    <t>Fat content milk (%)</t>
  </si>
  <si>
    <t>Energy content milk</t>
  </si>
  <si>
    <t>Energy content meat</t>
  </si>
  <si>
    <t>Energy content eggs</t>
  </si>
  <si>
    <t>Average N content manure</t>
  </si>
  <si>
    <t>Soil loss (t/plot/ season)</t>
  </si>
  <si>
    <t>Dry Matter requirements (kg)</t>
  </si>
  <si>
    <t>Land requirement for feed production per associated crop (ha)</t>
  </si>
  <si>
    <t>Total DM feed required (kg)</t>
  </si>
  <si>
    <t>* Assumption 1: all crops are grown with average yield (as in crop parameter sheet)
   Assumption 2: If multiple feeds originate from same crop (e.g. maize bran and maize stover) this crop is grown twice; grain produced from these crops are all listed as "co-products"</t>
  </si>
  <si>
    <t>Annual averages</t>
  </si>
  <si>
    <t>collection of manure in fields/pasture (fraction)</t>
  </si>
  <si>
    <t>Fodder maize</t>
  </si>
  <si>
    <t>Crop residue removal from field (fraction)</t>
  </si>
  <si>
    <t>Crop residue burnt (fraction)</t>
  </si>
  <si>
    <t>Wet Season</t>
  </si>
  <si>
    <t>Dry Season</t>
  </si>
  <si>
    <t>Annual</t>
  </si>
  <si>
    <t>Feed items specific N balance</t>
  </si>
  <si>
    <t>Inputs 
(kg N/year)</t>
  </si>
  <si>
    <t>Outputs 
(kg N/year)</t>
  </si>
  <si>
    <t>Value</t>
  </si>
  <si>
    <t>Brachiaria hybrid</t>
  </si>
  <si>
    <t>Fractions</t>
  </si>
  <si>
    <t>N/A</t>
  </si>
  <si>
    <t>Protein requirement (kg/year)</t>
  </si>
  <si>
    <t>Protein req. season 1 (kg)</t>
  </si>
  <si>
    <t>Protein req. season 2 (kg)</t>
  </si>
  <si>
    <t>CBA/ Payback Periods</t>
  </si>
  <si>
    <t>DMI (Energy) (S1)</t>
  </si>
  <si>
    <t>DMI (Energy) (S2)</t>
  </si>
  <si>
    <t>Fresh Intake required (kg FW/yr) season 1 - energy</t>
  </si>
  <si>
    <t>Fresh Intake required (Kg FW/yr) season 2 - energy</t>
  </si>
  <si>
    <t>MANURE PRODUCTION</t>
  </si>
  <si>
    <t>DM content</t>
  </si>
  <si>
    <t>DMI required season1 (kg DM/yr) - energy</t>
  </si>
  <si>
    <t>DMI required season 2 (kg DM/yr) - energy</t>
  </si>
  <si>
    <t>DMI required season1 (kg DM/yr) - cp</t>
  </si>
  <si>
    <t>DMI required season 2 (kg DM/yr) - cp</t>
  </si>
  <si>
    <t>CP content (% fresh)</t>
  </si>
  <si>
    <t>CP content (% DM)</t>
  </si>
  <si>
    <t>Fresh intake required season1 (kg DM/yr) - cp</t>
  </si>
  <si>
    <t>Fresh intake required season 2 (kg DM/yr) - cp</t>
  </si>
  <si>
    <t>DMI (Protein) S1</t>
  </si>
  <si>
    <t>DMI (Protein S2)</t>
  </si>
  <si>
    <t>Daily Manure produced (kgDM/day)</t>
  </si>
  <si>
    <t>Milk</t>
  </si>
  <si>
    <t>DMI S1</t>
  </si>
  <si>
    <t>DMI S2</t>
  </si>
  <si>
    <t>Limiting S1</t>
  </si>
  <si>
    <t>limiting S2</t>
  </si>
  <si>
    <t>fraction - "as fed"</t>
  </si>
  <si>
    <t>fraction - dry matter</t>
  </si>
  <si>
    <t>KgN/ha</t>
  </si>
  <si>
    <t>ME intake</t>
  </si>
  <si>
    <t>DE intake</t>
  </si>
  <si>
    <t>Average 2 seasons</t>
  </si>
  <si>
    <t xml:space="preserve">LIVESTOCK FEED INTAKE REQUIREMENTS CALCULATIONS </t>
  </si>
  <si>
    <t>N balance feed only</t>
  </si>
  <si>
    <t>N Balance food crop included (Kg N/year)</t>
  </si>
  <si>
    <t>N Balance food crop included (Kg N/ha/year)</t>
  </si>
  <si>
    <t>Gross Margin Parameters</t>
  </si>
  <si>
    <t>herd size</t>
  </si>
  <si>
    <t xml:space="preserve">other </t>
  </si>
  <si>
    <t>Item</t>
  </si>
  <si>
    <t>Description</t>
  </si>
  <si>
    <t>Gross Margin Calculations</t>
  </si>
  <si>
    <t>Herd composition (nr)</t>
  </si>
  <si>
    <t>waste - consume</t>
  </si>
  <si>
    <t>Cattle Manure</t>
  </si>
  <si>
    <t>Sheep Manure</t>
  </si>
  <si>
    <t>Goat Manure</t>
  </si>
  <si>
    <t>Beef</t>
  </si>
  <si>
    <t>Goat Meat</t>
  </si>
  <si>
    <t xml:space="preserve">Lamb/Mutton </t>
  </si>
  <si>
    <t>Labour</t>
  </si>
  <si>
    <t>Discount Rate</t>
  </si>
  <si>
    <t xml:space="preserve">Number of years </t>
  </si>
  <si>
    <t>Extra labour 
(days /animal/year)</t>
  </si>
  <si>
    <t xml:space="preserve">Extra labour - one-off 
(days/animal) </t>
  </si>
  <si>
    <t>EXTRA COST (only to fill for "scenarios", i.e. change from current situation/baseline)</t>
  </si>
  <si>
    <t>Operational Cost
(USD/ha/year)</t>
  </si>
  <si>
    <t>Other additional costs</t>
  </si>
  <si>
    <t>Cow Milk</t>
  </si>
  <si>
    <t>Goat/sheep Milk</t>
  </si>
  <si>
    <t>Retail Price per KG (USD)</t>
  </si>
  <si>
    <t>Additional cost for new feed items</t>
  </si>
  <si>
    <t>IF intercropping, fraction of field occupied by this crop</t>
  </si>
  <si>
    <t>Value of Production</t>
  </si>
  <si>
    <t>Product</t>
  </si>
  <si>
    <t>Total Value of Production (USD)</t>
  </si>
  <si>
    <t>Estimated Production Value</t>
  </si>
  <si>
    <t>Total Value of Production</t>
  </si>
  <si>
    <t>Other</t>
  </si>
  <si>
    <t>Gross Amount</t>
  </si>
  <si>
    <t>PayBack Period</t>
  </si>
  <si>
    <t>YEAR</t>
  </si>
  <si>
    <t>Cash Flow</t>
  </si>
  <si>
    <t>Present Value CF (USD)</t>
  </si>
  <si>
    <t>Balance (USD)</t>
  </si>
  <si>
    <t>Partial Years</t>
  </si>
  <si>
    <t>Payback Period</t>
  </si>
  <si>
    <t>Gross Margins</t>
  </si>
  <si>
    <t>Payback Period : Number of years necessary to pay back the initial investment</t>
  </si>
  <si>
    <t>FARM INFO</t>
  </si>
  <si>
    <t>Data</t>
  </si>
  <si>
    <t xml:space="preserve">Farm </t>
  </si>
  <si>
    <t>Farm Code</t>
  </si>
  <si>
    <t>Farm Name</t>
  </si>
  <si>
    <t xml:space="preserve">ha </t>
  </si>
  <si>
    <t>Brachiaria hybrid (forage)</t>
  </si>
  <si>
    <t>NPV</t>
  </si>
  <si>
    <t>Hectares</t>
  </si>
  <si>
    <t>Extra one-off / establishment cost 
(USD/ha)</t>
  </si>
  <si>
    <t xml:space="preserve">Extra labour - one-off 
(days/item) </t>
  </si>
  <si>
    <t>Extra labour 
(days /item/year)</t>
  </si>
  <si>
    <t>Opportunity cost</t>
  </si>
  <si>
    <t xml:space="preserve">Opportunity Cost </t>
  </si>
  <si>
    <t>Land ($/ha)</t>
  </si>
  <si>
    <t>year 1</t>
  </si>
  <si>
    <t>year 2</t>
  </si>
  <si>
    <t>year 3</t>
  </si>
  <si>
    <t>year 4</t>
  </si>
  <si>
    <t>year 5</t>
  </si>
  <si>
    <t xml:space="preserve">   </t>
  </si>
  <si>
    <t>Lablab (Lablab purpureus) - hay</t>
  </si>
  <si>
    <t>Lablab (Lablab purpureus) - silage</t>
  </si>
  <si>
    <t>Mucuna</t>
  </si>
  <si>
    <t>Mucuna (Mucuna pruriens) - hay</t>
  </si>
  <si>
    <t>Panicum maximum</t>
  </si>
  <si>
    <t>Paspalum notatum</t>
  </si>
  <si>
    <t>Pigeon Pea (Cajanus cajan) - crop residue</t>
  </si>
  <si>
    <t>Pigeon pea</t>
  </si>
  <si>
    <t>Pineapple (Ananas comosus) - crop residue</t>
  </si>
  <si>
    <t>Pineapple</t>
  </si>
  <si>
    <t>Sorghum (Sorghum bicolor) - crop residue</t>
  </si>
  <si>
    <t>Sorghum (Sorghum bicolor) - silage</t>
  </si>
  <si>
    <t>Stylo</t>
  </si>
  <si>
    <t xml:space="preserve">Sugarcane (Saccharum officinarum) - tops (hay) </t>
  </si>
  <si>
    <t xml:space="preserve">Extra labour - one-off 
(days/ha) </t>
  </si>
  <si>
    <t>Extra labour 
(days /ha/year)</t>
  </si>
  <si>
    <t>extra stable</t>
  </si>
  <si>
    <t>BENEFITS</t>
  </si>
  <si>
    <t>EXTRA COSTS</t>
  </si>
  <si>
    <t>Total extra cost (USD)</t>
  </si>
  <si>
    <t>Opportunity</t>
  </si>
  <si>
    <t>year 6</t>
  </si>
  <si>
    <t>year 7</t>
  </si>
  <si>
    <t>year 8</t>
  </si>
  <si>
    <t>year 9</t>
  </si>
  <si>
    <t>year 10</t>
  </si>
  <si>
    <t>ROI 10 years</t>
  </si>
  <si>
    <t>Kc: Inital</t>
  </si>
  <si>
    <t>Kc: MidSeason</t>
  </si>
  <si>
    <t>Kc: Late</t>
  </si>
  <si>
    <t>Crop coefficient (Kc) avg</t>
  </si>
  <si>
    <t>CALCULATIONS OF AVERAGE Kc OF THE FEED BASKET</t>
  </si>
  <si>
    <t>Average Kc</t>
  </si>
  <si>
    <t>Fraction of land requirement</t>
  </si>
  <si>
    <t>Kc</t>
  </si>
  <si>
    <t xml:space="preserve">WATER CALCULATIONS </t>
  </si>
  <si>
    <t>ET (mm/year)</t>
  </si>
  <si>
    <t>Total water use (m3)</t>
  </si>
  <si>
    <r>
      <t>ET</t>
    </r>
    <r>
      <rPr>
        <vertAlign val="subscript"/>
        <sz val="12"/>
        <color theme="1"/>
        <rFont val="Calibri"/>
        <family val="2"/>
        <scheme val="minor"/>
      </rPr>
      <t>0</t>
    </r>
  </si>
  <si>
    <t>mm/year</t>
  </si>
  <si>
    <t>year2</t>
  </si>
  <si>
    <t>Return On Investment</t>
  </si>
  <si>
    <t>Total Value of Production (USD) per/ha</t>
  </si>
  <si>
    <t>main product removal (fraction)</t>
  </si>
  <si>
    <t>intercropping (1 = yes/0 = no)</t>
  </si>
  <si>
    <t>Water use (m3/kg FPCM)</t>
  </si>
  <si>
    <t>Animal manure 
(N kg) grazing</t>
  </si>
  <si>
    <t>Animal manure 
(N kg) collected</t>
  </si>
  <si>
    <t>Time spent in stable (fraction of day) MS Solid</t>
  </si>
  <si>
    <t xml:space="preserve">Time spent in non-roofed enclosure  (fraction of day) MS dry lot </t>
  </si>
  <si>
    <t>Time spent grazing on-farm (fraction of day) MS pasture</t>
  </si>
  <si>
    <t xml:space="preserve">Time spent grazing off-farm (fraction of day) </t>
  </si>
  <si>
    <t>Fraction of manure collected in the stable</t>
  </si>
  <si>
    <t>fraction of manure collected from pasture/ fields</t>
  </si>
  <si>
    <t>fraction of collected manure used as fertilizer</t>
  </si>
  <si>
    <t>N from available manure (kg N/yr) grazing</t>
  </si>
  <si>
    <t>Manure available (kg DM/yr) collected</t>
  </si>
  <si>
    <t>N from available manure (kg N/yr) collected</t>
  </si>
  <si>
    <t>N from available manure &amp; Imported Organic N (manure, compost, other) (kg N/yr)</t>
  </si>
  <si>
    <t>main product removal</t>
  </si>
  <si>
    <t>Res removed (kg)</t>
  </si>
  <si>
    <t>only removed residues</t>
  </si>
  <si>
    <t>manure corrected</t>
  </si>
  <si>
    <t>ON FARM-Total N on pasture excreted from sheep and others</t>
  </si>
  <si>
    <t>Total Area DM S1</t>
  </si>
  <si>
    <t>Total Area DM S2</t>
  </si>
  <si>
    <t>CH4 emissions from enteric fermentation</t>
  </si>
  <si>
    <t>GE intake</t>
  </si>
  <si>
    <t>Estimated Production (Manure Collected)</t>
  </si>
  <si>
    <t>Total Production (kg/year)</t>
  </si>
  <si>
    <t>Total Costs</t>
  </si>
  <si>
    <t>Economics</t>
  </si>
  <si>
    <t>Farm Gate Price per KG (USD)</t>
  </si>
  <si>
    <t>Water use (m3/kg protein)</t>
  </si>
  <si>
    <t>Total protein (kg/yr)</t>
  </si>
  <si>
    <t>Protein</t>
  </si>
  <si>
    <t>(MJ day-1)</t>
  </si>
  <si>
    <t>( kg N. yr-1)</t>
  </si>
  <si>
    <t>(kg N .yr-1)</t>
  </si>
  <si>
    <t>fraction N retention</t>
  </si>
  <si>
    <t>emission factor for CH4 from manure management</t>
  </si>
  <si>
    <t>Drylot</t>
  </si>
  <si>
    <t>emission factor for N2O from manure management systems</t>
  </si>
  <si>
    <t>Fraction of residues left as mulch</t>
  </si>
  <si>
    <t xml:space="preserve"> gross energy intake of the animals based on digestible energy</t>
  </si>
  <si>
    <t>(kg N. day-1)</t>
  </si>
  <si>
    <t xml:space="preserve">daily N intake per  species/category t </t>
  </si>
  <si>
    <t>DMI tot</t>
  </si>
  <si>
    <t>feed item1</t>
  </si>
  <si>
    <t>feed item2</t>
  </si>
  <si>
    <t>feed item3</t>
  </si>
  <si>
    <t>feed item4</t>
  </si>
  <si>
    <t>feed item5</t>
  </si>
  <si>
    <t>feed item6</t>
  </si>
  <si>
    <t>feed item7</t>
  </si>
  <si>
    <t>tot</t>
  </si>
  <si>
    <t>crop residue removal</t>
  </si>
  <si>
    <t>N leached (kg N/ha/yr) @clay &gt;55%)</t>
  </si>
  <si>
    <t>Carcass fraction</t>
  </si>
  <si>
    <t>Protein content meat (%)</t>
  </si>
  <si>
    <t>kg</t>
  </si>
  <si>
    <t>area</t>
  </si>
  <si>
    <t>milk</t>
  </si>
  <si>
    <t>TLU</t>
  </si>
  <si>
    <t>NUE</t>
  </si>
  <si>
    <t>main product removed (kg)</t>
  </si>
  <si>
    <t>% area mining</t>
  </si>
  <si>
    <t>% area leaching</t>
  </si>
  <si>
    <t>% soil mining</t>
  </si>
  <si>
    <t>% soil leaching</t>
  </si>
  <si>
    <t>Live weight gain (kg/year)</t>
  </si>
  <si>
    <t>Milk production (kg/year)</t>
  </si>
  <si>
    <t>fraction of precipitation used for feed production</t>
  </si>
  <si>
    <t>water use</t>
  </si>
  <si>
    <t>feed</t>
  </si>
  <si>
    <t>food</t>
  </si>
  <si>
    <t>main product removed (kg DM/ha)</t>
  </si>
  <si>
    <t>biomass fraction food</t>
  </si>
  <si>
    <t>biom feed</t>
  </si>
  <si>
    <t>biom food</t>
  </si>
  <si>
    <t>N Balance feed only (Kg N/year)</t>
  </si>
  <si>
    <t>N Balance feed only (Kg N/ha/year)</t>
  </si>
  <si>
    <t>N Balance food only (Kg N/year)</t>
  </si>
  <si>
    <t>N Balance food only (Kg N/ha/year)</t>
  </si>
  <si>
    <t>N balance total</t>
  </si>
  <si>
    <t>N in</t>
  </si>
  <si>
    <t>N out</t>
  </si>
  <si>
    <t>Water use per crop (m3)</t>
  </si>
  <si>
    <t>N-balance per crop (kg)</t>
  </si>
  <si>
    <t>Land requirement per crop  (ha)</t>
  </si>
  <si>
    <r>
      <t xml:space="preserve">Land Use </t>
    </r>
    <r>
      <rPr>
        <sz val="11"/>
        <color theme="1"/>
        <rFont val="Calibri"/>
        <family val="2"/>
        <scheme val="minor"/>
      </rPr>
      <t xml:space="preserve">- cropland </t>
    </r>
  </si>
  <si>
    <t>land use system</t>
  </si>
  <si>
    <t>tillage regime</t>
  </si>
  <si>
    <t>input of organic matter</t>
  </si>
  <si>
    <t xml:space="preserve">Land use-grassland </t>
  </si>
  <si>
    <t>Management</t>
  </si>
  <si>
    <t>Input level ( applied only to improve condition)</t>
  </si>
  <si>
    <t>Land use- conversion</t>
  </si>
  <si>
    <t>Grassland to arable land</t>
  </si>
  <si>
    <t xml:space="preserve">Land use -conversion </t>
  </si>
  <si>
    <t>Arable land to grassland</t>
  </si>
  <si>
    <t>Perennial/tree crop</t>
  </si>
  <si>
    <t>all permanent grassland is assigned a land use factor</t>
  </si>
  <si>
    <t>grass</t>
  </si>
  <si>
    <t>Crop 1</t>
  </si>
  <si>
    <t>tree crops</t>
  </si>
  <si>
    <t>grasses</t>
  </si>
  <si>
    <t>tree crop</t>
  </si>
  <si>
    <t>number of trees per ha</t>
  </si>
  <si>
    <t>TOTAL CARBON STOCK per ha</t>
  </si>
  <si>
    <t>Total Carbon stock</t>
  </si>
  <si>
    <t>(kg C.yr-1.ha-1)</t>
  </si>
  <si>
    <t>category</t>
  </si>
  <si>
    <t>trees/ha</t>
  </si>
  <si>
    <t>trees DBH</t>
  </si>
  <si>
    <t>trees annual growth (kg)</t>
  </si>
  <si>
    <t>trees annual removal (kg)</t>
  </si>
  <si>
    <t>Annual growth per tree</t>
  </si>
  <si>
    <t>Annual removal</t>
  </si>
  <si>
    <t>Annual change in carbon stocks in biomass</t>
  </si>
  <si>
    <t>negative values indicate a loss of carbon; positive values indicate a gain of carbon.</t>
  </si>
  <si>
    <t>SOC from field measurements ( gC/ha)</t>
  </si>
  <si>
    <t>SOC from field measurements ( tC/ha)</t>
  </si>
  <si>
    <r>
      <t>kg CH</t>
    </r>
    <r>
      <rPr>
        <vertAlign val="subscript"/>
        <sz val="12"/>
        <rFont val="Calibri"/>
        <family val="2"/>
        <scheme val="minor"/>
      </rPr>
      <t>4 /</t>
    </r>
    <r>
      <rPr>
        <sz val="12"/>
        <rFont val="Calibri"/>
        <family val="2"/>
        <scheme val="minor"/>
      </rPr>
      <t>ha</t>
    </r>
  </si>
  <si>
    <r>
      <t>Manure-Direct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</si>
  <si>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kg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 /ha</t>
    </r>
  </si>
  <si>
    <r>
      <t>Manure-Indirect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</si>
  <si>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Soil-Direct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</si>
  <si>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Soil-Indirect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</si>
  <si>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OFF-Farm Soil-Direct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</si>
  <si>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OFF-Farm Soil-Indirect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</si>
  <si>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t>Carbon stock changes</t>
  </si>
  <si>
    <t>LAND REQUIREMENT CALCULATIONS PER FEED ITEM</t>
  </si>
  <si>
    <t>cr yield (kg DM)</t>
  </si>
  <si>
    <t>crop yield (kg DM)</t>
  </si>
  <si>
    <t>crop removal</t>
  </si>
  <si>
    <t>area non-feed (ha) S1</t>
  </si>
  <si>
    <t>area non-feed (ha) S2</t>
  </si>
  <si>
    <t>area tot (ha) S1</t>
  </si>
  <si>
    <t>area tot (ha) S2</t>
  </si>
  <si>
    <t>area feed (ha) S1</t>
  </si>
  <si>
    <t>area feed (ha) S2</t>
  </si>
  <si>
    <t>non-feed</t>
  </si>
  <si>
    <t>protein (kg/year)</t>
  </si>
  <si>
    <t>kcal/year total</t>
  </si>
  <si>
    <t xml:space="preserve"> t CO2 eq. / ha/ year</t>
  </si>
  <si>
    <t>Total milk consumed (kg FPCM/ha/year)</t>
  </si>
  <si>
    <t>protein (kg/ha/year)</t>
  </si>
  <si>
    <t>kcal/year from milk</t>
  </si>
  <si>
    <t>kcal/year from meat</t>
  </si>
  <si>
    <t>AME days/year from milk</t>
  </si>
  <si>
    <t>AME days/year from meat</t>
  </si>
  <si>
    <t>AME days/year total</t>
  </si>
  <si>
    <t>Waste of milk and meat at various levels in value chain (%)</t>
  </si>
  <si>
    <t>meat</t>
  </si>
  <si>
    <t>Meat (kg/yr)</t>
  </si>
  <si>
    <t>Meat produced (kg/year)</t>
  </si>
  <si>
    <t>Meat consumed (kg/year)</t>
  </si>
  <si>
    <t>Meat produced (kg/ha/year)</t>
  </si>
  <si>
    <t>Meat consumed (kg/ha/year)</t>
  </si>
  <si>
    <t>kcal/ha/yr from milk</t>
  </si>
  <si>
    <t>kcal/ha/yr from meat</t>
  </si>
  <si>
    <t>kcal/ha/yr total</t>
  </si>
  <si>
    <t>AME days/ha from milk</t>
  </si>
  <si>
    <t>AME days/ha from meat</t>
  </si>
  <si>
    <t>Water use (m3/kg meat)</t>
  </si>
  <si>
    <t>Energy requirement grazing (ME, MJ/km)</t>
  </si>
  <si>
    <t>Energy requirement pregnancy (ME, MJ/day)</t>
  </si>
  <si>
    <t>Energy requirement growth (ME, MJ/kg LWG)</t>
  </si>
  <si>
    <t>Crude Protein requirement grazing (kg/km)</t>
  </si>
  <si>
    <t>Nbaltot (kg N)</t>
  </si>
  <si>
    <t>Nbal (kg N/ha)</t>
  </si>
  <si>
    <t>GHGtot (t CO2eq/yr))</t>
  </si>
  <si>
    <t>GHGmilk (kg CO2eq/kg milk)</t>
  </si>
  <si>
    <t>GHGmeat  (kg CO2eq/kg meat)</t>
  </si>
  <si>
    <t>GHGprotein (kg CO2eq/kg protein)</t>
  </si>
  <si>
    <t xml:space="preserve"> kg CO2 eq. /kg protein</t>
  </si>
  <si>
    <t xml:space="preserve"> kg CO2 eq. /kg meat</t>
  </si>
  <si>
    <t>land requirement (ha)</t>
  </si>
  <si>
    <t>milk (kg)</t>
  </si>
  <si>
    <t>meat (kg)</t>
  </si>
  <si>
    <t>protein (kg)</t>
  </si>
  <si>
    <t>watermilk (m3/kg milk)</t>
  </si>
  <si>
    <t>watermeat (m3/kg meat)</t>
  </si>
  <si>
    <t>animalha (TLU/ha)</t>
  </si>
  <si>
    <t>GHGha (t CO2eq/ha)</t>
  </si>
  <si>
    <t>waterha (m3/ha)</t>
  </si>
  <si>
    <t>Water impacts</t>
  </si>
  <si>
    <t>m3/year</t>
  </si>
  <si>
    <t>m3/ha/year</t>
  </si>
  <si>
    <t>Water impact</t>
  </si>
  <si>
    <t>m3/kg meat</t>
  </si>
  <si>
    <t>m3/kg FPCM</t>
  </si>
  <si>
    <t>m3/kg protein</t>
  </si>
  <si>
    <t>Allocations feed/non-feed</t>
  </si>
  <si>
    <t>erosion (t/yr)</t>
  </si>
  <si>
    <t>LIVESTOCK ENERGY AND PROTEIN REQUIREMENTS</t>
  </si>
  <si>
    <t>Energy Requirement Maintenance (MJ/day)</t>
  </si>
  <si>
    <t>waste - prod</t>
  </si>
  <si>
    <t xml:space="preserve">Additional cost for maintaining baseline herd </t>
  </si>
  <si>
    <t xml:space="preserve">All cost associated with new animals </t>
  </si>
  <si>
    <t>One-off cost
(USD/animal)</t>
  </si>
  <si>
    <t>Operational cost 
USD/animal/year</t>
  </si>
  <si>
    <t>One off Cost</t>
  </si>
  <si>
    <t>Operational costs</t>
  </si>
  <si>
    <t>Total extra costs (USD)</t>
  </si>
  <si>
    <t>One-off / establishment cost 
(USD/ha)</t>
  </si>
  <si>
    <t>waterprotein (m3/kg protein)</t>
  </si>
  <si>
    <t>Average annual milk (kg)</t>
  </si>
  <si>
    <t>Average annual growth per animal (kg)</t>
  </si>
  <si>
    <t>Farming system 1</t>
  </si>
  <si>
    <t>Scenarios</t>
  </si>
  <si>
    <t>Lucerne (Medicago sativa) - hay</t>
  </si>
  <si>
    <t>Lucerne (Medicago sativa) - meal</t>
  </si>
  <si>
    <t>Lucerne (Medicago sativa) - silage</t>
  </si>
  <si>
    <t>Lupins (Lupinus angustifolius) - crop residue</t>
  </si>
  <si>
    <t>Lupins (Lupinus angustifolius) - grain</t>
  </si>
  <si>
    <t>Lupins (Lupinus angustifolius) - pods</t>
  </si>
  <si>
    <t>Maize (Zea mays) - cobs ground</t>
  </si>
  <si>
    <t>Maize (Zea mays) - cracked grains</t>
  </si>
  <si>
    <t>Maize (Zea mays) - silage</t>
  </si>
  <si>
    <t>Maize (Zea mays) - stover</t>
  </si>
  <si>
    <t>Maize (Zea mays) - whole grain</t>
  </si>
  <si>
    <t>Mucuna (Mucuna pruriens) - green fodder</t>
  </si>
  <si>
    <t>Mucuna (Mucuna pruriens) - seed</t>
  </si>
  <si>
    <t>Mulberry (Morus alba)</t>
  </si>
  <si>
    <t>Naturally occuring pasture - grazing</t>
  </si>
  <si>
    <t xml:space="preserve">Naturally occuring pasture - green fodder </t>
  </si>
  <si>
    <t>Oats (Avena sativa) - straw</t>
  </si>
  <si>
    <t>Orchard grass (Dactylis glomerata) - green fodder</t>
  </si>
  <si>
    <t>Orchard grass (Dactylis glomerata) - hay</t>
  </si>
  <si>
    <t>Orchard tree (Bauhinia variegata) - green leaves</t>
  </si>
  <si>
    <t>Panicum maximum (green fodder)</t>
  </si>
  <si>
    <t>Pearl Millet (Pennisetum glaucum) - crop residue</t>
  </si>
  <si>
    <t>Pearl Millet (Pennisetum glaucum) - grain</t>
  </si>
  <si>
    <t>Pearl Millet (Pennisetum glaucum) - green fodder</t>
  </si>
  <si>
    <t>Pigeon Pea (Cajanus cajan) - meal</t>
  </si>
  <si>
    <t>Pigeon Pea (Cajanus cajan) - seed</t>
  </si>
  <si>
    <t>Pineapple (Ananas comosus) - leaf silage</t>
  </si>
  <si>
    <t>Potato (Solanum tuberosum) - peelings</t>
  </si>
  <si>
    <t>Potato (Solanum tuberosum) - tuber</t>
  </si>
  <si>
    <t>Pumpkin (Cucurbita maxima) - fruit</t>
  </si>
  <si>
    <t>Red clover (Trifolium pratense) - green fodder</t>
  </si>
  <si>
    <t>Red clover (Trifolium pratense) - hay</t>
  </si>
  <si>
    <t>Sesbania (Sesbania sesban) - green fodder</t>
  </si>
  <si>
    <t>Smooth Broome (Bromus inermis) - green fodder</t>
  </si>
  <si>
    <t>Smooth Broome (Bromus inermis) - hay</t>
  </si>
  <si>
    <t>Sorghum (Sorghum bicolor) - grain</t>
  </si>
  <si>
    <t>Soybean (Glycine max) - crop residue</t>
  </si>
  <si>
    <t>Soybean (Glycine max) - meal</t>
  </si>
  <si>
    <t>Soybean (Glycine max) - seed coats</t>
  </si>
  <si>
    <t>Soybean (Glycine max) - whole seed</t>
  </si>
  <si>
    <t>Sugarcane (Saccharum officinarum) - BOUGHT</t>
  </si>
  <si>
    <t>Sunflower (Helianthus annuus) - seed cake</t>
  </si>
  <si>
    <t>Sweet potato (Ipomoea batatas) -  leaves</t>
  </si>
  <si>
    <t>Sweet potato (Ipomoea batatas) -  tubers (fresh)</t>
  </si>
  <si>
    <t>Sweet potato (Ipomoea batatas) -  tubers meal (dried)</t>
  </si>
  <si>
    <t>Sweet potato (Ipomoea batatas) -  vines</t>
  </si>
  <si>
    <t>Tomato (Lycopersicon esculentum) - waste fruits</t>
  </si>
  <si>
    <t>White sweet clover (Melilotus alba) - green fodder</t>
  </si>
  <si>
    <t>Lucerne</t>
  </si>
  <si>
    <t>Lupins</t>
  </si>
  <si>
    <t>Oats</t>
  </si>
  <si>
    <t>Orchard grass</t>
  </si>
  <si>
    <t>Pearl Millet</t>
  </si>
  <si>
    <t>Potato</t>
  </si>
  <si>
    <t>Pumpkin</t>
  </si>
  <si>
    <t>Red clover</t>
  </si>
  <si>
    <t>Sesbania</t>
  </si>
  <si>
    <t>Smooth Broome</t>
  </si>
  <si>
    <t>Soybean</t>
  </si>
  <si>
    <t>Sweet potato</t>
  </si>
  <si>
    <t>Tomato</t>
  </si>
  <si>
    <t>White sweet clover</t>
  </si>
  <si>
    <t>Mulberry</t>
  </si>
  <si>
    <r>
      <t xml:space="preserve">Fraction of manure collected in the </t>
    </r>
    <r>
      <rPr>
        <i/>
        <sz val="11"/>
        <color rgb="FFFF0000"/>
        <rFont val="Calibri"/>
        <family val="2"/>
        <scheme val="minor"/>
      </rPr>
      <t>non-roofed enclosure</t>
    </r>
  </si>
  <si>
    <r>
      <t xml:space="preserve">Annual </t>
    </r>
    <r>
      <rPr>
        <sz val="12"/>
        <rFont val="Calibri"/>
        <family val="2"/>
        <scheme val="minor"/>
      </rPr>
      <t>Manure produced (kgDM/yr)</t>
    </r>
  </si>
  <si>
    <r>
      <t xml:space="preserve">Manure available (kg DM/yr) </t>
    </r>
    <r>
      <rPr>
        <sz val="12"/>
        <color rgb="FFFF0000"/>
        <rFont val="Calibri"/>
        <family val="2"/>
        <scheme val="minor"/>
      </rPr>
      <t>from on-farm</t>
    </r>
    <r>
      <rPr>
        <sz val="12"/>
        <rFont val="Calibri"/>
        <family val="2"/>
        <scheme val="minor"/>
      </rPr>
      <t xml:space="preserve">
grazing </t>
    </r>
    <r>
      <rPr>
        <sz val="12"/>
        <color rgb="FFFF0000"/>
        <rFont val="Calibri"/>
        <family val="2"/>
        <scheme val="minor"/>
      </rPr>
      <t>and not collected</t>
    </r>
  </si>
  <si>
    <t>Total N available from on-farm manure</t>
  </si>
  <si>
    <t>Organic N imported</t>
  </si>
  <si>
    <r>
      <rPr>
        <sz val="10"/>
        <color rgb="FFFF0000"/>
        <rFont val="Arial"/>
        <family val="2"/>
      </rPr>
      <t>Organic N</t>
    </r>
    <r>
      <rPr>
        <sz val="10"/>
        <color theme="1"/>
        <rFont val="Arial"/>
        <family val="2"/>
      </rPr>
      <t xml:space="preserve"> </t>
    </r>
    <r>
      <rPr>
        <b/>
        <sz val="10"/>
        <color theme="1"/>
        <rFont val="Arial"/>
        <family val="2"/>
      </rPr>
      <t>(kg N)
total</t>
    </r>
  </si>
  <si>
    <r>
      <rPr>
        <sz val="10"/>
        <color rgb="FFFF0000"/>
        <rFont val="Arial"/>
        <family val="2"/>
      </rPr>
      <t>Organic N</t>
    </r>
    <r>
      <rPr>
        <sz val="10"/>
        <color theme="1"/>
        <rFont val="Arial"/>
        <family val="2"/>
      </rPr>
      <t xml:space="preserve"> </t>
    </r>
    <r>
      <rPr>
        <b/>
        <sz val="10"/>
        <color theme="1"/>
        <rFont val="Arial"/>
        <family val="2"/>
      </rPr>
      <t>(kg N/ha)
total</t>
    </r>
  </si>
  <si>
    <t>Annual production and purchase of compost</t>
  </si>
  <si>
    <t xml:space="preserve">Time spent in non-roofed enclosure  (fraction of day) </t>
  </si>
  <si>
    <t>Collection of manure in non-roofed enclosure (fraction)</t>
  </si>
  <si>
    <t>Quantity (N/year)</t>
  </si>
  <si>
    <t>Numbers</t>
  </si>
  <si>
    <t>LWG/animal</t>
  </si>
  <si>
    <t>Total LWG</t>
  </si>
  <si>
    <r>
      <t>·</t>
    </r>
    <r>
      <rPr>
        <i/>
        <sz val="7"/>
        <color rgb="FF1F497D"/>
        <rFont val="Times New Roman"/>
        <family val="1"/>
      </rPr>
      <t xml:space="preserve">         </t>
    </r>
    <r>
      <rPr>
        <i/>
        <sz val="11"/>
        <color rgb="FF1F497D"/>
        <rFont val="Calibri"/>
        <family val="2"/>
        <scheme val="minor"/>
      </rPr>
      <t>Adult animals do not grow anymore</t>
    </r>
  </si>
  <si>
    <t>Milk production/animal</t>
  </si>
  <si>
    <t>Protein (kg/yr)</t>
  </si>
  <si>
    <t>Total milk (kg FPCM/year)</t>
  </si>
  <si>
    <t>TOTAL Energy from Meat (kcal/year)</t>
  </si>
  <si>
    <t>TOTAL Energy from Milk (kcal/year)</t>
  </si>
  <si>
    <t>RESULTS</t>
  </si>
  <si>
    <t xml:space="preserve">Meat   </t>
  </si>
  <si>
    <t>Feed per milk unit (kg / kg FPCM)</t>
  </si>
  <si>
    <t>Area per milk unit (ha / MT FPCM)</t>
  </si>
  <si>
    <t>Meat product</t>
  </si>
  <si>
    <t>beef</t>
  </si>
  <si>
    <t>lamb</t>
  </si>
  <si>
    <t>Total land required (ha/MT FPCM)</t>
  </si>
  <si>
    <t>/</t>
  </si>
  <si>
    <t>% of precipitation used for feed production</t>
  </si>
  <si>
    <t>number of AME/ha that could be fed on calories produced for a year</t>
  </si>
  <si>
    <t>Total Carbon balance</t>
  </si>
  <si>
    <t>Value of Production (USD/year)</t>
  </si>
  <si>
    <t>Value of Production (USD/ha/yr)</t>
  </si>
  <si>
    <t xml:space="preserve">Baseline </t>
  </si>
  <si>
    <t>chevon</t>
  </si>
  <si>
    <t>Cattle and buffaloes feed  primarily low quality feed</t>
  </si>
  <si>
    <t>Distance stable / enclosure to pasture (km)</t>
  </si>
  <si>
    <t>Grazing displacement (km/day)</t>
  </si>
  <si>
    <t>Energy requirement pregnancy (ME, MJ)</t>
  </si>
  <si>
    <r>
      <t xml:space="preserve">Crop areas and residue </t>
    </r>
    <r>
      <rPr>
        <sz val="14"/>
        <rFont val="Calibri"/>
        <family val="2"/>
        <scheme val="minor"/>
      </rPr>
      <t>management</t>
    </r>
  </si>
  <si>
    <t>Manure management system of collected manure</t>
  </si>
  <si>
    <t>Select</t>
  </si>
  <si>
    <t>ON FARM-Total N on pasture excreted from Cattle</t>
  </si>
  <si>
    <t>Andropogon gayanus</t>
  </si>
  <si>
    <t xml:space="preserve">Brachiaria brizantha </t>
  </si>
  <si>
    <t>Canavalia brasiliensis</t>
  </si>
  <si>
    <t>Cassava</t>
  </si>
  <si>
    <t>Cratylia</t>
  </si>
  <si>
    <t>Gliricidia</t>
  </si>
  <si>
    <t>Guava</t>
  </si>
  <si>
    <t>Hyparrhenia rufa</t>
  </si>
  <si>
    <t>Natural trees</t>
  </si>
  <si>
    <t>Red pepper</t>
  </si>
  <si>
    <t>Andropogon gayanus (forage)</t>
  </si>
  <si>
    <t>Bermuda grass (Cynodon dactylon) - forage</t>
  </si>
  <si>
    <t>Bermuda grass (Cynodon dactylon) - hay</t>
  </si>
  <si>
    <t>Brachiaria brizantha (forage)</t>
  </si>
  <si>
    <t>Canavalia brasiliensis (forage)</t>
  </si>
  <si>
    <t>Cassava (Manihot esculenta) - crop residue</t>
  </si>
  <si>
    <t>Cassava (Manihot esculenta) - fresh peelings</t>
  </si>
  <si>
    <t>Cassava (Manihot esculenta) - tubers</t>
  </si>
  <si>
    <t>Concentrate (commercial)</t>
  </si>
  <si>
    <t>Cowpea (Vigna unguiculata) - forage</t>
  </si>
  <si>
    <t>Cratylia argentea (forage)</t>
  </si>
  <si>
    <t>Gliricidia sepium (forage)</t>
  </si>
  <si>
    <t>Hyparrhenia rufa  (forage)</t>
  </si>
  <si>
    <t>Lablab (Lablab purpureus) - forage</t>
  </si>
  <si>
    <t>Lablab</t>
  </si>
  <si>
    <t>Leucaena (Leucaena leucocephala) - forage</t>
  </si>
  <si>
    <t>Mucuna (Mucuna pruriens) - forage</t>
  </si>
  <si>
    <t>Panicum maximum (forage)</t>
  </si>
  <si>
    <t>Paspalum notatum (forage)</t>
  </si>
  <si>
    <t>Poultry litter</t>
  </si>
  <si>
    <t>Rhodes grass (Chloris gayana) - forage</t>
  </si>
  <si>
    <t>Rice (Oryza sativa) - bran (with germs)</t>
  </si>
  <si>
    <t>Rice (Oryza sativa) - hulls</t>
  </si>
  <si>
    <t>Rice (Oryza sativa) - straw</t>
  </si>
  <si>
    <t>Sorghum (Sorghum bicolor) - forage</t>
  </si>
  <si>
    <t>Stylo (Stylosanthes guianensis) - forage</t>
  </si>
  <si>
    <t>Sugarcane (Saccharum officinarum) - tops (forage)</t>
  </si>
  <si>
    <t>Energy Requirement Grazing (MJ/day)</t>
  </si>
  <si>
    <t>Fraction of collected manure used for fertilization</t>
  </si>
  <si>
    <t>LATIN AMERICA</t>
  </si>
  <si>
    <t>pasture</t>
  </si>
  <si>
    <t>AI and vet care</t>
  </si>
  <si>
    <t>extra vet</t>
  </si>
  <si>
    <t>Additional cost for maintaining Feed items that are also in baseline</t>
  </si>
  <si>
    <t>Operational cost (USD/ha/year)</t>
  </si>
  <si>
    <t>One-off</t>
  </si>
  <si>
    <t>Operational</t>
  </si>
  <si>
    <r>
      <rPr>
        <b/>
        <sz val="12"/>
        <color rgb="FFC00000"/>
        <rFont val="Calibri"/>
        <family val="2"/>
        <scheme val="minor"/>
      </rPr>
      <t xml:space="preserve">Extra </t>
    </r>
    <r>
      <rPr>
        <sz val="12"/>
        <color theme="9" tint="-0.249977111117893"/>
        <rFont val="Calibri"/>
        <family val="2"/>
        <scheme val="minor"/>
      </rPr>
      <t>Value Production</t>
    </r>
  </si>
  <si>
    <r>
      <rPr>
        <b/>
        <sz val="12"/>
        <color rgb="FFFF0000"/>
        <rFont val="Calibri"/>
        <family val="2"/>
        <scheme val="minor"/>
      </rPr>
      <t>Extra</t>
    </r>
    <r>
      <rPr>
        <b/>
        <sz val="12"/>
        <color theme="1"/>
        <rFont val="Calibri"/>
        <family val="2"/>
        <scheme val="minor"/>
      </rPr>
      <t xml:space="preserve"> Cash Flow</t>
    </r>
  </si>
  <si>
    <t xml:space="preserve">Initial Investment </t>
  </si>
  <si>
    <r>
      <t>if</t>
    </r>
    <r>
      <rPr>
        <b/>
        <i/>
        <sz val="12"/>
        <color theme="1"/>
        <rFont val="Calibri"/>
        <family val="2"/>
        <scheme val="minor"/>
      </rPr>
      <t xml:space="preserve"> #N/A or  #REF </t>
    </r>
    <r>
      <rPr>
        <i/>
        <sz val="12"/>
        <color theme="1"/>
        <rFont val="Calibri"/>
        <family val="2"/>
        <scheme val="minor"/>
      </rPr>
      <t>payback period is greater than 10 years</t>
    </r>
  </si>
  <si>
    <t>Initial ivestment</t>
  </si>
  <si>
    <t xml:space="preserve">can also use Table 10.20 </t>
  </si>
  <si>
    <t>equation 10.33</t>
  </si>
  <si>
    <t>Total Extra Value of Production (USD) per/ha</t>
  </si>
  <si>
    <t>Maintenance of Animals</t>
  </si>
  <si>
    <t>Maintenance of Forages</t>
  </si>
  <si>
    <t>Pigs</t>
  </si>
  <si>
    <t>Swine</t>
  </si>
  <si>
    <t>sources: NRC (1998), Mc Donald et al. (1985)</t>
  </si>
  <si>
    <t>pigs ME</t>
  </si>
  <si>
    <t>gestation: 1.1*0.12*2.3*0.11*#piglets (kg/gestation) (NRC, 1998)</t>
  </si>
  <si>
    <t>growth: 1.1*0.12*0.39/LWG (kg)  (NRC, 1998)</t>
  </si>
  <si>
    <t>lactation: (1.1*0.022*growth/day*#piglets-0.0064)*lactation length* proportion growth covered by milk (kg/lactation) (NRC, 1998)</t>
  </si>
  <si>
    <t>Pork</t>
  </si>
  <si>
    <t>pigs</t>
  </si>
  <si>
    <t>Table 10A.4 +</t>
  </si>
  <si>
    <t>Pigs - growers</t>
  </si>
  <si>
    <t>Pigs - dry sows/boars</t>
  </si>
  <si>
    <t>Pigs - lactating/pregnant sows</t>
  </si>
  <si>
    <t>Energy requirement maintenance (ME, MJ/day)</t>
  </si>
  <si>
    <t>maintenance: 2*0.00028*BW^0.75 (kg/day), losses 50% (Van Milgen and Dourmad, 2015)</t>
  </si>
  <si>
    <r>
      <t>Crude Protein/</t>
    </r>
    <r>
      <rPr>
        <sz val="10"/>
        <color rgb="FFFF0000"/>
        <rFont val="Arial"/>
        <family val="2"/>
      </rPr>
      <t>Lysine</t>
    </r>
    <r>
      <rPr>
        <sz val="10"/>
        <rFont val="Arial"/>
        <family val="2"/>
      </rPr>
      <t xml:space="preserve"> requirement maintenance (kg/day)</t>
    </r>
  </si>
  <si>
    <r>
      <t xml:space="preserve">Crude Protein/ </t>
    </r>
    <r>
      <rPr>
        <sz val="10"/>
        <color rgb="FFFF0000"/>
        <rFont val="Arial"/>
        <family val="2"/>
      </rPr>
      <t>Lysine</t>
    </r>
    <r>
      <rPr>
        <sz val="10"/>
        <rFont val="Arial"/>
        <family val="2"/>
      </rPr>
      <t xml:space="preserve"> requirement pregnancy (kg)</t>
    </r>
  </si>
  <si>
    <r>
      <t xml:space="preserve">Crude Protein/ </t>
    </r>
    <r>
      <rPr>
        <sz val="10"/>
        <color rgb="FFFF0000"/>
        <rFont val="Arial"/>
        <family val="2"/>
      </rPr>
      <t>Lysine</t>
    </r>
    <r>
      <rPr>
        <sz val="10"/>
        <rFont val="Arial"/>
        <family val="2"/>
      </rPr>
      <t xml:space="preserve"> requirement growth (kg/kg LWG)</t>
    </r>
  </si>
  <si>
    <r>
      <t xml:space="preserve">Crude Protein </t>
    </r>
    <r>
      <rPr>
        <sz val="11"/>
        <rFont val="Calibri"/>
        <family val="2"/>
        <scheme val="minor"/>
      </rPr>
      <t xml:space="preserve"> requirement maintenance (kg/day</t>
    </r>
    <r>
      <rPr>
        <sz val="11"/>
        <rFont val="Calibri"/>
        <family val="2"/>
        <scheme val="minor"/>
      </rPr>
      <t>)</t>
    </r>
  </si>
  <si>
    <t>Crude Protein requirement growth (kg/kg LWG)</t>
  </si>
  <si>
    <t>pork</t>
  </si>
  <si>
    <t>Parturition interval</t>
  </si>
  <si>
    <t>Moringa oleifera</t>
  </si>
  <si>
    <t>Guazuma ulmifolia</t>
  </si>
  <si>
    <t>Guazuma ulmifolia (forage)</t>
  </si>
  <si>
    <t>Dichanthium aristatum</t>
  </si>
  <si>
    <t>USDvalha</t>
  </si>
  <si>
    <t>USDcostha</t>
  </si>
  <si>
    <t>USDbalha</t>
  </si>
  <si>
    <t>costs</t>
  </si>
  <si>
    <t>Partial producton costs (USD/year)</t>
  </si>
  <si>
    <t>Partial producton costs (USD/ha/year)</t>
  </si>
  <si>
    <t>tot stock cha</t>
  </si>
  <si>
    <t>Moringa oleifera (forage)</t>
  </si>
  <si>
    <t>Ischaemum ciliare</t>
  </si>
  <si>
    <t>Ischaemum ciliare  (forage)</t>
  </si>
  <si>
    <t>Sugarcane (Saccharum officinarum) - forage</t>
  </si>
  <si>
    <t>Maize-silage</t>
  </si>
  <si>
    <t>Swazi</t>
  </si>
  <si>
    <t>Main product Fresh Yield (t FW/ha)</t>
  </si>
  <si>
    <t>Maize (Zea mays) - forage</t>
  </si>
  <si>
    <t>Maize (Zea mays) - bought stover</t>
  </si>
  <si>
    <t>Oats (Avena sativa) - grain</t>
  </si>
  <si>
    <t>Oats (Avena sativa) - green fodder</t>
  </si>
  <si>
    <t>Oats (Avena sativa) - hay</t>
  </si>
  <si>
    <t>Oats (Avena sativa) - hulls</t>
  </si>
  <si>
    <t>Oats (Avena sativa) - meal/cereal by-product</t>
  </si>
  <si>
    <t>Oats (Avena sativa) - silage</t>
  </si>
  <si>
    <t>Digitaria swazilandensis (forage)</t>
  </si>
  <si>
    <t>hectares/kg</t>
  </si>
  <si>
    <t>USD/day</t>
  </si>
  <si>
    <t>USD/kg</t>
  </si>
  <si>
    <t>Cynodon nlemfuensis</t>
  </si>
  <si>
    <t>Labour (days/animal/year)</t>
  </si>
  <si>
    <t>One-off costs (USD/animal)</t>
  </si>
  <si>
    <t>Operational costs (per animal year)</t>
  </si>
  <si>
    <t>Labour one-off per animal (days/yr)</t>
  </si>
  <si>
    <t>Establishment cost (USD/ha)</t>
  </si>
  <si>
    <t>Operational costs (USD/yr/ha)</t>
  </si>
  <si>
    <t>Establishment labour (days/ha)</t>
  </si>
  <si>
    <t>Operational labour (days/yr/ha)</t>
  </si>
  <si>
    <t>Cynodon nlemfuensis (forage)</t>
  </si>
  <si>
    <t>Pennisetum purpureum - forage</t>
  </si>
  <si>
    <t>Pennisetum purpureum - silage</t>
  </si>
  <si>
    <t>Pennisetum purpureum</t>
  </si>
  <si>
    <t>Pennisetum purpureum-silage</t>
  </si>
  <si>
    <t>Dichanthium aristatum (forage)</t>
  </si>
  <si>
    <r>
      <t>Fertilizer rate per crop (</t>
    </r>
    <r>
      <rPr>
        <b/>
        <sz val="12"/>
        <color theme="1"/>
        <rFont val="Calibri"/>
        <family val="2"/>
        <scheme val="minor"/>
      </rPr>
      <t>kg N/ha</t>
    </r>
    <r>
      <rPr>
        <sz val="12"/>
        <color theme="1"/>
        <rFont val="Calibri"/>
        <family val="2"/>
        <scheme val="minor"/>
      </rPr>
      <t>)</t>
    </r>
  </si>
  <si>
    <t>Birth interval (years)</t>
  </si>
  <si>
    <t>pigs lysine</t>
  </si>
  <si>
    <t>NRC: 0.00036*BW^0.75 (NRC 1998, page 32 .. citing Wang and Fulller, 1989)</t>
  </si>
  <si>
    <t>maintenance: 0.44*BW^0.75 (MJ/day) (NRC 1998, page 6)</t>
  </si>
  <si>
    <t>growth: 45 MJ/kg LWG (NRC, 1998, page 6)</t>
  </si>
  <si>
    <t>gestation: 1.5*#days (MJ/gestation) (NRC, 1998, page 7)</t>
  </si>
  <si>
    <t>Litter size  (pigs)</t>
  </si>
  <si>
    <t>Proportion growth piglets covered by milk (%)</t>
  </si>
  <si>
    <t>LW gain piglets (kg/day)</t>
  </si>
  <si>
    <t>lactation: (proportion requirements covered by milk*lactation length*(6.83*#piglets*growth/day-0.125*#piglets))*4.2 (MJ/lactation) (NRC 1998, page 7, equation 1-19)</t>
  </si>
  <si>
    <t>Perennial/ Tree crop</t>
  </si>
  <si>
    <t>Management grassland</t>
  </si>
  <si>
    <t>trees</t>
  </si>
  <si>
    <t>biomass (C) (kg)</t>
  </si>
  <si>
    <t>below ground</t>
  </si>
  <si>
    <t>Δ C Soils (trees)</t>
  </si>
  <si>
    <t>Δ C Soils (total)</t>
  </si>
  <si>
    <t>tree type</t>
  </si>
  <si>
    <t>area (ha)</t>
  </si>
  <si>
    <t>nb trees per ha</t>
  </si>
  <si>
    <t>nb trees total</t>
  </si>
  <si>
    <t>years</t>
  </si>
  <si>
    <t>DBH year 0</t>
  </si>
  <si>
    <t>DBH increase per year</t>
  </si>
  <si>
    <t>DBH year N</t>
  </si>
  <si>
    <t>Biomass year 0 per tree</t>
  </si>
  <si>
    <t>Biomass year N per tree</t>
  </si>
  <si>
    <t>Biomass increase total (t)</t>
  </si>
  <si>
    <t>Biomass increase (t/year)</t>
  </si>
  <si>
    <t>C-content Biomass</t>
  </si>
  <si>
    <t>C-increase (t/year)</t>
  </si>
  <si>
    <t>CO2e-increase (t/year)</t>
  </si>
  <si>
    <t>C-increase SOC (t/year)</t>
  </si>
  <si>
    <t>CO2e-increase SOC (t/year)</t>
  </si>
  <si>
    <t>C-increase total (t/year)</t>
  </si>
  <si>
    <t>CO2e-increase total (t/year)</t>
  </si>
  <si>
    <t>legume</t>
  </si>
  <si>
    <t>other</t>
  </si>
  <si>
    <t>year</t>
  </si>
  <si>
    <t>Height</t>
  </si>
  <si>
    <t>Volume</t>
  </si>
  <si>
    <t>Biomass</t>
  </si>
  <si>
    <t>carbon stock changes (t CO2eq/ha)</t>
  </si>
  <si>
    <t>Buffalo steers/heifers</t>
  </si>
  <si>
    <t>Buffalo calves</t>
  </si>
  <si>
    <t>Musa spp.</t>
  </si>
  <si>
    <t>Banana leaves</t>
  </si>
  <si>
    <t>Sheep/Goats - Ewes/Does</t>
  </si>
  <si>
    <t>Sheep/Goats - Fattening Rams/Bucks</t>
  </si>
  <si>
    <t>Sheep/Goats - Breeding Rams/Bucks</t>
  </si>
  <si>
    <t>Sheep/Goats - Lambs/Kids</t>
  </si>
  <si>
    <t>sheep/goats ME</t>
  </si>
  <si>
    <t>growth: 46 MJ/kg LWG (NRC, 2007)</t>
  </si>
  <si>
    <t>maintenance: 0.44*BW^0.75 (MJ/day) (Salah et al., 2014, NRC, 2007, page 41)</t>
  </si>
  <si>
    <t>activity: Maintenance + 25% (light), +50% (semi-arid rangelands) +75% transhumance (NRC 2007, page 44)</t>
  </si>
  <si>
    <t>Lactation length (small ruminants/pigs, days)</t>
  </si>
  <si>
    <t>lactation:maintenance*2.5*lactation length+5.5 MJ/kg milk non-lamb/kid (based on NRC, 2007)</t>
  </si>
  <si>
    <t>gestation: maintenance*0.25 (0-50 days); maintenance*0.35 (51-105 days); maintenance*0.55 (106-150 days) (based on NRC, 2007)</t>
  </si>
  <si>
    <t>sheep/goats CP</t>
  </si>
  <si>
    <t>gestation: maintenance*0.3 (0-50 days); maintenance*0.5 (51-105 days); maintenance*0.7 (106-150 days) (kg/day) (based on NRC, 2007)</t>
  </si>
  <si>
    <t>maintenance: 0.002*BW (kg/day) (modified from NRC, 2007)</t>
  </si>
  <si>
    <t>lactation: maintenance*2*lactation length+0.09 kg/kg milk non-lamb/kid (kg/day) (based on NRC, 2007)</t>
  </si>
  <si>
    <t>growth: 0.45 kg/kg LWG (based on NRC, 2007)</t>
  </si>
  <si>
    <t>Energy requirement lactation (ME, MJ/kg milk)</t>
  </si>
  <si>
    <t>Energy requirement lactation (ME, MJ/lactation)</t>
  </si>
  <si>
    <r>
      <t xml:space="preserve">Crude Protein/ </t>
    </r>
    <r>
      <rPr>
        <sz val="10"/>
        <color rgb="FFFF0000"/>
        <rFont val="Arial"/>
        <family val="2"/>
      </rPr>
      <t>Lysine</t>
    </r>
    <r>
      <rPr>
        <sz val="10"/>
        <rFont val="Arial"/>
        <family val="2"/>
      </rPr>
      <t xml:space="preserve"> requirement lactation (kg/</t>
    </r>
    <r>
      <rPr>
        <sz val="10"/>
        <color rgb="FFFF0000"/>
        <rFont val="Arial"/>
        <family val="2"/>
      </rPr>
      <t xml:space="preserve"> </t>
    </r>
    <r>
      <rPr>
        <sz val="10"/>
        <color theme="1"/>
        <rFont val="Arial"/>
        <family val="2"/>
      </rPr>
      <t>lactation</t>
    </r>
    <r>
      <rPr>
        <sz val="10"/>
        <rFont val="Arial"/>
        <family val="2"/>
      </rPr>
      <t>)</t>
    </r>
  </si>
  <si>
    <t>Crude Protein requirement  (kg/kg milk)</t>
  </si>
  <si>
    <t>1.1: factor FALSE digestible lysine to lysine feed content, 0.12: lysine proportion of protein (NRC, 1998, Fig 3-5 page 35), 2.3: weight gain per foetus, 0.11: protein content weight gain per foetus (NRC, 1998, page 37)</t>
  </si>
  <si>
    <t>1.1: factor FALSE digestible lysine to lysine feed content, 0.022: requirement per kg of litter weight gain  (NRC, 1998, page 39), 0.0064: contribution sow (NRC, 1998, page 40)</t>
  </si>
  <si>
    <t>1.1: factor FALSE digestible lysine to lysine feed content, 0.12: lysine proportion of protein, 0.39: proportion protein in BW gain (NRC, 1998, page 32)</t>
  </si>
  <si>
    <t>TOTAL GHG Emissions</t>
  </si>
  <si>
    <t>cattle ME</t>
  </si>
  <si>
    <t>buffalo ME</t>
  </si>
  <si>
    <t>maintenance: 0.5*BW^0.75 (MJ/day) NRC, 2001</t>
  </si>
  <si>
    <t>grazing (locomotion): 2 MJ/km</t>
  </si>
  <si>
    <t>pregnancy: requirements during the last 4 months are 4, 6, 12 and 20 MJ respectively for local cows: this corresponds to a total of 1260 MJ for the pregnancy period</t>
  </si>
  <si>
    <t>170 MJ</t>
  </si>
  <si>
    <t>lactation: 5.5 MJ/kg of milk</t>
  </si>
  <si>
    <t>growth: 50 MJ/kg of liveweight gain</t>
  </si>
  <si>
    <t>cattle CP</t>
  </si>
  <si>
    <t>maintenance: 0.001*BW (kg/day) NRC, 2001</t>
  </si>
  <si>
    <t>pregnancy: Daily Metabolisable Protein (MP) local cows’ requirements during the last 4 months are 20, 35, 60 and 110 g respectively: with a conversion factor of 0.7 from CP to MP this corresponds to a total of 9.64 kg of CP for the pregnancy period</t>
  </si>
  <si>
    <t>lactation: 0.09 kg/kg of milk</t>
  </si>
  <si>
    <t>growth: 0.4 kg/kg of liveweight gain</t>
  </si>
  <si>
    <t>buffalo CP</t>
  </si>
  <si>
    <r>
      <t>Crude Protein/</t>
    </r>
    <r>
      <rPr>
        <sz val="11"/>
        <color rgb="FFFF0000"/>
        <rFont val="Calibri"/>
        <family val="2"/>
        <scheme val="minor"/>
      </rPr>
      <t>lysine</t>
    </r>
    <r>
      <rPr>
        <sz val="11"/>
        <rFont val="Calibri"/>
        <family val="2"/>
        <scheme val="minor"/>
      </rPr>
      <t xml:space="preserve"> requirement pregnancy (kg/day)</t>
    </r>
  </si>
  <si>
    <r>
      <t>Crude Protein/</t>
    </r>
    <r>
      <rPr>
        <sz val="11"/>
        <color rgb="FFFF0000"/>
        <rFont val="Calibri"/>
        <family val="2"/>
        <scheme val="minor"/>
      </rPr>
      <t>lysine</t>
    </r>
    <r>
      <rPr>
        <sz val="11"/>
        <rFont val="Calibri"/>
        <family val="2"/>
        <scheme val="minor"/>
      </rPr>
      <t xml:space="preserve"> requirement lactation (kg/kg milk)</t>
    </r>
  </si>
  <si>
    <r>
      <t xml:space="preserve">Energy requirement lactation (ME,  </t>
    </r>
    <r>
      <rPr>
        <sz val="11"/>
        <color rgb="FFFF0000"/>
        <rFont val="Calibri"/>
        <family val="2"/>
        <scheme val="minor"/>
      </rPr>
      <t>MJ/day</t>
    </r>
    <r>
      <rPr>
        <sz val="11"/>
        <rFont val="Calibri"/>
        <family val="2"/>
        <scheme val="minor"/>
      </rPr>
      <t>)</t>
    </r>
  </si>
  <si>
    <r>
      <t>Crude Protein/</t>
    </r>
    <r>
      <rPr>
        <sz val="11"/>
        <color rgb="FFFF0000"/>
        <rFont val="Calibri"/>
        <family val="2"/>
        <scheme val="minor"/>
      </rPr>
      <t>lysine</t>
    </r>
    <r>
      <rPr>
        <sz val="11"/>
        <rFont val="Calibri"/>
        <family val="2"/>
        <scheme val="minor"/>
      </rPr>
      <t xml:space="preserve"> requirement lactation (kg/day)</t>
    </r>
  </si>
  <si>
    <t>A paved or unpaved open confinement area without any significant vegetative cover where accumulating manure may be removed periodically</t>
  </si>
  <si>
    <t>Cows (local)</t>
  </si>
  <si>
    <t>Cows (improved)</t>
  </si>
  <si>
    <t>Buffalo (dairy)</t>
  </si>
  <si>
    <t>Start of wet season (month)</t>
  </si>
  <si>
    <t>End of wet season  (month)</t>
  </si>
  <si>
    <t>Date (MM/1/YYYY)</t>
  </si>
  <si>
    <t>Months</t>
  </si>
  <si>
    <t>Days</t>
  </si>
  <si>
    <t xml:space="preserve">Dry Season </t>
  </si>
  <si>
    <t>Date (MM/31/YYYY)</t>
  </si>
  <si>
    <t>Wet season feedbasket</t>
  </si>
  <si>
    <t>Buffalo</t>
  </si>
  <si>
    <t>ASIA</t>
  </si>
  <si>
    <t xml:space="preserve">Almost all livestock manure is managed as a solid on pastures and ranges. Buffalo manure is
deposited on pastures and ranges
</t>
  </si>
  <si>
    <t xml:space="preserve">Almost all livestock manure is managed as a solid on pastures and ranges. Buffalo manure is deposited on pastures and ranges
</t>
  </si>
  <si>
    <t>About half of cattle manure is used for fuel with the remainder managed in dry systems. Almost 40% of swine manure is managed as a liquid. Buffalo manure is managed in drylots and deposited in pastures and ranges.</t>
  </si>
  <si>
    <t>Developing Countries</t>
  </si>
  <si>
    <t xml:space="preserve">REGION </t>
  </si>
  <si>
    <t>ANIMAL CATEGORY IPCC</t>
  </si>
  <si>
    <t>Other Cattle and Buffaloes that are primarily fed low quality crop residues and byproducts</t>
  </si>
  <si>
    <t>Table 10.12</t>
  </si>
  <si>
    <t>Other Cattle or Buffalo – grazing</t>
  </si>
  <si>
    <t>emission factor for manure management</t>
  </si>
  <si>
    <t>IPCC Category - methane emissions manure - Tier 1</t>
  </si>
  <si>
    <t>IPCC Category - methane emissions enteric fermentation - Tier 2</t>
  </si>
  <si>
    <t>IPCC Category - methane emissions enteric fermentation - Tier 1</t>
  </si>
  <si>
    <t>VLOOKUP(VLOOKUP(B8,'Livestock parameters'!$A$20:$AO$34,38,FALSE),'GHG Parameters'!$A$10:$D$16,MATCH(INPUTS!$E$3,'GHG Parameters'!$A$8:$D$8,0),FALSE)</t>
  </si>
  <si>
    <t>IPCC-Category - Default N-excretion rates Tier 1</t>
  </si>
  <si>
    <t>Cows (high productive)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</si>
</sst>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7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0.0"/>
    <numFmt numFmtId="166" formatCode="0.000"/>
    <numFmt numFmtId="167" formatCode="0.0000"/>
    <numFmt numFmtId="168" formatCode="_(* #,##0_);_(* \(#,##0\);_(* &quot;-&quot;??_);_(@_)"/>
    <numFmt numFmtId="169" formatCode="_-* #,##0.0_-;\-* #,##0.0_-;_-* &quot;-&quot;??_-;_-@_-"/>
    <numFmt numFmtId="170" formatCode="_-* #,##0_-;\-* #,##0_-;_-* &quot;-&quot;??_-;_-@_-"/>
    <numFmt numFmtId="171" formatCode="_(&quot;$&quot;* #,##0_);_(&quot;$&quot;* \(#,##0\);_(&quot;$&quot;* &quot;-&quot;??_);_(@_)"/>
    <numFmt numFmtId="172" formatCode="_(* #,##0.0_);_(* \(#,##0.0\);_(* &quot;-&quot;??_);_(@_)"/>
    <numFmt numFmtId="173" formatCode="_(&quot;$&quot;* #,##0.0_);_(&quot;$&quot;* \(#,##0.0\);_(&quot;$&quot;* &quot;-&quot;??_);_(@_)"/>
    <numFmt numFmtId="174" formatCode="_(* #,##0.000_);_(* \(#,##0.000\);_(* &quot;-&quot;??_);_(@_)"/>
    <numFmt numFmtId="175" formatCode="#,##0.0"/>
    <numFmt numFmtId="176" formatCode="0.0%"/>
    <numFmt numFmtId="177" formatCode="[$-409]mmmm\-yy;@"/>
  </numFmts>
  <fonts count="107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61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0"/>
      <name val="Arial"/>
      <family val="2"/>
    </font>
    <font>
      <i/>
      <sz val="10"/>
      <name val="Arial"/>
      <family val="2"/>
    </font>
    <font>
      <sz val="12"/>
      <name val="Calibri"/>
      <family val="2"/>
      <scheme val="minor"/>
    </font>
    <font>
      <sz val="12"/>
      <color theme="1"/>
      <name val="ＭＳ ゴシック"/>
      <family val="2"/>
    </font>
    <font>
      <sz val="8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vertAlign val="subscript"/>
      <sz val="12"/>
      <name val="Calibri"/>
      <family val="2"/>
      <scheme val="minor"/>
    </font>
    <font>
      <vertAlign val="superscript"/>
      <sz val="12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4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2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20"/>
      <name val="Calibri"/>
      <family val="2"/>
      <scheme val="minor"/>
    </font>
    <font>
      <sz val="7.5"/>
      <name val="Times New Roman"/>
      <family val="1"/>
    </font>
    <font>
      <sz val="11"/>
      <name val="Consolas"/>
      <family val="3"/>
    </font>
    <font>
      <sz val="10"/>
      <name val="Verdana"/>
      <family val="2"/>
    </font>
    <font>
      <b/>
      <sz val="7.5"/>
      <name val="Times New Roman"/>
      <family val="1"/>
    </font>
    <font>
      <b/>
      <sz val="7.5"/>
      <name val="Verdana"/>
      <family val="2"/>
    </font>
    <font>
      <sz val="10"/>
      <color rgb="FFFF0000"/>
      <name val="Arial"/>
      <family val="2"/>
    </font>
    <font>
      <i/>
      <sz val="11"/>
      <color rgb="FF7F7F7F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sz val="11"/>
      <color rgb="FF1F497D"/>
      <name val="Calibri"/>
      <family val="2"/>
      <scheme val="minor"/>
    </font>
    <font>
      <sz val="11"/>
      <color rgb="FF1F497D"/>
      <name val="Symbol"/>
      <family val="1"/>
      <charset val="2"/>
    </font>
    <font>
      <sz val="7"/>
      <color rgb="FF1F497D"/>
      <name val="Times New Roman"/>
      <family val="1"/>
    </font>
    <font>
      <sz val="12"/>
      <color theme="5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5"/>
      <name val="Arial"/>
      <family val="2"/>
    </font>
    <font>
      <b/>
      <i/>
      <sz val="12"/>
      <color theme="1"/>
      <name val="Calibri"/>
      <family val="2"/>
      <scheme val="minor"/>
    </font>
    <font>
      <b/>
      <sz val="12"/>
      <color theme="3"/>
      <name val="Calibri"/>
      <family val="2"/>
      <scheme val="minor"/>
    </font>
    <font>
      <i/>
      <sz val="11"/>
      <color theme="0" tint="-0.14999847407452621"/>
      <name val="Calibri"/>
      <family val="2"/>
      <scheme val="minor"/>
    </font>
    <font>
      <sz val="13"/>
      <color rgb="FF242729"/>
      <name val="Consolas"/>
      <family val="3"/>
    </font>
    <font>
      <sz val="12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i/>
      <sz val="12"/>
      <color theme="0" tint="-0.1499984740745262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2"/>
      <color theme="9" tint="-0.249977111117893"/>
      <name val="Calibri"/>
      <family val="2"/>
      <scheme val="minor"/>
    </font>
    <font>
      <i/>
      <sz val="12"/>
      <color theme="9" tint="-0.249977111117893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i/>
      <sz val="12"/>
      <color theme="0" tint="-4.9989318521683403E-2"/>
      <name val="Calibri"/>
      <family val="2"/>
      <scheme val="minor"/>
    </font>
    <font>
      <sz val="10"/>
      <color rgb="FF242729"/>
      <name val="Consolas"/>
      <family val="3"/>
    </font>
    <font>
      <b/>
      <i/>
      <sz val="12"/>
      <color theme="0" tint="-0.249977111117893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"/>
      <name val="Arial"/>
      <family val="2"/>
    </font>
    <font>
      <u/>
      <sz val="10"/>
      <name val="Arial"/>
      <family val="2"/>
    </font>
    <font>
      <u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2"/>
      <color theme="0" tint="-0.499984740745262"/>
      <name val="Calibri"/>
      <family val="2"/>
      <scheme val="minor"/>
    </font>
    <font>
      <i/>
      <sz val="11"/>
      <color rgb="FF1F497D"/>
      <name val="Symbol"/>
      <family val="1"/>
      <charset val="2"/>
    </font>
    <font>
      <i/>
      <sz val="7"/>
      <color rgb="FF1F497D"/>
      <name val="Times New Roman"/>
      <family val="1"/>
    </font>
    <font>
      <i/>
      <sz val="11"/>
      <color rgb="FF1F497D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name val="Calibri"/>
      <family val="2"/>
      <scheme val="minor"/>
    </font>
    <font>
      <sz val="13"/>
      <color rgb="FF242729"/>
      <name val="Consolas"/>
      <family val="3"/>
    </font>
    <font>
      <sz val="12"/>
      <color rgb="FF242729"/>
      <name val="Calibri"/>
      <family val="2"/>
    </font>
    <font>
      <sz val="17"/>
      <color rgb="FF20303C"/>
      <name val="Georgia"/>
      <family val="1"/>
    </font>
  </fonts>
  <fills count="3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7CE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8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</borders>
  <cellStyleXfs count="1842">
    <xf numFmtId="0" fontId="0" fillId="0" borderId="0"/>
    <xf numFmtId="0" fontId="21" fillId="2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3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9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45" fillId="13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48" fillId="15" borderId="0" applyNumberFormat="0" applyBorder="0" applyAlignment="0" applyProtection="0"/>
    <xf numFmtId="9" fontId="19" fillId="0" borderId="0" applyFont="0" applyFill="0" applyBorder="0" applyAlignment="0" applyProtection="0"/>
    <xf numFmtId="0" fontId="50" fillId="16" borderId="62" applyNumberFormat="0" applyAlignment="0" applyProtection="0"/>
    <xf numFmtId="0" fontId="58" fillId="0" borderId="0" applyNumberFormat="0" applyFill="0" applyBorder="0" applyAlignment="0" applyProtection="0"/>
    <xf numFmtId="0" fontId="18" fillId="0" borderId="0"/>
    <xf numFmtId="0" fontId="3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43" fontId="19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44" fontId="19" fillId="0" borderId="0" applyFont="0" applyFill="0" applyBorder="0" applyAlignment="0" applyProtection="0"/>
    <xf numFmtId="0" fontId="16" fillId="0" borderId="0"/>
    <xf numFmtId="164" fontId="19" fillId="0" borderId="0" applyFont="0" applyFill="0" applyBorder="0" applyAlignment="0" applyProtection="0"/>
  </cellStyleXfs>
  <cellXfs count="1696">
    <xf numFmtId="0" fontId="0" fillId="0" borderId="0" xfId="0"/>
    <xf numFmtId="0" fontId="22" fillId="0" borderId="0" xfId="0" applyFont="1"/>
    <xf numFmtId="0" fontId="0" fillId="0" borderId="0" xfId="0" applyAlignment="1">
      <alignment vertical="center"/>
    </xf>
    <xf numFmtId="0" fontId="0" fillId="0" borderId="12" xfId="0" applyBorder="1"/>
    <xf numFmtId="0" fontId="0" fillId="0" borderId="13" xfId="0" applyBorder="1"/>
    <xf numFmtId="0" fontId="27" fillId="0" borderId="0" xfId="0" applyFont="1"/>
    <xf numFmtId="0" fontId="28" fillId="0" borderId="0" xfId="0" applyFon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wrapText="1"/>
    </xf>
    <xf numFmtId="0" fontId="23" fillId="0" borderId="0" xfId="6"/>
    <xf numFmtId="0" fontId="0" fillId="0" borderId="0" xfId="0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top" wrapText="1"/>
    </xf>
    <xf numFmtId="0" fontId="0" fillId="0" borderId="19" xfId="0" applyBorder="1" applyAlignment="1">
      <alignment vertical="center"/>
    </xf>
    <xf numFmtId="0" fontId="0" fillId="0" borderId="1" xfId="0" applyBorder="1" applyAlignment="1">
      <alignment wrapText="1"/>
    </xf>
    <xf numFmtId="0" fontId="0" fillId="3" borderId="1" xfId="0" applyFill="1" applyBorder="1" applyAlignment="1">
      <alignment vertical="top" wrapText="1"/>
    </xf>
    <xf numFmtId="0" fontId="0" fillId="5" borderId="1" xfId="0" applyFill="1" applyBorder="1"/>
    <xf numFmtId="0" fontId="0" fillId="0" borderId="1" xfId="0" applyBorder="1" applyAlignment="1">
      <alignment vertical="center" wrapText="1"/>
    </xf>
    <xf numFmtId="0" fontId="0" fillId="5" borderId="1" xfId="0" applyFill="1" applyBorder="1" applyAlignment="1">
      <alignment wrapText="1"/>
    </xf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5" borderId="1" xfId="0" applyFill="1" applyBorder="1" applyAlignment="1">
      <alignment vertical="center"/>
    </xf>
    <xf numFmtId="0" fontId="0" fillId="5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22" fillId="0" borderId="1" xfId="0" applyFont="1" applyBorder="1" applyAlignment="1">
      <alignment horizontal="center" vertical="center" wrapText="1"/>
    </xf>
    <xf numFmtId="0" fontId="26" fillId="6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29" fillId="5" borderId="1" xfId="1" applyFont="1" applyFill="1" applyBorder="1" applyAlignment="1">
      <alignment horizontal="center" vertical="center"/>
    </xf>
    <xf numFmtId="0" fontId="29" fillId="6" borderId="1" xfId="1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/>
    </xf>
    <xf numFmtId="0" fontId="29" fillId="5" borderId="1" xfId="1" applyFont="1" applyFill="1" applyBorder="1" applyAlignment="1">
      <alignment horizontal="center" vertical="center" wrapText="1"/>
    </xf>
    <xf numFmtId="0" fontId="26" fillId="0" borderId="0" xfId="0" applyFont="1"/>
    <xf numFmtId="0" fontId="30" fillId="0" borderId="1" xfId="0" applyFont="1" applyBorder="1" applyAlignment="1">
      <alignment vertical="center" wrapText="1"/>
    </xf>
    <xf numFmtId="2" fontId="0" fillId="0" borderId="0" xfId="0" applyNumberFormat="1"/>
    <xf numFmtId="2" fontId="0" fillId="0" borderId="1" xfId="0" applyNumberFormat="1" applyBorder="1"/>
    <xf numFmtId="0" fontId="0" fillId="0" borderId="23" xfId="0" applyBorder="1"/>
    <xf numFmtId="0" fontId="0" fillId="4" borderId="0" xfId="0" applyFill="1"/>
    <xf numFmtId="0" fontId="33" fillId="6" borderId="1" xfId="1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 wrapText="1"/>
    </xf>
    <xf numFmtId="0" fontId="26" fillId="5" borderId="1" xfId="0" applyFont="1" applyFill="1" applyBorder="1" applyAlignment="1">
      <alignment horizontal="center" vertical="center" wrapText="1"/>
    </xf>
    <xf numFmtId="2" fontId="26" fillId="0" borderId="1" xfId="0" applyNumberFormat="1" applyFont="1" applyBorder="1" applyAlignment="1">
      <alignment horizontal="center" vertical="center" wrapText="1"/>
    </xf>
    <xf numFmtId="0" fontId="33" fillId="6" borderId="21" xfId="1" applyFont="1" applyFill="1" applyBorder="1" applyAlignment="1">
      <alignment horizontal="center" vertical="center"/>
    </xf>
    <xf numFmtId="0" fontId="34" fillId="5" borderId="1" xfId="1" applyFont="1" applyFill="1" applyBorder="1" applyAlignment="1">
      <alignment horizontal="center" vertical="center"/>
    </xf>
    <xf numFmtId="166" fontId="33" fillId="5" borderId="1" xfId="1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 wrapText="1"/>
    </xf>
    <xf numFmtId="0" fontId="34" fillId="6" borderId="1" xfId="1" applyFont="1" applyFill="1" applyBorder="1" applyAlignment="1">
      <alignment horizontal="center" vertical="center" wrapText="1"/>
    </xf>
    <xf numFmtId="2" fontId="34" fillId="6" borderId="1" xfId="1" applyNumberFormat="1" applyFont="1" applyFill="1" applyBorder="1" applyAlignment="1">
      <alignment horizontal="center" vertical="center" wrapText="1"/>
    </xf>
    <xf numFmtId="0" fontId="33" fillId="6" borderId="1" xfId="1" applyFont="1" applyFill="1" applyBorder="1" applyAlignment="1">
      <alignment horizontal="center" vertical="center" wrapText="1"/>
    </xf>
    <xf numFmtId="2" fontId="33" fillId="6" borderId="1" xfId="1" applyNumberFormat="1" applyFont="1" applyFill="1" applyBorder="1" applyAlignment="1">
      <alignment horizontal="center" vertical="center" wrapText="1"/>
    </xf>
    <xf numFmtId="0" fontId="33" fillId="6" borderId="19" xfId="1" applyFont="1" applyFill="1" applyBorder="1" applyAlignment="1">
      <alignment horizontal="center" vertical="center" wrapText="1"/>
    </xf>
    <xf numFmtId="2" fontId="33" fillId="6" borderId="19" xfId="1" applyNumberFormat="1" applyFont="1" applyFill="1" applyBorder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2" fontId="34" fillId="6" borderId="1" xfId="1" applyNumberFormat="1" applyFont="1" applyFill="1" applyBorder="1" applyAlignment="1">
      <alignment horizontal="center" vertical="center"/>
    </xf>
    <xf numFmtId="0" fontId="34" fillId="5" borderId="1" xfId="1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26" fillId="0" borderId="1" xfId="0" applyFont="1" applyBorder="1" applyAlignment="1">
      <alignment vertical="top"/>
    </xf>
    <xf numFmtId="0" fontId="26" fillId="0" borderId="1" xfId="0" applyFont="1" applyBorder="1" applyAlignment="1">
      <alignment vertical="top" wrapText="1"/>
    </xf>
    <xf numFmtId="2" fontId="33" fillId="6" borderId="1" xfId="1" applyNumberFormat="1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26" fillId="0" borderId="1" xfId="0" applyNumberFormat="1" applyFont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0" fontId="0" fillId="6" borderId="0" xfId="0" applyFill="1"/>
    <xf numFmtId="2" fontId="26" fillId="6" borderId="1" xfId="0" applyNumberFormat="1" applyFont="1" applyFill="1" applyBorder="1" applyAlignment="1">
      <alignment horizontal="center" vertical="center" wrapText="1"/>
    </xf>
    <xf numFmtId="2" fontId="23" fillId="6" borderId="1" xfId="6" applyNumberFormat="1" applyFill="1" applyBorder="1"/>
    <xf numFmtId="0" fontId="0" fillId="5" borderId="19" xfId="0" applyFill="1" applyBorder="1" applyAlignment="1">
      <alignment vertical="center" wrapText="1"/>
    </xf>
    <xf numFmtId="2" fontId="0" fillId="6" borderId="1" xfId="0" applyNumberFormat="1" applyFill="1" applyBorder="1" applyAlignment="1">
      <alignment horizontal="center" vertical="center" wrapText="1"/>
    </xf>
    <xf numFmtId="2" fontId="23" fillId="6" borderId="1" xfId="6" applyNumberFormat="1" applyFill="1" applyBorder="1" applyAlignment="1">
      <alignment horizontal="center" vertical="center"/>
    </xf>
    <xf numFmtId="0" fontId="23" fillId="5" borderId="1" xfId="6" applyFill="1" applyBorder="1" applyAlignment="1">
      <alignment horizontal="center" vertical="center"/>
    </xf>
    <xf numFmtId="2" fontId="26" fillId="6" borderId="1" xfId="0" applyNumberFormat="1" applyFont="1" applyFill="1" applyBorder="1" applyAlignment="1">
      <alignment horizontal="center" vertical="center"/>
    </xf>
    <xf numFmtId="0" fontId="31" fillId="0" borderId="0" xfId="0" applyFont="1"/>
    <xf numFmtId="0" fontId="0" fillId="0" borderId="13" xfId="0" applyBorder="1" applyAlignment="1">
      <alignment horizontal="center"/>
    </xf>
    <xf numFmtId="0" fontId="39" fillId="0" borderId="1" xfId="0" applyFont="1" applyBorder="1" applyAlignment="1">
      <alignment horizontal="center" vertical="center" wrapText="1"/>
    </xf>
    <xf numFmtId="0" fontId="39" fillId="0" borderId="12" xfId="0" applyFont="1" applyBorder="1"/>
    <xf numFmtId="0" fontId="0" fillId="0" borderId="19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2" fontId="0" fillId="0" borderId="12" xfId="0" applyNumberFormat="1" applyBorder="1" applyAlignment="1">
      <alignment horizontal="center" vertical="center"/>
    </xf>
    <xf numFmtId="0" fontId="0" fillId="5" borderId="19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34" fillId="6" borderId="1" xfId="1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35" fillId="5" borderId="1" xfId="0" applyFont="1" applyFill="1" applyBorder="1" applyAlignment="1">
      <alignment horizontal="center" vertical="center" wrapText="1"/>
    </xf>
    <xf numFmtId="2" fontId="0" fillId="0" borderId="12" xfId="0" applyNumberFormat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5" borderId="20" xfId="0" applyFill="1" applyBorder="1" applyAlignment="1">
      <alignment horizontal="center" vertical="center" wrapText="1"/>
    </xf>
    <xf numFmtId="2" fontId="0" fillId="0" borderId="20" xfId="0" applyNumberFormat="1" applyBorder="1" applyAlignment="1">
      <alignment horizontal="center" vertical="center"/>
    </xf>
    <xf numFmtId="2" fontId="0" fillId="0" borderId="20" xfId="0" applyNumberFormat="1" applyBorder="1" applyAlignment="1">
      <alignment horizontal="center" vertical="center" wrapText="1"/>
    </xf>
    <xf numFmtId="2" fontId="0" fillId="6" borderId="12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top" wrapText="1"/>
    </xf>
    <xf numFmtId="0" fontId="26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wrapText="1"/>
    </xf>
    <xf numFmtId="0" fontId="0" fillId="0" borderId="8" xfId="0" applyBorder="1" applyAlignment="1">
      <alignment horizontal="center" vertical="top" wrapText="1"/>
    </xf>
    <xf numFmtId="0" fontId="26" fillId="0" borderId="8" xfId="0" applyFont="1" applyBorder="1" applyAlignment="1">
      <alignment horizontal="center" vertical="top" wrapText="1"/>
    </xf>
    <xf numFmtId="0" fontId="0" fillId="0" borderId="20" xfId="0" applyBorder="1" applyAlignment="1">
      <alignment horizontal="center" vertical="center" wrapText="1"/>
    </xf>
    <xf numFmtId="0" fontId="0" fillId="0" borderId="20" xfId="0" applyBorder="1" applyAlignment="1">
      <alignment horizontal="center" wrapText="1"/>
    </xf>
    <xf numFmtId="0" fontId="26" fillId="0" borderId="20" xfId="0" applyFont="1" applyBorder="1" applyAlignment="1">
      <alignment horizontal="center" wrapText="1"/>
    </xf>
    <xf numFmtId="0" fontId="0" fillId="0" borderId="8" xfId="0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0" fillId="0" borderId="46" xfId="0" applyBorder="1" applyAlignment="1">
      <alignment vertical="center" wrapText="1"/>
    </xf>
    <xf numFmtId="0" fontId="0" fillId="0" borderId="47" xfId="0" applyBorder="1" applyAlignment="1">
      <alignment vertical="top" wrapText="1"/>
    </xf>
    <xf numFmtId="0" fontId="0" fillId="6" borderId="1" xfId="0" applyFill="1" applyBorder="1" applyAlignment="1">
      <alignment horizontal="center" vertical="center" wrapText="1"/>
    </xf>
    <xf numFmtId="2" fontId="0" fillId="5" borderId="1" xfId="0" applyNumberFormat="1" applyFill="1" applyBorder="1"/>
    <xf numFmtId="0" fontId="0" fillId="6" borderId="21" xfId="0" applyFill="1" applyBorder="1" applyAlignment="1">
      <alignment horizontal="center" vertical="center" wrapText="1"/>
    </xf>
    <xf numFmtId="2" fontId="26" fillId="0" borderId="1" xfId="0" applyNumberFormat="1" applyFont="1" applyBorder="1" applyAlignment="1">
      <alignment horizontal="center"/>
    </xf>
    <xf numFmtId="0" fontId="26" fillId="6" borderId="0" xfId="0" applyFont="1" applyFill="1" applyAlignment="1">
      <alignment horizontal="center" vertical="center" wrapText="1"/>
    </xf>
    <xf numFmtId="2" fontId="39" fillId="6" borderId="1" xfId="0" applyNumberFormat="1" applyFont="1" applyFill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 wrapText="1"/>
    </xf>
    <xf numFmtId="2" fontId="0" fillId="0" borderId="1" xfId="0" applyNumberFormat="1" applyBorder="1" applyAlignment="1">
      <alignment vertical="center"/>
    </xf>
    <xf numFmtId="1" fontId="0" fillId="0" borderId="1" xfId="0" applyNumberFormat="1" applyBorder="1" applyAlignment="1">
      <alignment horizontal="center" vertical="center"/>
    </xf>
    <xf numFmtId="0" fontId="0" fillId="0" borderId="8" xfId="0" applyBorder="1"/>
    <xf numFmtId="0" fontId="0" fillId="0" borderId="17" xfId="0" applyBorder="1"/>
    <xf numFmtId="0" fontId="0" fillId="0" borderId="22" xfId="0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8" borderId="0" xfId="0" applyFill="1"/>
    <xf numFmtId="0" fontId="0" fillId="8" borderId="19" xfId="0" applyFill="1" applyBorder="1" applyAlignment="1">
      <alignment vertical="center"/>
    </xf>
    <xf numFmtId="2" fontId="0" fillId="8" borderId="1" xfId="0" applyNumberFormat="1" applyFill="1" applyBorder="1"/>
    <xf numFmtId="0" fontId="0" fillId="8" borderId="1" xfId="0" applyFill="1" applyBorder="1" applyAlignment="1">
      <alignment wrapText="1"/>
    </xf>
    <xf numFmtId="0" fontId="0" fillId="8" borderId="1" xfId="0" applyFill="1" applyBorder="1"/>
    <xf numFmtId="166" fontId="0" fillId="0" borderId="1" xfId="0" applyNumberFormat="1" applyBorder="1" applyAlignment="1">
      <alignment horizontal="center" vertical="center"/>
    </xf>
    <xf numFmtId="2" fontId="0" fillId="0" borderId="12" xfId="0" applyNumberFormat="1" applyBorder="1"/>
    <xf numFmtId="2" fontId="26" fillId="0" borderId="12" xfId="0" applyNumberFormat="1" applyFont="1" applyBorder="1"/>
    <xf numFmtId="2" fontId="26" fillId="0" borderId="1" xfId="0" applyNumberFormat="1" applyFont="1" applyBorder="1"/>
    <xf numFmtId="0" fontId="0" fillId="0" borderId="12" xfId="0" applyBorder="1" applyAlignment="1">
      <alignment wrapText="1"/>
    </xf>
    <xf numFmtId="0" fontId="0" fillId="8" borderId="1" xfId="0" applyFill="1" applyBorder="1" applyAlignment="1">
      <alignment shrinkToFit="1"/>
    </xf>
    <xf numFmtId="0" fontId="23" fillId="4" borderId="0" xfId="0" applyFont="1" applyFill="1" applyAlignment="1">
      <alignment horizontal="center" wrapText="1"/>
    </xf>
    <xf numFmtId="0" fontId="23" fillId="11" borderId="0" xfId="0" applyFont="1" applyFill="1" applyAlignment="1">
      <alignment horizontal="center" wrapText="1"/>
    </xf>
    <xf numFmtId="0" fontId="22" fillId="0" borderId="0" xfId="0" applyFont="1" applyAlignment="1">
      <alignment horizontal="left" wrapText="1"/>
    </xf>
    <xf numFmtId="0" fontId="0" fillId="0" borderId="0" xfId="0" applyAlignment="1">
      <alignment vertical="top" wrapText="1"/>
    </xf>
    <xf numFmtId="0" fontId="23" fillId="0" borderId="0" xfId="0" applyFont="1" applyAlignment="1">
      <alignment vertical="top" wrapText="1"/>
    </xf>
    <xf numFmtId="0" fontId="0" fillId="10" borderId="0" xfId="0" applyFill="1"/>
    <xf numFmtId="0" fontId="23" fillId="0" borderId="0" xfId="0" applyFont="1"/>
    <xf numFmtId="0" fontId="23" fillId="10" borderId="0" xfId="0" applyFont="1" applyFill="1" applyAlignment="1">
      <alignment horizontal="center" wrapText="1"/>
    </xf>
    <xf numFmtId="0" fontId="29" fillId="0" borderId="0" xfId="0" applyFont="1"/>
    <xf numFmtId="0" fontId="33" fillId="0" borderId="0" xfId="0" applyFont="1" applyAlignment="1">
      <alignment wrapText="1"/>
    </xf>
    <xf numFmtId="0" fontId="33" fillId="0" borderId="1" xfId="0" applyFont="1" applyBorder="1" applyAlignment="1">
      <alignment horizontal="center" vertical="center" wrapText="1"/>
    </xf>
    <xf numFmtId="0" fontId="22" fillId="9" borderId="12" xfId="0" applyFont="1" applyFill="1" applyBorder="1"/>
    <xf numFmtId="0" fontId="26" fillId="0" borderId="1" xfId="0" applyFont="1" applyBorder="1" applyAlignment="1">
      <alignment horizontal="left" wrapText="1"/>
    </xf>
    <xf numFmtId="0" fontId="0" fillId="5" borderId="8" xfId="0" applyFill="1" applyBorder="1"/>
    <xf numFmtId="0" fontId="29" fillId="4" borderId="1" xfId="0" applyFont="1" applyFill="1" applyBorder="1"/>
    <xf numFmtId="2" fontId="33" fillId="4" borderId="1" xfId="0" applyNumberFormat="1" applyFont="1" applyFill="1" applyBorder="1" applyAlignment="1">
      <alignment horizontal="center"/>
    </xf>
    <xf numFmtId="0" fontId="29" fillId="0" borderId="1" xfId="0" applyFont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2" fontId="29" fillId="0" borderId="1" xfId="1" applyNumberFormat="1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2" fontId="0" fillId="10" borderId="1" xfId="0" applyNumberFormat="1" applyFill="1" applyBorder="1" applyAlignment="1">
      <alignment horizontal="center" vertical="center" wrapText="1"/>
    </xf>
    <xf numFmtId="0" fontId="0" fillId="0" borderId="19" xfId="0" applyBorder="1"/>
    <xf numFmtId="0" fontId="0" fillId="0" borderId="22" xfId="0" applyBorder="1"/>
    <xf numFmtId="2" fontId="0" fillId="0" borderId="21" xfId="0" applyNumberFormat="1" applyBorder="1"/>
    <xf numFmtId="2" fontId="34" fillId="0" borderId="1" xfId="1" applyNumberFormat="1" applyFont="1" applyFill="1" applyBorder="1" applyAlignment="1">
      <alignment horizontal="center" vertical="center" wrapText="1"/>
    </xf>
    <xf numFmtId="0" fontId="34" fillId="0" borderId="1" xfId="1" applyFont="1" applyFill="1" applyBorder="1" applyAlignment="1">
      <alignment horizontal="center" vertical="center" wrapText="1"/>
    </xf>
    <xf numFmtId="0" fontId="29" fillId="0" borderId="1" xfId="0" applyFont="1" applyBorder="1" applyAlignment="1">
      <alignment horizontal="left" vertical="center"/>
    </xf>
    <xf numFmtId="2" fontId="47" fillId="0" borderId="1" xfId="0" applyNumberFormat="1" applyFont="1" applyBorder="1" applyAlignment="1">
      <alignment horizontal="center" vertical="center"/>
    </xf>
    <xf numFmtId="0" fontId="29" fillId="0" borderId="1" xfId="1" applyFont="1" applyFill="1" applyBorder="1" applyAlignment="1">
      <alignment horizontal="center" vertical="center"/>
    </xf>
    <xf numFmtId="0" fontId="45" fillId="13" borderId="1" xfId="996" applyBorder="1" applyAlignment="1">
      <alignment horizontal="center" vertical="center" wrapText="1"/>
    </xf>
    <xf numFmtId="2" fontId="0" fillId="6" borderId="20" xfId="0" applyNumberFormat="1" applyFill="1" applyBorder="1" applyAlignment="1">
      <alignment horizontal="center" vertical="center"/>
    </xf>
    <xf numFmtId="0" fontId="29" fillId="0" borderId="0" xfId="0" applyFont="1" applyAlignment="1">
      <alignment horizontal="left" vertical="center"/>
    </xf>
    <xf numFmtId="2" fontId="45" fillId="13" borderId="1" xfId="996" applyNumberFormat="1" applyBorder="1" applyAlignment="1">
      <alignment horizontal="center" vertical="center"/>
    </xf>
    <xf numFmtId="0" fontId="0" fillId="0" borderId="0" xfId="0" applyAlignment="1">
      <alignment horizontal="right"/>
    </xf>
    <xf numFmtId="0" fontId="26" fillId="5" borderId="15" xfId="0" applyFont="1" applyFill="1" applyBorder="1" applyAlignment="1">
      <alignment horizontal="center" vertical="center"/>
    </xf>
    <xf numFmtId="0" fontId="26" fillId="0" borderId="0" xfId="0" applyFont="1" applyAlignment="1">
      <alignment wrapText="1"/>
    </xf>
    <xf numFmtId="0" fontId="0" fillId="0" borderId="1" xfId="0" applyBorder="1" applyAlignment="1">
      <alignment horizontal="right"/>
    </xf>
    <xf numFmtId="0" fontId="29" fillId="0" borderId="1" xfId="0" applyFont="1" applyBorder="1"/>
    <xf numFmtId="0" fontId="33" fillId="0" borderId="1" xfId="0" applyFont="1" applyBorder="1"/>
    <xf numFmtId="49" fontId="29" fillId="0" borderId="1" xfId="0" applyNumberFormat="1" applyFont="1" applyBorder="1"/>
    <xf numFmtId="0" fontId="45" fillId="13" borderId="0" xfId="996"/>
    <xf numFmtId="2" fontId="45" fillId="13" borderId="0" xfId="996" applyNumberFormat="1" applyAlignment="1">
      <alignment horizontal="center" vertical="center"/>
    </xf>
    <xf numFmtId="2" fontId="23" fillId="0" borderId="0" xfId="6" applyNumberFormat="1" applyAlignment="1">
      <alignment horizontal="center" vertical="center"/>
    </xf>
    <xf numFmtId="0" fontId="46" fillId="0" borderId="9" xfId="0" applyFont="1" applyBorder="1" applyAlignment="1">
      <alignment vertical="center"/>
    </xf>
    <xf numFmtId="0" fontId="46" fillId="0" borderId="10" xfId="0" applyFont="1" applyBorder="1" applyAlignment="1">
      <alignment vertical="center"/>
    </xf>
    <xf numFmtId="0" fontId="46" fillId="0" borderId="13" xfId="0" applyFont="1" applyBorder="1" applyAlignment="1">
      <alignment vertical="center"/>
    </xf>
    <xf numFmtId="0" fontId="46" fillId="0" borderId="14" xfId="0" applyFont="1" applyBorder="1" applyAlignment="1">
      <alignment vertical="center"/>
    </xf>
    <xf numFmtId="0" fontId="22" fillId="5" borderId="1" xfId="0" applyFont="1" applyFill="1" applyBorder="1" applyAlignment="1">
      <alignment horizontal="left" vertical="center" wrapText="1"/>
    </xf>
    <xf numFmtId="0" fontId="22" fillId="5" borderId="1" xfId="0" applyFont="1" applyFill="1" applyBorder="1" applyAlignment="1">
      <alignment horizontal="center" vertical="center"/>
    </xf>
    <xf numFmtId="2" fontId="29" fillId="0" borderId="0" xfId="0" applyNumberFormat="1" applyFont="1"/>
    <xf numFmtId="2" fontId="0" fillId="10" borderId="0" xfId="0" applyNumberFormat="1" applyFill="1"/>
    <xf numFmtId="2" fontId="41" fillId="0" borderId="0" xfId="0" applyNumberFormat="1" applyFont="1"/>
    <xf numFmtId="0" fontId="0" fillId="0" borderId="59" xfId="0" applyBorder="1"/>
    <xf numFmtId="2" fontId="0" fillId="0" borderId="59" xfId="0" applyNumberFormat="1" applyBorder="1"/>
    <xf numFmtId="2" fontId="36" fillId="0" borderId="59" xfId="0" applyNumberFormat="1" applyFont="1" applyBorder="1"/>
    <xf numFmtId="0" fontId="44" fillId="12" borderId="0" xfId="0" applyFont="1" applyFill="1" applyAlignment="1">
      <alignment horizontal="center" vertical="center" wrapText="1"/>
    </xf>
    <xf numFmtId="2" fontId="36" fillId="0" borderId="59" xfId="996" applyNumberFormat="1" applyFont="1" applyFill="1" applyBorder="1"/>
    <xf numFmtId="2" fontId="29" fillId="0" borderId="0" xfId="996" applyNumberFormat="1" applyFont="1" applyFill="1"/>
    <xf numFmtId="2" fontId="36" fillId="0" borderId="59" xfId="0" applyNumberFormat="1" applyFont="1" applyBorder="1" applyAlignment="1">
      <alignment horizontal="center" vertical="center"/>
    </xf>
    <xf numFmtId="2" fontId="36" fillId="0" borderId="0" xfId="0" applyNumberFormat="1" applyFont="1" applyAlignment="1">
      <alignment horizontal="center" vertical="center"/>
    </xf>
    <xf numFmtId="0" fontId="23" fillId="9" borderId="0" xfId="0" applyFont="1" applyFill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23" fillId="10" borderId="0" xfId="0" applyFont="1" applyFill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2" fillId="10" borderId="0" xfId="0" applyFont="1" applyFill="1" applyAlignment="1">
      <alignment horizontal="center" vertical="center" wrapText="1"/>
    </xf>
    <xf numFmtId="2" fontId="22" fillId="0" borderId="0" xfId="0" applyNumberFormat="1" applyFont="1" applyAlignment="1">
      <alignment horizontal="center" vertical="center" wrapText="1"/>
    </xf>
    <xf numFmtId="0" fontId="23" fillId="9" borderId="14" xfId="0" applyFont="1" applyFill="1" applyBorder="1" applyAlignment="1">
      <alignment horizontal="center" vertical="center" wrapText="1"/>
    </xf>
    <xf numFmtId="0" fontId="22" fillId="9" borderId="0" xfId="0" applyFont="1" applyFill="1" applyAlignment="1">
      <alignment horizontal="center" vertical="center" wrapText="1"/>
    </xf>
    <xf numFmtId="0" fontId="23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0" fillId="0" borderId="19" xfId="0" applyBorder="1" applyAlignment="1">
      <alignment horizontal="center" vertical="center"/>
    </xf>
    <xf numFmtId="2" fontId="26" fillId="0" borderId="12" xfId="0" applyNumberFormat="1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2" fontId="0" fillId="0" borderId="8" xfId="0" applyNumberFormat="1" applyBorder="1"/>
    <xf numFmtId="0" fontId="35" fillId="0" borderId="0" xfId="0" applyFont="1"/>
    <xf numFmtId="0" fontId="35" fillId="0" borderId="0" xfId="0" applyFont="1" applyAlignment="1">
      <alignment vertical="center"/>
    </xf>
    <xf numFmtId="0" fontId="22" fillId="0" borderId="1" xfId="0" applyFont="1" applyBorder="1" applyAlignment="1">
      <alignment horizontal="center" wrapText="1"/>
    </xf>
    <xf numFmtId="0" fontId="23" fillId="0" borderId="1" xfId="0" applyFont="1" applyBorder="1" applyAlignment="1">
      <alignment horizontal="center" wrapText="1"/>
    </xf>
    <xf numFmtId="0" fontId="0" fillId="0" borderId="0" xfId="0" applyAlignment="1">
      <alignment horizontal="right" wrapText="1"/>
    </xf>
    <xf numFmtId="2" fontId="29" fillId="0" borderId="1" xfId="0" applyNumberFormat="1" applyFont="1" applyBorder="1" applyAlignment="1">
      <alignment horizontal="center" vertical="center" wrapText="1"/>
    </xf>
    <xf numFmtId="0" fontId="23" fillId="17" borderId="0" xfId="0" applyFont="1" applyFill="1" applyAlignment="1">
      <alignment horizontal="center" wrapText="1"/>
    </xf>
    <xf numFmtId="0" fontId="23" fillId="11" borderId="10" xfId="0" applyFont="1" applyFill="1" applyBorder="1" applyAlignment="1">
      <alignment wrapText="1"/>
    </xf>
    <xf numFmtId="0" fontId="29" fillId="0" borderId="0" xfId="0" applyFont="1" applyAlignment="1">
      <alignment wrapText="1"/>
    </xf>
    <xf numFmtId="2" fontId="29" fillId="0" borderId="1" xfId="0" applyNumberFormat="1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/>
    <xf numFmtId="0" fontId="29" fillId="0" borderId="0" xfId="0" applyFont="1" applyAlignment="1">
      <alignment horizontal="center"/>
    </xf>
    <xf numFmtId="0" fontId="29" fillId="0" borderId="25" xfId="0" applyFont="1" applyBorder="1" applyAlignment="1">
      <alignment horizontal="center" vertical="center" wrapText="1"/>
    </xf>
    <xf numFmtId="0" fontId="29" fillId="0" borderId="26" xfId="0" applyFont="1" applyBorder="1" applyAlignment="1">
      <alignment horizontal="center" vertical="center" wrapText="1"/>
    </xf>
    <xf numFmtId="0" fontId="29" fillId="0" borderId="28" xfId="0" applyFont="1" applyBorder="1" applyAlignment="1">
      <alignment horizontal="center" vertical="center" wrapText="1"/>
    </xf>
    <xf numFmtId="0" fontId="29" fillId="0" borderId="15" xfId="0" applyFont="1" applyBorder="1" applyAlignment="1">
      <alignment horizontal="left" vertical="center"/>
    </xf>
    <xf numFmtId="0" fontId="29" fillId="0" borderId="28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26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29" fillId="0" borderId="31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0" fontId="29" fillId="0" borderId="1" xfId="0" applyFont="1" applyBorder="1" applyAlignment="1">
      <alignment wrapText="1"/>
    </xf>
    <xf numFmtId="1" fontId="29" fillId="0" borderId="1" xfId="0" applyNumberFormat="1" applyFont="1" applyBorder="1"/>
    <xf numFmtId="0" fontId="29" fillId="0" borderId="0" xfId="0" applyFont="1" applyAlignment="1">
      <alignment horizontal="left" vertical="top"/>
    </xf>
    <xf numFmtId="0" fontId="33" fillId="0" borderId="0" xfId="0" applyFont="1"/>
    <xf numFmtId="0" fontId="29" fillId="0" borderId="1" xfId="0" applyFont="1" applyBorder="1" applyAlignment="1">
      <alignment horizontal="left" vertical="center" wrapText="1"/>
    </xf>
    <xf numFmtId="166" fontId="29" fillId="0" borderId="0" xfId="0" applyNumberFormat="1" applyFont="1" applyAlignment="1">
      <alignment wrapText="1"/>
    </xf>
    <xf numFmtId="0" fontId="29" fillId="0" borderId="0" xfId="0" applyFont="1" applyAlignment="1">
      <alignment horizontal="center" wrapText="1"/>
    </xf>
    <xf numFmtId="0" fontId="29" fillId="0" borderId="11" xfId="0" applyFont="1" applyBorder="1" applyAlignment="1">
      <alignment horizontal="center" vertical="center" wrapText="1"/>
    </xf>
    <xf numFmtId="0" fontId="29" fillId="0" borderId="38" xfId="0" applyFont="1" applyBorder="1" applyAlignment="1">
      <alignment horizontal="center" vertical="center" wrapText="1"/>
    </xf>
    <xf numFmtId="0" fontId="33" fillId="0" borderId="41" xfId="0" applyFont="1" applyBorder="1" applyAlignment="1">
      <alignment horizontal="center" vertical="center" wrapText="1"/>
    </xf>
    <xf numFmtId="0" fontId="29" fillId="0" borderId="42" xfId="0" applyFont="1" applyBorder="1" applyAlignment="1">
      <alignment horizontal="center" vertical="center"/>
    </xf>
    <xf numFmtId="2" fontId="29" fillId="0" borderId="42" xfId="0" applyNumberFormat="1" applyFont="1" applyBorder="1" applyAlignment="1">
      <alignment horizontal="center" vertical="center"/>
    </xf>
    <xf numFmtId="2" fontId="29" fillId="0" borderId="40" xfId="0" applyNumberFormat="1" applyFont="1" applyBorder="1" applyAlignment="1">
      <alignment horizontal="center" vertical="center"/>
    </xf>
    <xf numFmtId="2" fontId="29" fillId="0" borderId="8" xfId="0" applyNumberFormat="1" applyFont="1" applyBorder="1" applyAlignment="1">
      <alignment horizontal="center" vertical="center"/>
    </xf>
    <xf numFmtId="0" fontId="29" fillId="0" borderId="1" xfId="0" applyFont="1" applyBorder="1" applyAlignment="1">
      <alignment shrinkToFit="1"/>
    </xf>
    <xf numFmtId="0" fontId="41" fillId="0" borderId="0" xfId="0" applyFont="1" applyAlignment="1">
      <alignment vertical="center"/>
    </xf>
    <xf numFmtId="0" fontId="29" fillId="0" borderId="0" xfId="0" applyFont="1" applyAlignment="1">
      <alignment horizontal="right"/>
    </xf>
    <xf numFmtId="2" fontId="29" fillId="0" borderId="0" xfId="723" applyNumberFormat="1" applyFont="1" applyAlignment="1">
      <alignment horizontal="center" vertical="center" wrapText="1"/>
    </xf>
    <xf numFmtId="2" fontId="29" fillId="0" borderId="0" xfId="723" applyNumberFormat="1" applyFont="1"/>
    <xf numFmtId="166" fontId="23" fillId="0" borderId="0" xfId="6" applyNumberFormat="1"/>
    <xf numFmtId="0" fontId="23" fillId="0" borderId="0" xfId="6" applyAlignment="1">
      <alignment horizontal="center"/>
    </xf>
    <xf numFmtId="0" fontId="23" fillId="0" borderId="0" xfId="6" applyAlignment="1">
      <alignment horizontal="center" vertical="center"/>
    </xf>
    <xf numFmtId="0" fontId="51" fillId="0" borderId="1" xfId="0" applyFont="1" applyBorder="1" applyAlignment="1">
      <alignment horizontal="left" vertical="center"/>
    </xf>
    <xf numFmtId="0" fontId="49" fillId="0" borderId="0" xfId="6" applyFont="1"/>
    <xf numFmtId="0" fontId="33" fillId="0" borderId="1" xfId="0" applyFont="1" applyBorder="1" applyAlignment="1">
      <alignment horizontal="center"/>
    </xf>
    <xf numFmtId="0" fontId="29" fillId="0" borderId="1" xfId="0" applyFont="1" applyBorder="1" applyAlignment="1">
      <alignment horizontal="center" wrapText="1"/>
    </xf>
    <xf numFmtId="1" fontId="29" fillId="0" borderId="0" xfId="0" applyNumberFormat="1" applyFont="1" applyAlignment="1">
      <alignment horizontal="center"/>
    </xf>
    <xf numFmtId="1" fontId="29" fillId="0" borderId="0" xfId="0" applyNumberFormat="1" applyFont="1" applyAlignment="1">
      <alignment horizontal="center" vertical="center"/>
    </xf>
    <xf numFmtId="0" fontId="53" fillId="0" borderId="63" xfId="0" applyFont="1" applyBorder="1" applyAlignment="1">
      <alignment vertical="center"/>
    </xf>
    <xf numFmtId="0" fontId="55" fillId="0" borderId="10" xfId="0" applyFont="1" applyBorder="1" applyAlignment="1">
      <alignment horizontal="center" vertical="center" wrapText="1"/>
    </xf>
    <xf numFmtId="0" fontId="29" fillId="0" borderId="0" xfId="0" applyFont="1" applyAlignment="1">
      <alignment vertical="top" wrapText="1"/>
    </xf>
    <xf numFmtId="167" fontId="29" fillId="0" borderId="0" xfId="0" applyNumberFormat="1" applyFont="1"/>
    <xf numFmtId="167" fontId="26" fillId="0" borderId="1" xfId="0" applyNumberFormat="1" applyFont="1" applyBorder="1"/>
    <xf numFmtId="167" fontId="26" fillId="0" borderId="0" xfId="0" applyNumberFormat="1" applyFont="1"/>
    <xf numFmtId="0" fontId="59" fillId="0" borderId="0" xfId="0" applyFont="1"/>
    <xf numFmtId="2" fontId="59" fillId="0" borderId="0" xfId="0" applyNumberFormat="1" applyFont="1"/>
    <xf numFmtId="0" fontId="59" fillId="0" borderId="1" xfId="0" applyFont="1" applyBorder="1"/>
    <xf numFmtId="0" fontId="59" fillId="0" borderId="1" xfId="0" applyFont="1" applyBorder="1" applyAlignment="1">
      <alignment vertical="top" wrapText="1"/>
    </xf>
    <xf numFmtId="0" fontId="59" fillId="0" borderId="8" xfId="0" applyFont="1" applyBorder="1"/>
    <xf numFmtId="0" fontId="29" fillId="0" borderId="0" xfId="1556" applyFont="1"/>
    <xf numFmtId="2" fontId="29" fillId="0" borderId="0" xfId="1556" applyNumberFormat="1" applyFont="1"/>
    <xf numFmtId="0" fontId="18" fillId="0" borderId="0" xfId="1557"/>
    <xf numFmtId="0" fontId="40" fillId="0" borderId="0" xfId="1557" applyFont="1"/>
    <xf numFmtId="0" fontId="61" fillId="0" borderId="0" xfId="0" applyFont="1" applyAlignment="1">
      <alignment vertical="center" wrapText="1"/>
    </xf>
    <xf numFmtId="0" fontId="62" fillId="0" borderId="0" xfId="0" applyFont="1" applyAlignment="1">
      <alignment horizontal="left" vertical="center" wrapText="1"/>
    </xf>
    <xf numFmtId="0" fontId="0" fillId="6" borderId="1" xfId="0" applyFill="1" applyBorder="1" applyAlignment="1">
      <alignment horizontal="left" vertical="center" wrapText="1"/>
    </xf>
    <xf numFmtId="0" fontId="46" fillId="0" borderId="0" xfId="0" applyFont="1" applyAlignment="1">
      <alignment vertical="center"/>
    </xf>
    <xf numFmtId="2" fontId="22" fillId="0" borderId="0" xfId="0" applyNumberFormat="1" applyFont="1" applyAlignment="1">
      <alignment vertical="top" wrapText="1"/>
    </xf>
    <xf numFmtId="0" fontId="65" fillId="9" borderId="0" xfId="0" applyFont="1" applyFill="1" applyAlignment="1">
      <alignment horizontal="center" vertical="center" wrapText="1"/>
    </xf>
    <xf numFmtId="0" fontId="0" fillId="18" borderId="0" xfId="0" applyFill="1" applyAlignment="1">
      <alignment horizontal="center" vertical="center" wrapText="1"/>
    </xf>
    <xf numFmtId="0" fontId="23" fillId="18" borderId="0" xfId="0" applyFont="1" applyFill="1" applyAlignment="1">
      <alignment horizontal="center" vertical="center" wrapText="1"/>
    </xf>
    <xf numFmtId="2" fontId="0" fillId="18" borderId="0" xfId="0" applyNumberFormat="1" applyFill="1"/>
    <xf numFmtId="2" fontId="29" fillId="18" borderId="0" xfId="996" applyNumberFormat="1" applyFont="1" applyFill="1"/>
    <xf numFmtId="0" fontId="36" fillId="0" borderId="0" xfId="0" applyFont="1"/>
    <xf numFmtId="2" fontId="36" fillId="0" borderId="0" xfId="0" applyNumberFormat="1" applyFont="1"/>
    <xf numFmtId="2" fontId="0" fillId="6" borderId="0" xfId="0" applyNumberFormat="1" applyFill="1" applyAlignment="1">
      <alignment horizontal="center" vertical="center"/>
    </xf>
    <xf numFmtId="0" fontId="0" fillId="0" borderId="4" xfId="0" applyBorder="1"/>
    <xf numFmtId="2" fontId="0" fillId="0" borderId="5" xfId="0" applyNumberFormat="1" applyBorder="1"/>
    <xf numFmtId="0" fontId="0" fillId="6" borderId="45" xfId="0" applyFill="1" applyBorder="1" applyAlignment="1">
      <alignment horizontal="center" vertical="center"/>
    </xf>
    <xf numFmtId="9" fontId="60" fillId="0" borderId="0" xfId="1554" applyFont="1" applyAlignment="1">
      <alignment horizontal="left"/>
    </xf>
    <xf numFmtId="0" fontId="0" fillId="0" borderId="0" xfId="0" applyAlignment="1">
      <alignment horizontal="left"/>
    </xf>
    <xf numFmtId="0" fontId="26" fillId="5" borderId="2" xfId="0" applyFont="1" applyFill="1" applyBorder="1"/>
    <xf numFmtId="0" fontId="0" fillId="5" borderId="50" xfId="0" applyFill="1" applyBorder="1"/>
    <xf numFmtId="0" fontId="0" fillId="5" borderId="3" xfId="0" applyFill="1" applyBorder="1"/>
    <xf numFmtId="0" fontId="26" fillId="18" borderId="4" xfId="0" applyFont="1" applyFill="1" applyBorder="1" applyAlignment="1">
      <alignment horizontal="left"/>
    </xf>
    <xf numFmtId="0" fontId="0" fillId="18" borderId="0" xfId="0" applyFill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4" xfId="0" applyBorder="1" applyAlignment="1">
      <alignment horizontal="left" wrapText="1"/>
    </xf>
    <xf numFmtId="0" fontId="0" fillId="0" borderId="0" xfId="0" applyAlignment="1">
      <alignment horizontal="left" wrapText="1"/>
    </xf>
    <xf numFmtId="0" fontId="26" fillId="0" borderId="4" xfId="0" applyFont="1" applyBorder="1" applyAlignment="1">
      <alignment horizontal="left" wrapText="1"/>
    </xf>
    <xf numFmtId="0" fontId="0" fillId="18" borderId="5" xfId="0" applyFill="1" applyBorder="1"/>
    <xf numFmtId="0" fontId="33" fillId="0" borderId="6" xfId="0" applyFont="1" applyBorder="1" applyAlignment="1">
      <alignment horizontal="left" wrapText="1"/>
    </xf>
    <xf numFmtId="0" fontId="0" fillId="5" borderId="2" xfId="0" applyFill="1" applyBorder="1" applyAlignment="1">
      <alignment horizontal="left"/>
    </xf>
    <xf numFmtId="0" fontId="26" fillId="5" borderId="50" xfId="0" applyFont="1" applyFill="1" applyBorder="1" applyAlignment="1">
      <alignment horizontal="left" wrapText="1"/>
    </xf>
    <xf numFmtId="0" fontId="26" fillId="5" borderId="3" xfId="0" applyFont="1" applyFill="1" applyBorder="1" applyAlignment="1">
      <alignment horizontal="left" wrapText="1"/>
    </xf>
    <xf numFmtId="2" fontId="34" fillId="6" borderId="0" xfId="6" applyNumberFormat="1" applyFont="1" applyFill="1" applyAlignment="1">
      <alignment horizontal="center" vertical="center"/>
    </xf>
    <xf numFmtId="0" fontId="33" fillId="6" borderId="2" xfId="0" applyFont="1" applyFill="1" applyBorder="1" applyAlignment="1">
      <alignment horizontal="center" vertical="center"/>
    </xf>
    <xf numFmtId="0" fontId="33" fillId="6" borderId="50" xfId="0" applyFont="1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33" fillId="6" borderId="2" xfId="0" applyFont="1" applyFill="1" applyBorder="1" applyAlignment="1">
      <alignment horizontal="center" vertical="center" wrapText="1"/>
    </xf>
    <xf numFmtId="0" fontId="0" fillId="6" borderId="50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34" fillId="6" borderId="45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2" fontId="0" fillId="6" borderId="5" xfId="0" applyNumberFormat="1" applyFill="1" applyBorder="1" applyAlignment="1">
      <alignment horizontal="center" vertical="center"/>
    </xf>
    <xf numFmtId="0" fontId="0" fillId="6" borderId="6" xfId="0" applyFill="1" applyBorder="1" applyAlignment="1">
      <alignment horizontal="left" vertical="center" wrapText="1"/>
    </xf>
    <xf numFmtId="0" fontId="0" fillId="6" borderId="45" xfId="0" applyFill="1" applyBorder="1" applyAlignment="1">
      <alignment horizontal="left" vertical="center"/>
    </xf>
    <xf numFmtId="0" fontId="0" fillId="6" borderId="4" xfId="0" applyFill="1" applyBorder="1" applyAlignment="1">
      <alignment horizontal="left" vertical="center" wrapText="1"/>
    </xf>
    <xf numFmtId="0" fontId="0" fillId="6" borderId="0" xfId="0" applyFill="1" applyAlignment="1">
      <alignment horizontal="left" vertical="center"/>
    </xf>
    <xf numFmtId="2" fontId="29" fillId="6" borderId="0" xfId="6" applyNumberFormat="1" applyFont="1" applyFill="1" applyAlignment="1">
      <alignment horizontal="center" vertical="center"/>
    </xf>
    <xf numFmtId="0" fontId="36" fillId="6" borderId="57" xfId="0" applyFont="1" applyFill="1" applyBorder="1" applyAlignment="1">
      <alignment horizontal="center" vertical="center"/>
    </xf>
    <xf numFmtId="0" fontId="36" fillId="6" borderId="53" xfId="0" applyFont="1" applyFill="1" applyBorder="1" applyAlignment="1">
      <alignment horizontal="center" vertical="center"/>
    </xf>
    <xf numFmtId="0" fontId="69" fillId="6" borderId="52" xfId="0" applyFont="1" applyFill="1" applyBorder="1" applyAlignment="1">
      <alignment horizontal="center" vertical="center"/>
    </xf>
    <xf numFmtId="0" fontId="33" fillId="6" borderId="71" xfId="0" applyFont="1" applyFill="1" applyBorder="1" applyAlignment="1">
      <alignment horizontal="center" vertical="center"/>
    </xf>
    <xf numFmtId="0" fontId="0" fillId="6" borderId="71" xfId="0" applyFill="1" applyBorder="1" applyAlignment="1">
      <alignment horizontal="center" vertical="center"/>
    </xf>
    <xf numFmtId="0" fontId="36" fillId="6" borderId="70" xfId="0" applyFont="1" applyFill="1" applyBorder="1" applyAlignment="1">
      <alignment horizontal="center" vertical="center"/>
    </xf>
    <xf numFmtId="0" fontId="0" fillId="6" borderId="66" xfId="0" applyFill="1" applyBorder="1" applyAlignment="1">
      <alignment horizontal="center" vertical="center"/>
    </xf>
    <xf numFmtId="0" fontId="0" fillId="6" borderId="69" xfId="0" applyFill="1" applyBorder="1" applyAlignment="1">
      <alignment horizontal="center" vertical="center"/>
    </xf>
    <xf numFmtId="0" fontId="29" fillId="6" borderId="45" xfId="0" applyFont="1" applyFill="1" applyBorder="1" applyAlignment="1">
      <alignment horizontal="center" vertical="center"/>
    </xf>
    <xf numFmtId="1" fontId="34" fillId="6" borderId="66" xfId="6" applyNumberFormat="1" applyFont="1" applyFill="1" applyBorder="1" applyAlignment="1">
      <alignment horizontal="center" vertical="center"/>
    </xf>
    <xf numFmtId="0" fontId="33" fillId="6" borderId="4" xfId="0" applyFont="1" applyFill="1" applyBorder="1" applyAlignment="1">
      <alignment horizontal="left" vertical="center" wrapText="1"/>
    </xf>
    <xf numFmtId="0" fontId="0" fillId="14" borderId="28" xfId="0" applyFill="1" applyBorder="1" applyAlignment="1" applyProtection="1">
      <alignment horizontal="center" vertical="center" wrapText="1"/>
      <protection locked="0"/>
    </xf>
    <xf numFmtId="0" fontId="0" fillId="14" borderId="26" xfId="0" applyFill="1" applyBorder="1" applyAlignment="1" applyProtection="1">
      <alignment horizontal="center" vertical="center"/>
      <protection locked="0"/>
    </xf>
    <xf numFmtId="1" fontId="0" fillId="14" borderId="1" xfId="0" applyNumberFormat="1" applyFill="1" applyBorder="1" applyAlignment="1" applyProtection="1">
      <alignment horizontal="center" vertical="center"/>
      <protection locked="0"/>
    </xf>
    <xf numFmtId="2" fontId="0" fillId="14" borderId="28" xfId="0" applyNumberFormat="1" applyFill="1" applyBorder="1" applyAlignment="1" applyProtection="1">
      <alignment horizontal="center" vertical="center"/>
      <protection locked="0"/>
    </xf>
    <xf numFmtId="2" fontId="0" fillId="14" borderId="36" xfId="0" applyNumberFormat="1" applyFill="1" applyBorder="1" applyAlignment="1" applyProtection="1">
      <alignment horizontal="center" vertical="center"/>
      <protection locked="0"/>
    </xf>
    <xf numFmtId="2" fontId="0" fillId="14" borderId="1" xfId="0" applyNumberFormat="1" applyFill="1" applyBorder="1" applyAlignment="1" applyProtection="1">
      <alignment horizontal="center" vertical="center"/>
      <protection locked="0"/>
    </xf>
    <xf numFmtId="10" fontId="0" fillId="14" borderId="1" xfId="0" applyNumberForma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0" fillId="19" borderId="0" xfId="0" applyFill="1"/>
    <xf numFmtId="0" fontId="29" fillId="19" borderId="0" xfId="0" applyFont="1" applyFill="1"/>
    <xf numFmtId="2" fontId="33" fillId="0" borderId="2" xfId="723" applyNumberFormat="1" applyFont="1" applyBorder="1" applyAlignment="1">
      <alignment vertical="center" wrapText="1"/>
    </xf>
    <xf numFmtId="2" fontId="33" fillId="0" borderId="50" xfId="723" applyNumberFormat="1" applyFont="1" applyBorder="1" applyAlignment="1">
      <alignment vertical="center" wrapText="1"/>
    </xf>
    <xf numFmtId="2" fontId="33" fillId="0" borderId="3" xfId="723" applyNumberFormat="1" applyFont="1" applyBorder="1" applyAlignment="1">
      <alignment vertical="center" wrapText="1"/>
    </xf>
    <xf numFmtId="2" fontId="29" fillId="0" borderId="4" xfId="1556" applyNumberFormat="1" applyFont="1" applyBorder="1"/>
    <xf numFmtId="2" fontId="29" fillId="0" borderId="5" xfId="1556" applyNumberFormat="1" applyFont="1" applyBorder="1" applyAlignment="1">
      <alignment horizontal="center"/>
    </xf>
    <xf numFmtId="2" fontId="29" fillId="0" borderId="4" xfId="723" applyNumberFormat="1" applyFont="1" applyBorder="1"/>
    <xf numFmtId="2" fontId="29" fillId="0" borderId="5" xfId="723" applyNumberFormat="1" applyFont="1" applyBorder="1" applyAlignment="1">
      <alignment horizontal="center"/>
    </xf>
    <xf numFmtId="2" fontId="29" fillId="0" borderId="4" xfId="0" applyNumberFormat="1" applyFont="1" applyBorder="1"/>
    <xf numFmtId="2" fontId="29" fillId="0" borderId="5" xfId="0" applyNumberFormat="1" applyFont="1" applyBorder="1" applyAlignment="1">
      <alignment horizontal="center"/>
    </xf>
    <xf numFmtId="2" fontId="29" fillId="0" borderId="5" xfId="723" applyNumberFormat="1" applyFont="1" applyBorder="1"/>
    <xf numFmtId="2" fontId="29" fillId="0" borderId="2" xfId="723" applyNumberFormat="1" applyFont="1" applyBorder="1" applyAlignment="1">
      <alignment horizontal="center" vertical="center" wrapText="1"/>
    </xf>
    <xf numFmtId="2" fontId="33" fillId="0" borderId="5" xfId="723" applyNumberFormat="1" applyFont="1" applyBorder="1" applyAlignment="1">
      <alignment horizontal="center" vertical="center"/>
    </xf>
    <xf numFmtId="2" fontId="29" fillId="0" borderId="5" xfId="1556" applyNumberFormat="1" applyFont="1" applyBorder="1" applyAlignment="1">
      <alignment horizontal="center" vertical="center"/>
    </xf>
    <xf numFmtId="2" fontId="29" fillId="0" borderId="5" xfId="723" applyNumberFormat="1" applyFont="1" applyBorder="1" applyAlignment="1">
      <alignment horizontal="center" vertical="center"/>
    </xf>
    <xf numFmtId="2" fontId="29" fillId="0" borderId="5" xfId="0" applyNumberFormat="1" applyFont="1" applyBorder="1" applyAlignment="1">
      <alignment horizontal="center" vertical="center"/>
    </xf>
    <xf numFmtId="2" fontId="29" fillId="6" borderId="4" xfId="723" applyNumberFormat="1" applyFont="1" applyFill="1" applyBorder="1"/>
    <xf numFmtId="0" fontId="29" fillId="6" borderId="4" xfId="0" applyFont="1" applyFill="1" applyBorder="1"/>
    <xf numFmtId="1" fontId="0" fillId="6" borderId="0" xfId="0" applyNumberFormat="1" applyFill="1"/>
    <xf numFmtId="0" fontId="68" fillId="18" borderId="4" xfId="0" applyFont="1" applyFill="1" applyBorder="1"/>
    <xf numFmtId="166" fontId="0" fillId="0" borderId="1" xfId="0" applyNumberFormat="1" applyBorder="1"/>
    <xf numFmtId="0" fontId="58" fillId="5" borderId="1" xfId="1556" applyFill="1" applyBorder="1" applyAlignment="1">
      <alignment horizontal="left" vertical="center" wrapText="1"/>
    </xf>
    <xf numFmtId="0" fontId="58" fillId="5" borderId="1" xfId="1556" applyFill="1" applyBorder="1" applyAlignment="1">
      <alignment horizontal="center" vertical="center"/>
    </xf>
    <xf numFmtId="0" fontId="58" fillId="0" borderId="0" xfId="1556" applyAlignment="1">
      <alignment vertical="center"/>
    </xf>
    <xf numFmtId="0" fontId="58" fillId="0" borderId="1" xfId="1556" applyBorder="1" applyAlignment="1">
      <alignment horizontal="center" wrapText="1"/>
    </xf>
    <xf numFmtId="0" fontId="58" fillId="0" borderId="0" xfId="1556"/>
    <xf numFmtId="0" fontId="58" fillId="0" borderId="1" xfId="1556" applyBorder="1"/>
    <xf numFmtId="2" fontId="58" fillId="0" borderId="1" xfId="1556" applyNumberFormat="1" applyBorder="1"/>
    <xf numFmtId="166" fontId="58" fillId="0" borderId="1" xfId="1556" applyNumberFormat="1" applyBorder="1"/>
    <xf numFmtId="0" fontId="39" fillId="18" borderId="4" xfId="0" applyFont="1" applyFill="1" applyBorder="1"/>
    <xf numFmtId="0" fontId="22" fillId="6" borderId="0" xfId="6" applyFont="1" applyFill="1"/>
    <xf numFmtId="0" fontId="26" fillId="18" borderId="4" xfId="0" applyFont="1" applyFill="1" applyBorder="1" applyAlignment="1">
      <alignment horizontal="left" vertical="top"/>
    </xf>
    <xf numFmtId="0" fontId="26" fillId="18" borderId="0" xfId="0" applyFont="1" applyFill="1" applyAlignment="1">
      <alignment horizontal="left" vertical="top"/>
    </xf>
    <xf numFmtId="0" fontId="26" fillId="18" borderId="0" xfId="0" applyFont="1" applyFill="1" applyAlignment="1">
      <alignment vertical="top"/>
    </xf>
    <xf numFmtId="0" fontId="26" fillId="18" borderId="5" xfId="0" applyFont="1" applyFill="1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0" xfId="0" applyAlignment="1">
      <alignment vertical="top"/>
    </xf>
    <xf numFmtId="0" fontId="26" fillId="0" borderId="0" xfId="0" applyFont="1" applyAlignment="1">
      <alignment vertical="top"/>
    </xf>
    <xf numFmtId="0" fontId="0" fillId="0" borderId="6" xfId="0" applyBorder="1" applyAlignment="1">
      <alignment vertical="top"/>
    </xf>
    <xf numFmtId="0" fontId="0" fillId="0" borderId="45" xfId="0" applyBorder="1" applyAlignment="1">
      <alignment vertical="top"/>
    </xf>
    <xf numFmtId="0" fontId="26" fillId="18" borderId="5" xfId="0" applyFont="1" applyFill="1" applyBorder="1" applyAlignment="1">
      <alignment horizontal="right" vertical="top"/>
    </xf>
    <xf numFmtId="167" fontId="0" fillId="0" borderId="7" xfId="0" applyNumberFormat="1" applyBorder="1" applyAlignment="1">
      <alignment vertical="top"/>
    </xf>
    <xf numFmtId="168" fontId="26" fillId="0" borderId="0" xfId="1833" applyNumberFormat="1" applyFont="1" applyAlignment="1">
      <alignment horizontal="left"/>
    </xf>
    <xf numFmtId="168" fontId="26" fillId="0" borderId="5" xfId="1833" applyNumberFormat="1" applyFont="1" applyBorder="1" applyAlignment="1">
      <alignment horizontal="left"/>
    </xf>
    <xf numFmtId="168" fontId="33" fillId="0" borderId="45" xfId="1833" applyNumberFormat="1" applyFont="1" applyBorder="1" applyAlignment="1">
      <alignment horizontal="left"/>
    </xf>
    <xf numFmtId="168" fontId="26" fillId="0" borderId="7" xfId="1833" applyNumberFormat="1" applyFont="1" applyBorder="1" applyAlignment="1">
      <alignment horizontal="left"/>
    </xf>
    <xf numFmtId="168" fontId="0" fillId="0" borderId="0" xfId="1833" applyNumberFormat="1" applyFont="1" applyAlignment="1">
      <alignment horizontal="left"/>
    </xf>
    <xf numFmtId="168" fontId="0" fillId="0" borderId="5" xfId="1833" applyNumberFormat="1" applyFont="1" applyBorder="1" applyAlignment="1">
      <alignment horizontal="left"/>
    </xf>
    <xf numFmtId="168" fontId="18" fillId="0" borderId="0" xfId="1833" applyNumberFormat="1" applyFont="1" applyAlignment="1">
      <alignment horizontal="left"/>
    </xf>
    <xf numFmtId="169" fontId="0" fillId="0" borderId="7" xfId="0" applyNumberFormat="1" applyBorder="1" applyAlignment="1">
      <alignment vertical="top"/>
    </xf>
    <xf numFmtId="170" fontId="0" fillId="0" borderId="0" xfId="1833" applyNumberFormat="1" applyFont="1" applyAlignment="1">
      <alignment vertical="top"/>
    </xf>
    <xf numFmtId="170" fontId="0" fillId="0" borderId="5" xfId="1833" applyNumberFormat="1" applyFont="1" applyBorder="1"/>
    <xf numFmtId="170" fontId="68" fillId="0" borderId="0" xfId="0" applyNumberFormat="1" applyFont="1" applyAlignment="1">
      <alignment vertical="top"/>
    </xf>
    <xf numFmtId="170" fontId="68" fillId="0" borderId="5" xfId="0" applyNumberFormat="1" applyFont="1" applyBorder="1" applyAlignment="1">
      <alignment vertical="top"/>
    </xf>
    <xf numFmtId="170" fontId="0" fillId="0" borderId="45" xfId="0" applyNumberFormat="1" applyBorder="1" applyAlignment="1">
      <alignment vertical="top"/>
    </xf>
    <xf numFmtId="2" fontId="22" fillId="0" borderId="52" xfId="0" applyNumberFormat="1" applyFont="1" applyBorder="1" applyAlignment="1">
      <alignment horizontal="center" vertical="center" wrapText="1"/>
    </xf>
    <xf numFmtId="2" fontId="22" fillId="0" borderId="57" xfId="0" applyNumberFormat="1" applyFont="1" applyBorder="1" applyAlignment="1">
      <alignment horizontal="center" vertical="center" wrapText="1"/>
    </xf>
    <xf numFmtId="1" fontId="36" fillId="0" borderId="53" xfId="0" applyNumberFormat="1" applyFont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6" borderId="0" xfId="0" applyFill="1" applyAlignment="1">
      <alignment horizontal="center" vertical="center" wrapText="1"/>
    </xf>
    <xf numFmtId="0" fontId="26" fillId="5" borderId="0" xfId="0" applyFont="1" applyFill="1" applyAlignment="1">
      <alignment horizontal="center" vertical="center" wrapText="1"/>
    </xf>
    <xf numFmtId="2" fontId="0" fillId="5" borderId="0" xfId="0" applyNumberFormat="1" applyFill="1" applyAlignment="1">
      <alignment horizontal="center" vertical="center"/>
    </xf>
    <xf numFmtId="0" fontId="0" fillId="0" borderId="25" xfId="0" applyBorder="1" applyAlignment="1">
      <alignment horizontal="center" vertical="center" wrapText="1"/>
    </xf>
    <xf numFmtId="0" fontId="29" fillId="0" borderId="1" xfId="1" applyFont="1" applyFill="1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6" borderId="53" xfId="0" applyFill="1" applyBorder="1" applyAlignment="1">
      <alignment horizontal="center" vertical="center"/>
    </xf>
    <xf numFmtId="14" fontId="29" fillId="0" borderId="0" xfId="0" applyNumberFormat="1" applyFont="1" applyAlignment="1">
      <alignment horizontal="center" vertical="center"/>
    </xf>
    <xf numFmtId="0" fontId="0" fillId="0" borderId="3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6" borderId="50" xfId="0" applyFill="1" applyBorder="1" applyAlignment="1">
      <alignment horizontal="center" vertical="center" wrapText="1"/>
    </xf>
    <xf numFmtId="0" fontId="26" fillId="6" borderId="0" xfId="0" applyFont="1" applyFill="1" applyAlignment="1">
      <alignment horizontal="center" vertical="center"/>
    </xf>
    <xf numFmtId="0" fontId="0" fillId="6" borderId="36" xfId="0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20" fillId="6" borderId="0" xfId="0" applyFont="1" applyFill="1" applyAlignment="1">
      <alignment horizontal="center" vertical="center"/>
    </xf>
    <xf numFmtId="0" fontId="70" fillId="6" borderId="0" xfId="1556" applyFont="1" applyFill="1" applyAlignment="1">
      <alignment horizontal="center" vertical="center"/>
    </xf>
    <xf numFmtId="0" fontId="0" fillId="0" borderId="25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2" fontId="29" fillId="0" borderId="31" xfId="0" applyNumberFormat="1" applyFont="1" applyBorder="1" applyAlignment="1">
      <alignment horizontal="center" vertical="center"/>
    </xf>
    <xf numFmtId="0" fontId="0" fillId="6" borderId="57" xfId="0" applyFill="1" applyBorder="1" applyAlignment="1">
      <alignment horizontal="center" vertical="center" wrapText="1"/>
    </xf>
    <xf numFmtId="0" fontId="72" fillId="6" borderId="0" xfId="0" applyFont="1" applyFill="1" applyAlignment="1">
      <alignment horizontal="center" vertical="center"/>
    </xf>
    <xf numFmtId="0" fontId="0" fillId="0" borderId="40" xfId="0" applyBorder="1" applyAlignment="1">
      <alignment horizontal="center" vertical="center" wrapText="1"/>
    </xf>
    <xf numFmtId="0" fontId="73" fillId="6" borderId="0" xfId="1556" applyFont="1" applyFill="1"/>
    <xf numFmtId="0" fontId="73" fillId="6" borderId="0" xfId="1556" applyFont="1" applyFill="1" applyAlignment="1">
      <alignment horizontal="center" vertical="center" wrapText="1"/>
    </xf>
    <xf numFmtId="0" fontId="73" fillId="6" borderId="0" xfId="1556" applyFont="1" applyFill="1" applyAlignment="1">
      <alignment horizontal="center" vertical="center"/>
    </xf>
    <xf numFmtId="0" fontId="40" fillId="6" borderId="0" xfId="0" applyFont="1" applyFill="1" applyAlignment="1">
      <alignment horizontal="center" vertical="center"/>
    </xf>
    <xf numFmtId="0" fontId="0" fillId="4" borderId="1" xfId="0" applyFill="1" applyBorder="1"/>
    <xf numFmtId="0" fontId="29" fillId="4" borderId="21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8" xfId="0" applyFill="1" applyBorder="1"/>
    <xf numFmtId="0" fontId="29" fillId="4" borderId="11" xfId="0" applyFont="1" applyFill="1" applyBorder="1" applyAlignment="1">
      <alignment horizontal="center" vertical="center"/>
    </xf>
    <xf numFmtId="0" fontId="29" fillId="6" borderId="0" xfId="0" applyFont="1" applyFill="1" applyAlignment="1">
      <alignment horizontal="center" vertical="center"/>
    </xf>
    <xf numFmtId="0" fontId="72" fillId="6" borderId="0" xfId="0" applyFont="1" applyFill="1" applyAlignment="1">
      <alignment horizontal="center" vertical="center" wrapText="1"/>
    </xf>
    <xf numFmtId="0" fontId="74" fillId="6" borderId="0" xfId="0" applyFont="1" applyFill="1" applyAlignment="1">
      <alignment horizontal="center" vertical="center"/>
    </xf>
    <xf numFmtId="0" fontId="26" fillId="6" borderId="4" xfId="0" applyFont="1" applyFill="1" applyBorder="1" applyAlignment="1">
      <alignment horizontal="center" vertical="center"/>
    </xf>
    <xf numFmtId="0" fontId="29" fillId="6" borderId="0" xfId="0" applyFont="1" applyFill="1" applyAlignment="1">
      <alignment horizontal="center" vertical="center" wrapText="1"/>
    </xf>
    <xf numFmtId="0" fontId="32" fillId="6" borderId="0" xfId="0" applyFont="1" applyFill="1" applyAlignment="1">
      <alignment horizontal="center" vertical="center" wrapText="1"/>
    </xf>
    <xf numFmtId="0" fontId="29" fillId="6" borderId="1" xfId="0" applyFont="1" applyFill="1" applyBorder="1"/>
    <xf numFmtId="0" fontId="29" fillId="6" borderId="1" xfId="0" applyFont="1" applyFill="1" applyBorder="1" applyAlignment="1">
      <alignment wrapText="1"/>
    </xf>
    <xf numFmtId="0" fontId="75" fillId="6" borderId="0" xfId="0" applyFont="1" applyFill="1" applyAlignment="1">
      <alignment horizontal="center" vertical="center"/>
    </xf>
    <xf numFmtId="165" fontId="70" fillId="6" borderId="0" xfId="1556" applyNumberFormat="1" applyFont="1" applyFill="1" applyAlignment="1">
      <alignment horizontal="center" vertical="center"/>
    </xf>
    <xf numFmtId="0" fontId="29" fillId="0" borderId="0" xfId="0" applyFont="1" applyAlignment="1">
      <alignment horizontal="left"/>
    </xf>
    <xf numFmtId="0" fontId="26" fillId="5" borderId="2" xfId="0" applyFont="1" applyFill="1" applyBorder="1" applyAlignment="1">
      <alignment horizontal="left"/>
    </xf>
    <xf numFmtId="0" fontId="0" fillId="0" borderId="6" xfId="0" applyBorder="1" applyAlignment="1">
      <alignment horizontal="left" wrapText="1"/>
    </xf>
    <xf numFmtId="2" fontId="0" fillId="0" borderId="0" xfId="0" applyNumberFormat="1" applyAlignment="1">
      <alignment wrapText="1"/>
    </xf>
    <xf numFmtId="0" fontId="26" fillId="5" borderId="50" xfId="0" applyFont="1" applyFill="1" applyBorder="1" applyAlignment="1">
      <alignment horizontal="left"/>
    </xf>
    <xf numFmtId="2" fontId="0" fillId="0" borderId="4" xfId="0" applyNumberFormat="1" applyBorder="1"/>
    <xf numFmtId="2" fontId="0" fillId="0" borderId="4" xfId="0" applyNumberFormat="1" applyBorder="1" applyAlignment="1">
      <alignment wrapText="1"/>
    </xf>
    <xf numFmtId="2" fontId="0" fillId="0" borderId="6" xfId="0" applyNumberFormat="1" applyBorder="1"/>
    <xf numFmtId="2" fontId="0" fillId="0" borderId="45" xfId="0" applyNumberFormat="1" applyBorder="1"/>
    <xf numFmtId="2" fontId="0" fillId="0" borderId="7" xfId="0" applyNumberFormat="1" applyBorder="1"/>
    <xf numFmtId="0" fontId="26" fillId="0" borderId="4" xfId="0" applyFont="1" applyBorder="1" applyAlignment="1">
      <alignment horizontal="left"/>
    </xf>
    <xf numFmtId="0" fontId="0" fillId="0" borderId="5" xfId="0" applyBorder="1"/>
    <xf numFmtId="0" fontId="26" fillId="0" borderId="0" xfId="0" applyFont="1" applyAlignment="1">
      <alignment horizontal="left"/>
    </xf>
    <xf numFmtId="0" fontId="76" fillId="6" borderId="0" xfId="0" applyFont="1" applyFill="1" applyAlignment="1">
      <alignment horizontal="center" vertical="center"/>
    </xf>
    <xf numFmtId="0" fontId="35" fillId="6" borderId="0" xfId="0" applyFont="1" applyFill="1" applyAlignment="1">
      <alignment horizontal="left"/>
    </xf>
    <xf numFmtId="0" fontId="24" fillId="0" borderId="0" xfId="1838"/>
    <xf numFmtId="0" fontId="47" fillId="0" borderId="1" xfId="0" applyFont="1" applyBorder="1" applyAlignment="1">
      <alignment horizontal="center" vertical="center" wrapText="1"/>
    </xf>
    <xf numFmtId="2" fontId="29" fillId="0" borderId="1" xfId="0" applyNumberFormat="1" applyFont="1" applyBorder="1"/>
    <xf numFmtId="2" fontId="29" fillId="6" borderId="0" xfId="0" applyNumberFormat="1" applyFont="1" applyFill="1" applyAlignment="1">
      <alignment horizontal="center" vertical="center" wrapText="1"/>
    </xf>
    <xf numFmtId="0" fontId="29" fillId="6" borderId="0" xfId="0" applyFont="1" applyFill="1"/>
    <xf numFmtId="2" fontId="29" fillId="6" borderId="0" xfId="0" applyNumberFormat="1" applyFont="1" applyFill="1"/>
    <xf numFmtId="1" fontId="29" fillId="6" borderId="0" xfId="0" applyNumberFormat="1" applyFont="1" applyFill="1"/>
    <xf numFmtId="0" fontId="26" fillId="6" borderId="0" xfId="0" applyFont="1" applyFill="1" applyAlignment="1">
      <alignment horizontal="right"/>
    </xf>
    <xf numFmtId="2" fontId="26" fillId="6" borderId="0" xfId="0" applyNumberFormat="1" applyFont="1" applyFill="1" applyAlignment="1">
      <alignment horizontal="right"/>
    </xf>
    <xf numFmtId="0" fontId="26" fillId="6" borderId="0" xfId="0" applyFont="1" applyFill="1" applyAlignment="1">
      <alignment horizontal="left"/>
    </xf>
    <xf numFmtId="0" fontId="29" fillId="0" borderId="53" xfId="0" applyFont="1" applyBorder="1" applyAlignment="1">
      <alignment horizontal="center" vertical="center"/>
    </xf>
    <xf numFmtId="2" fontId="29" fillId="6" borderId="0" xfId="723" applyNumberFormat="1" applyFont="1" applyFill="1"/>
    <xf numFmtId="2" fontId="29" fillId="6" borderId="5" xfId="723" applyNumberFormat="1" applyFont="1" applyFill="1" applyBorder="1" applyAlignment="1">
      <alignment horizontal="center"/>
    </xf>
    <xf numFmtId="2" fontId="29" fillId="6" borderId="5" xfId="723" applyNumberFormat="1" applyFont="1" applyFill="1" applyBorder="1" applyAlignment="1">
      <alignment horizontal="center" vertical="center"/>
    </xf>
    <xf numFmtId="0" fontId="23" fillId="0" borderId="1" xfId="0" applyFont="1" applyBorder="1" applyAlignment="1">
      <alignment horizontal="center" vertical="center" wrapText="1"/>
    </xf>
    <xf numFmtId="2" fontId="29" fillId="0" borderId="1" xfId="723" applyNumberFormat="1" applyFont="1" applyBorder="1" applyAlignment="1">
      <alignment horizontal="center" vertical="center" wrapText="1"/>
    </xf>
    <xf numFmtId="166" fontId="29" fillId="0" borderId="1" xfId="723" applyNumberFormat="1" applyFont="1" applyBorder="1" applyAlignment="1">
      <alignment horizontal="center" vertical="center" wrapText="1"/>
    </xf>
    <xf numFmtId="1" fontId="47" fillId="0" borderId="1" xfId="1" applyNumberFormat="1" applyFont="1" applyFill="1" applyBorder="1" applyAlignment="1">
      <alignment horizontal="center"/>
    </xf>
    <xf numFmtId="1" fontId="47" fillId="0" borderId="1" xfId="723" applyNumberFormat="1" applyFont="1" applyBorder="1"/>
    <xf numFmtId="1" fontId="47" fillId="0" borderId="1" xfId="723" applyNumberFormat="1" applyFont="1" applyBorder="1" applyAlignment="1">
      <alignment horizontal="center"/>
    </xf>
    <xf numFmtId="2" fontId="29" fillId="0" borderId="2" xfId="723" applyNumberFormat="1" applyFont="1" applyBorder="1"/>
    <xf numFmtId="2" fontId="29" fillId="0" borderId="3" xfId="723" applyNumberFormat="1" applyFont="1" applyBorder="1"/>
    <xf numFmtId="2" fontId="29" fillId="6" borderId="4" xfId="1556" applyNumberFormat="1" applyFont="1" applyFill="1" applyBorder="1" applyAlignment="1">
      <alignment horizontal="right" vertical="center" wrapText="1"/>
    </xf>
    <xf numFmtId="2" fontId="29" fillId="6" borderId="5" xfId="1556" applyNumberFormat="1" applyFont="1" applyFill="1" applyBorder="1" applyAlignment="1">
      <alignment horizontal="right" vertical="center"/>
    </xf>
    <xf numFmtId="2" fontId="29" fillId="6" borderId="4" xfId="723" applyNumberFormat="1" applyFont="1" applyFill="1" applyBorder="1" applyAlignment="1">
      <alignment horizontal="right" vertical="center" wrapText="1"/>
    </xf>
    <xf numFmtId="2" fontId="29" fillId="6" borderId="5" xfId="723" applyNumberFormat="1" applyFont="1" applyFill="1" applyBorder="1" applyAlignment="1">
      <alignment horizontal="right" vertical="center"/>
    </xf>
    <xf numFmtId="0" fontId="29" fillId="6" borderId="4" xfId="1556" applyFont="1" applyFill="1" applyBorder="1" applyAlignment="1">
      <alignment horizontal="right" vertical="center" wrapText="1"/>
    </xf>
    <xf numFmtId="0" fontId="29" fillId="6" borderId="4" xfId="0" applyFont="1" applyFill="1" applyBorder="1" applyAlignment="1">
      <alignment horizontal="right" vertical="center" wrapText="1"/>
    </xf>
    <xf numFmtId="0" fontId="0" fillId="6" borderId="4" xfId="0" applyFill="1" applyBorder="1" applyAlignment="1">
      <alignment horizontal="right" vertical="center"/>
    </xf>
    <xf numFmtId="2" fontId="29" fillId="6" borderId="4" xfId="723" applyNumberFormat="1" applyFont="1" applyFill="1" applyBorder="1" applyAlignment="1">
      <alignment horizontal="right" vertical="center"/>
    </xf>
    <xf numFmtId="2" fontId="29" fillId="6" borderId="4" xfId="1556" applyNumberFormat="1" applyFont="1" applyFill="1" applyBorder="1" applyAlignment="1">
      <alignment horizontal="right" vertical="center"/>
    </xf>
    <xf numFmtId="0" fontId="29" fillId="6" borderId="4" xfId="0" applyFont="1" applyFill="1" applyBorder="1" applyAlignment="1">
      <alignment horizontal="right" vertical="center"/>
    </xf>
    <xf numFmtId="0" fontId="29" fillId="0" borderId="52" xfId="0" applyFont="1" applyBorder="1" applyAlignment="1">
      <alignment horizontal="center" vertical="center" wrapText="1"/>
    </xf>
    <xf numFmtId="0" fontId="29" fillId="0" borderId="57" xfId="0" applyFont="1" applyBorder="1"/>
    <xf numFmtId="0" fontId="29" fillId="0" borderId="57" xfId="0" applyFont="1" applyBorder="1" applyAlignment="1">
      <alignment horizontal="right" wrapText="1"/>
    </xf>
    <xf numFmtId="2" fontId="33" fillId="0" borderId="57" xfId="0" applyNumberFormat="1" applyFont="1" applyBorder="1"/>
    <xf numFmtId="166" fontId="29" fillId="0" borderId="57" xfId="0" applyNumberFormat="1" applyFont="1" applyBorder="1"/>
    <xf numFmtId="0" fontId="29" fillId="0" borderId="57" xfId="0" applyFont="1" applyBorder="1" applyAlignment="1">
      <alignment horizontal="center"/>
    </xf>
    <xf numFmtId="0" fontId="29" fillId="0" borderId="57" xfId="0" applyFont="1" applyBorder="1" applyAlignment="1">
      <alignment wrapText="1"/>
    </xf>
    <xf numFmtId="0" fontId="0" fillId="20" borderId="0" xfId="0" applyFill="1"/>
    <xf numFmtId="0" fontId="26" fillId="20" borderId="0" xfId="0" applyFont="1" applyFill="1"/>
    <xf numFmtId="2" fontId="29" fillId="0" borderId="50" xfId="723" applyNumberFormat="1" applyFont="1" applyBorder="1"/>
    <xf numFmtId="2" fontId="29" fillId="6" borderId="0" xfId="1556" applyNumberFormat="1" applyFont="1" applyFill="1" applyAlignment="1">
      <alignment horizontal="right" vertical="center" wrapText="1"/>
    </xf>
    <xf numFmtId="2" fontId="29" fillId="6" borderId="0" xfId="723" applyNumberFormat="1" applyFont="1" applyFill="1" applyAlignment="1">
      <alignment horizontal="right" vertical="center" wrapText="1"/>
    </xf>
    <xf numFmtId="0" fontId="29" fillId="6" borderId="0" xfId="1556" applyFont="1" applyFill="1" applyAlignment="1">
      <alignment horizontal="right" vertical="center" wrapText="1"/>
    </xf>
    <xf numFmtId="0" fontId="29" fillId="6" borderId="0" xfId="0" applyFont="1" applyFill="1" applyAlignment="1">
      <alignment horizontal="right" vertical="center" wrapText="1"/>
    </xf>
    <xf numFmtId="0" fontId="0" fillId="6" borderId="0" xfId="0" applyFill="1" applyAlignment="1">
      <alignment horizontal="right" vertical="center"/>
    </xf>
    <xf numFmtId="2" fontId="29" fillId="6" borderId="0" xfId="723" applyNumberFormat="1" applyFont="1" applyFill="1" applyAlignment="1">
      <alignment horizontal="right" vertical="center"/>
    </xf>
    <xf numFmtId="2" fontId="29" fillId="6" borderId="0" xfId="1556" applyNumberFormat="1" applyFont="1" applyFill="1" applyAlignment="1">
      <alignment horizontal="right" vertical="center"/>
    </xf>
    <xf numFmtId="0" fontId="29" fillId="6" borderId="0" xfId="0" applyFont="1" applyFill="1" applyAlignment="1">
      <alignment horizontal="right" vertical="center"/>
    </xf>
    <xf numFmtId="1" fontId="29" fillId="0" borderId="10" xfId="0" applyNumberFormat="1" applyFont="1" applyBorder="1"/>
    <xf numFmtId="2" fontId="26" fillId="0" borderId="0" xfId="0" applyNumberFormat="1" applyFont="1" applyAlignment="1">
      <alignment horizontal="right"/>
    </xf>
    <xf numFmtId="0" fontId="26" fillId="0" borderId="0" xfId="0" applyFont="1" applyAlignment="1">
      <alignment horizontal="left" vertical="top"/>
    </xf>
    <xf numFmtId="2" fontId="0" fillId="0" borderId="0" xfId="0" applyNumberFormat="1" applyAlignment="1">
      <alignment vertical="top"/>
    </xf>
    <xf numFmtId="2" fontId="26" fillId="0" borderId="0" xfId="0" applyNumberFormat="1" applyFont="1" applyAlignment="1">
      <alignment vertical="top"/>
    </xf>
    <xf numFmtId="0" fontId="26" fillId="0" borderId="0" xfId="0" applyFont="1" applyAlignment="1">
      <alignment horizontal="right" vertical="top"/>
    </xf>
    <xf numFmtId="167" fontId="0" fillId="0" borderId="0" xfId="0" applyNumberFormat="1" applyAlignment="1">
      <alignment vertical="top"/>
    </xf>
    <xf numFmtId="170" fontId="0" fillId="0" borderId="0" xfId="1833" applyNumberFormat="1" applyFont="1"/>
    <xf numFmtId="170" fontId="0" fillId="0" borderId="0" xfId="0" applyNumberFormat="1" applyAlignment="1">
      <alignment vertical="top"/>
    </xf>
    <xf numFmtId="169" fontId="0" fillId="0" borderId="0" xfId="0" applyNumberFormat="1" applyAlignment="1">
      <alignment vertical="top"/>
    </xf>
    <xf numFmtId="2" fontId="0" fillId="21" borderId="1" xfId="0" applyNumberFormat="1" applyFill="1" applyBorder="1" applyAlignment="1">
      <alignment horizontal="center" vertical="center"/>
    </xf>
    <xf numFmtId="2" fontId="0" fillId="21" borderId="12" xfId="0" applyNumberFormat="1" applyFill="1" applyBorder="1" applyAlignment="1">
      <alignment horizontal="center" vertical="center"/>
    </xf>
    <xf numFmtId="2" fontId="29" fillId="6" borderId="6" xfId="723" applyNumberFormat="1" applyFont="1" applyFill="1" applyBorder="1" applyAlignment="1">
      <alignment horizontal="right" vertical="center" wrapText="1"/>
    </xf>
    <xf numFmtId="2" fontId="29" fillId="6" borderId="45" xfId="723" applyNumberFormat="1" applyFont="1" applyFill="1" applyBorder="1" applyAlignment="1">
      <alignment horizontal="right" vertical="center" wrapText="1"/>
    </xf>
    <xf numFmtId="2" fontId="29" fillId="6" borderId="7" xfId="723" applyNumberFormat="1" applyFont="1" applyFill="1" applyBorder="1" applyAlignment="1">
      <alignment horizontal="right" vertical="center"/>
    </xf>
    <xf numFmtId="2" fontId="29" fillId="0" borderId="6" xfId="723" applyNumberFormat="1" applyFont="1" applyBorder="1"/>
    <xf numFmtId="2" fontId="29" fillId="0" borderId="45" xfId="723" applyNumberFormat="1" applyFont="1" applyBorder="1"/>
    <xf numFmtId="2" fontId="29" fillId="0" borderId="7" xfId="723" applyNumberFormat="1" applyFont="1" applyBorder="1" applyAlignment="1">
      <alignment horizontal="center"/>
    </xf>
    <xf numFmtId="2" fontId="29" fillId="0" borderId="7" xfId="723" applyNumberFormat="1" applyFont="1" applyBorder="1" applyAlignment="1">
      <alignment horizontal="center" vertical="center"/>
    </xf>
    <xf numFmtId="2" fontId="29" fillId="6" borderId="4" xfId="723" applyNumberFormat="1" applyFont="1" applyFill="1" applyBorder="1" applyAlignment="1">
      <alignment horizontal="left" vertical="center"/>
    </xf>
    <xf numFmtId="2" fontId="29" fillId="6" borderId="6" xfId="723" applyNumberFormat="1" applyFont="1" applyFill="1" applyBorder="1" applyAlignment="1">
      <alignment horizontal="left" vertical="center"/>
    </xf>
    <xf numFmtId="0" fontId="29" fillId="0" borderId="65" xfId="0" applyFont="1" applyBorder="1"/>
    <xf numFmtId="0" fontId="29" fillId="0" borderId="67" xfId="0" applyFont="1" applyBorder="1"/>
    <xf numFmtId="0" fontId="26" fillId="0" borderId="68" xfId="0" applyFont="1" applyBorder="1" applyAlignment="1">
      <alignment horizontal="right"/>
    </xf>
    <xf numFmtId="0" fontId="47" fillId="0" borderId="36" xfId="0" applyFont="1" applyBorder="1" applyAlignment="1">
      <alignment horizontal="center" vertical="center" wrapText="1"/>
    </xf>
    <xf numFmtId="0" fontId="47" fillId="0" borderId="28" xfId="0" applyFont="1" applyBorder="1" applyAlignment="1">
      <alignment horizontal="center" vertical="center" wrapText="1"/>
    </xf>
    <xf numFmtId="2" fontId="29" fillId="0" borderId="28" xfId="0" applyNumberFormat="1" applyFont="1" applyBorder="1"/>
    <xf numFmtId="2" fontId="58" fillId="0" borderId="36" xfId="1556" applyNumberFormat="1" applyBorder="1"/>
    <xf numFmtId="2" fontId="26" fillId="0" borderId="37" xfId="0" applyNumberFormat="1" applyFont="1" applyBorder="1" applyAlignment="1">
      <alignment horizontal="right"/>
    </xf>
    <xf numFmtId="2" fontId="26" fillId="0" borderId="30" xfId="0" applyNumberFormat="1" applyFont="1" applyBorder="1" applyAlignment="1">
      <alignment horizontal="right"/>
    </xf>
    <xf numFmtId="0" fontId="0" fillId="0" borderId="2" xfId="0" applyBorder="1"/>
    <xf numFmtId="0" fontId="0" fillId="0" borderId="3" xfId="0" applyBorder="1"/>
    <xf numFmtId="2" fontId="29" fillId="23" borderId="1" xfId="0" applyNumberFormat="1" applyFont="1" applyFill="1" applyBorder="1"/>
    <xf numFmtId="2" fontId="26" fillId="23" borderId="31" xfId="0" applyNumberFormat="1" applyFont="1" applyFill="1" applyBorder="1" applyAlignment="1">
      <alignment horizontal="right"/>
    </xf>
    <xf numFmtId="0" fontId="0" fillId="22" borderId="0" xfId="0" applyFill="1"/>
    <xf numFmtId="2" fontId="29" fillId="6" borderId="4" xfId="1556" applyNumberFormat="1" applyFont="1" applyFill="1" applyBorder="1" applyAlignment="1">
      <alignment horizontal="left" vertical="center"/>
    </xf>
    <xf numFmtId="0" fontId="0" fillId="18" borderId="0" xfId="0" applyFill="1" applyAlignment="1">
      <alignment vertical="top" wrapText="1"/>
    </xf>
    <xf numFmtId="0" fontId="0" fillId="18" borderId="0" xfId="0" applyFill="1" applyAlignment="1">
      <alignment horizontal="left" vertical="top" wrapText="1"/>
    </xf>
    <xf numFmtId="0" fontId="29" fillId="3" borderId="1" xfId="0" applyFont="1" applyFill="1" applyBorder="1"/>
    <xf numFmtId="0" fontId="29" fillId="23" borderId="0" xfId="0" applyFont="1" applyFill="1"/>
    <xf numFmtId="2" fontId="0" fillId="23" borderId="1" xfId="0" applyNumberFormat="1" applyFill="1" applyBorder="1" applyAlignment="1">
      <alignment horizontal="center" vertical="center"/>
    </xf>
    <xf numFmtId="0" fontId="29" fillId="23" borderId="0" xfId="0" applyFont="1" applyFill="1" applyAlignment="1">
      <alignment horizontal="center" vertical="center" wrapText="1"/>
    </xf>
    <xf numFmtId="0" fontId="29" fillId="23" borderId="0" xfId="1556" applyFont="1" applyFill="1"/>
    <xf numFmtId="0" fontId="0" fillId="23" borderId="0" xfId="0" applyFill="1"/>
    <xf numFmtId="2" fontId="29" fillId="23" borderId="0" xfId="1556" applyNumberFormat="1" applyFont="1" applyFill="1"/>
    <xf numFmtId="2" fontId="29" fillId="23" borderId="0" xfId="0" applyNumberFormat="1" applyFont="1" applyFill="1"/>
    <xf numFmtId="0" fontId="33" fillId="23" borderId="0" xfId="0" applyFont="1" applyFill="1" applyAlignment="1">
      <alignment wrapText="1"/>
    </xf>
    <xf numFmtId="2" fontId="0" fillId="23" borderId="1" xfId="0" applyNumberFormat="1" applyFill="1" applyBorder="1" applyAlignment="1">
      <alignment horizontal="center" vertical="center" wrapText="1"/>
    </xf>
    <xf numFmtId="0" fontId="45" fillId="0" borderId="1" xfId="996" applyFill="1" applyBorder="1" applyAlignment="1">
      <alignment horizontal="center" vertical="center" wrapText="1"/>
    </xf>
    <xf numFmtId="0" fontId="45" fillId="0" borderId="1" xfId="996" applyFill="1" applyBorder="1" applyAlignment="1">
      <alignment horizontal="center" vertical="center"/>
    </xf>
    <xf numFmtId="2" fontId="0" fillId="24" borderId="1" xfId="0" applyNumberFormat="1" applyFill="1" applyBorder="1" applyAlignment="1">
      <alignment horizontal="center" vertical="center"/>
    </xf>
    <xf numFmtId="2" fontId="0" fillId="24" borderId="12" xfId="0" applyNumberFormat="1" applyFill="1" applyBorder="1" applyAlignment="1">
      <alignment horizontal="center" vertical="center"/>
    </xf>
    <xf numFmtId="0" fontId="0" fillId="6" borderId="35" xfId="0" applyFill="1" applyBorder="1" applyAlignment="1">
      <alignment horizontal="center" vertical="center" wrapText="1"/>
    </xf>
    <xf numFmtId="0" fontId="67" fillId="0" borderId="0" xfId="0" applyFont="1" applyAlignment="1">
      <alignment horizontal="center" vertical="center" wrapText="1"/>
    </xf>
    <xf numFmtId="0" fontId="64" fillId="0" borderId="0" xfId="0" applyFont="1" applyAlignment="1">
      <alignment horizontal="center" vertical="top" wrapText="1"/>
    </xf>
    <xf numFmtId="0" fontId="0" fillId="6" borderId="0" xfId="0" applyFill="1" applyAlignment="1">
      <alignment horizontal="left" vertical="center" wrapText="1"/>
    </xf>
    <xf numFmtId="0" fontId="0" fillId="14" borderId="1" xfId="0" applyFill="1" applyBorder="1"/>
    <xf numFmtId="0" fontId="0" fillId="0" borderId="1" xfId="0" applyBorder="1" applyAlignment="1">
      <alignment horizontal="left"/>
    </xf>
    <xf numFmtId="0" fontId="0" fillId="0" borderId="73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65" xfId="0" applyBorder="1" applyAlignment="1">
      <alignment horizontal="center" vertical="center" wrapText="1"/>
    </xf>
    <xf numFmtId="2" fontId="29" fillId="6" borderId="67" xfId="0" applyNumberFormat="1" applyFont="1" applyFill="1" applyBorder="1" applyAlignment="1">
      <alignment horizontal="center" vertical="center" wrapText="1"/>
    </xf>
    <xf numFmtId="0" fontId="29" fillId="14" borderId="67" xfId="0" applyFont="1" applyFill="1" applyBorder="1" applyAlignment="1" applyProtection="1">
      <alignment horizontal="center" vertical="center" wrapText="1"/>
      <protection locked="0"/>
    </xf>
    <xf numFmtId="2" fontId="29" fillId="6" borderId="68" xfId="0" applyNumberFormat="1" applyFont="1" applyFill="1" applyBorder="1" applyAlignment="1">
      <alignment horizontal="center" vertical="center" wrapText="1"/>
    </xf>
    <xf numFmtId="0" fontId="26" fillId="6" borderId="6" xfId="0" applyFont="1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 wrapText="1"/>
    </xf>
    <xf numFmtId="0" fontId="0" fillId="6" borderId="26" xfId="0" applyFill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6" borderId="45" xfId="0" applyFill="1" applyBorder="1" applyAlignment="1">
      <alignment horizontal="center" vertical="center" wrapText="1"/>
    </xf>
    <xf numFmtId="0" fontId="0" fillId="6" borderId="35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applyNumberFormat="1"/>
    <xf numFmtId="0" fontId="29" fillId="6" borderId="1" xfId="0" applyFont="1" applyFill="1" applyBorder="1" applyAlignment="1">
      <alignment horizontal="center" vertical="center"/>
    </xf>
    <xf numFmtId="2" fontId="77" fillId="6" borderId="0" xfId="0" applyNumberFormat="1" applyFont="1" applyFill="1" applyAlignment="1">
      <alignment horizontal="center" vertical="center"/>
    </xf>
    <xf numFmtId="0" fontId="26" fillId="5" borderId="3" xfId="0" applyFont="1" applyFill="1" applyBorder="1" applyAlignment="1">
      <alignment horizontal="left"/>
    </xf>
    <xf numFmtId="0" fontId="0" fillId="18" borderId="5" xfId="0" applyFill="1" applyBorder="1" applyAlignment="1">
      <alignment vertical="top" wrapText="1"/>
    </xf>
    <xf numFmtId="168" fontId="19" fillId="0" borderId="5" xfId="1833" applyNumberFormat="1" applyBorder="1" applyAlignment="1">
      <alignment horizontal="left"/>
    </xf>
    <xf numFmtId="2" fontId="45" fillId="0" borderId="0" xfId="996" applyNumberFormat="1" applyFill="1"/>
    <xf numFmtId="1" fontId="47" fillId="0" borderId="0" xfId="0" applyNumberFormat="1" applyFont="1"/>
    <xf numFmtId="2" fontId="29" fillId="0" borderId="4" xfId="723" quotePrefix="1" applyNumberFormat="1" applyFont="1" applyBorder="1"/>
    <xf numFmtId="1" fontId="0" fillId="6" borderId="50" xfId="0" applyNumberFormat="1" applyFill="1" applyBorder="1" applyAlignment="1" applyProtection="1">
      <alignment horizontal="center" vertical="center"/>
      <protection locked="0"/>
    </xf>
    <xf numFmtId="0" fontId="0" fillId="6" borderId="57" xfId="0" applyFill="1" applyBorder="1" applyAlignment="1">
      <alignment horizontal="center" vertical="center"/>
    </xf>
    <xf numFmtId="44" fontId="0" fillId="0" borderId="0" xfId="1839" applyFont="1"/>
    <xf numFmtId="171" fontId="0" fillId="25" borderId="22" xfId="0" applyNumberFormat="1" applyFill="1" applyBorder="1"/>
    <xf numFmtId="1" fontId="0" fillId="0" borderId="1" xfId="0" applyNumberFormat="1" applyBorder="1"/>
    <xf numFmtId="3" fontId="0" fillId="0" borderId="1" xfId="0" applyNumberFormat="1" applyBorder="1"/>
    <xf numFmtId="171" fontId="0" fillId="0" borderId="1" xfId="1839" applyNumberFormat="1" applyFont="1" applyBorder="1"/>
    <xf numFmtId="0" fontId="0" fillId="0" borderId="19" xfId="0" applyBorder="1" applyAlignment="1">
      <alignment wrapText="1"/>
    </xf>
    <xf numFmtId="1" fontId="0" fillId="0" borderId="19" xfId="0" applyNumberFormat="1" applyBorder="1"/>
    <xf numFmtId="0" fontId="0" fillId="0" borderId="21" xfId="0" applyBorder="1" applyAlignment="1">
      <alignment wrapText="1"/>
    </xf>
    <xf numFmtId="171" fontId="0" fillId="0" borderId="21" xfId="1839" applyNumberFormat="1" applyFont="1" applyBorder="1"/>
    <xf numFmtId="2" fontId="33" fillId="0" borderId="5" xfId="723" applyNumberFormat="1" applyFont="1" applyBorder="1" applyAlignment="1">
      <alignment horizontal="center" wrapText="1"/>
    </xf>
    <xf numFmtId="171" fontId="0" fillId="0" borderId="0" xfId="0" applyNumberFormat="1"/>
    <xf numFmtId="44" fontId="0" fillId="25" borderId="0" xfId="1839" applyFont="1" applyFill="1"/>
    <xf numFmtId="0" fontId="0" fillId="6" borderId="22" xfId="0" applyFill="1" applyBorder="1"/>
    <xf numFmtId="44" fontId="0" fillId="6" borderId="0" xfId="0" applyNumberFormat="1" applyFill="1"/>
    <xf numFmtId="44" fontId="0" fillId="0" borderId="0" xfId="0" applyNumberFormat="1"/>
    <xf numFmtId="44" fontId="0" fillId="6" borderId="0" xfId="1839" applyFont="1" applyFill="1"/>
    <xf numFmtId="0" fontId="0" fillId="6" borderId="14" xfId="0" applyFill="1" applyBorder="1"/>
    <xf numFmtId="44" fontId="0" fillId="6" borderId="14" xfId="1839" applyFont="1" applyFill="1" applyBorder="1"/>
    <xf numFmtId="8" fontId="0" fillId="0" borderId="0" xfId="1839" applyNumberFormat="1" applyFont="1"/>
    <xf numFmtId="0" fontId="26" fillId="0" borderId="22" xfId="0" applyFont="1" applyBorder="1"/>
    <xf numFmtId="0" fontId="0" fillId="0" borderId="37" xfId="0" applyBorder="1" applyAlignment="1">
      <alignment horizontal="center" vertical="center" wrapText="1"/>
    </xf>
    <xf numFmtId="0" fontId="0" fillId="6" borderId="30" xfId="0" applyFill="1" applyBorder="1" applyAlignment="1">
      <alignment horizontal="center" vertical="center" wrapText="1"/>
    </xf>
    <xf numFmtId="166" fontId="0" fillId="0" borderId="0" xfId="0" applyNumberFormat="1" applyAlignment="1">
      <alignment vertical="top"/>
    </xf>
    <xf numFmtId="166" fontId="0" fillId="0" borderId="5" xfId="0" applyNumberFormat="1" applyBorder="1" applyAlignment="1">
      <alignment vertical="top"/>
    </xf>
    <xf numFmtId="166" fontId="26" fillId="0" borderId="0" xfId="0" applyNumberFormat="1" applyFont="1" applyAlignment="1">
      <alignment vertical="top"/>
    </xf>
    <xf numFmtId="166" fontId="26" fillId="0" borderId="5" xfId="0" applyNumberFormat="1" applyFont="1" applyBorder="1" applyAlignment="1">
      <alignment vertical="top"/>
    </xf>
    <xf numFmtId="172" fontId="0" fillId="18" borderId="5" xfId="1833" applyNumberFormat="1" applyFont="1" applyFill="1" applyBorder="1"/>
    <xf numFmtId="0" fontId="26" fillId="6" borderId="22" xfId="0" applyFont="1" applyFill="1" applyBorder="1"/>
    <xf numFmtId="44" fontId="26" fillId="6" borderId="22" xfId="0" applyNumberFormat="1" applyFont="1" applyFill="1" applyBorder="1"/>
    <xf numFmtId="9" fontId="0" fillId="0" borderId="0" xfId="1554" applyFont="1"/>
    <xf numFmtId="165" fontId="47" fillId="0" borderId="1" xfId="723" applyNumberFormat="1" applyFont="1" applyBorder="1"/>
    <xf numFmtId="0" fontId="35" fillId="6" borderId="25" xfId="0" applyFont="1" applyFill="1" applyBorder="1" applyAlignment="1">
      <alignment horizontal="left" vertical="center" wrapText="1"/>
    </xf>
    <xf numFmtId="173" fontId="0" fillId="0" borderId="21" xfId="1839" applyNumberFormat="1" applyFont="1" applyBorder="1"/>
    <xf numFmtId="173" fontId="0" fillId="0" borderId="1" xfId="1839" applyNumberFormat="1" applyFont="1" applyBorder="1"/>
    <xf numFmtId="44" fontId="78" fillId="6" borderId="0" xfId="1839" applyFont="1" applyFill="1"/>
    <xf numFmtId="44" fontId="80" fillId="22" borderId="22" xfId="1839" applyFont="1" applyFill="1" applyBorder="1"/>
    <xf numFmtId="164" fontId="0" fillId="0" borderId="0" xfId="0" applyNumberFormat="1"/>
    <xf numFmtId="2" fontId="79" fillId="0" borderId="1" xfId="723" applyNumberFormat="1" applyFont="1" applyBorder="1"/>
    <xf numFmtId="0" fontId="79" fillId="6" borderId="22" xfId="0" applyFont="1" applyFill="1" applyBorder="1"/>
    <xf numFmtId="0" fontId="78" fillId="0" borderId="0" xfId="0" applyFont="1"/>
    <xf numFmtId="0" fontId="78" fillId="20" borderId="0" xfId="0" applyFont="1" applyFill="1"/>
    <xf numFmtId="171" fontId="78" fillId="25" borderId="0" xfId="0" applyNumberFormat="1" applyFont="1" applyFill="1"/>
    <xf numFmtId="44" fontId="78" fillId="25" borderId="0" xfId="1839" applyFont="1" applyFill="1"/>
    <xf numFmtId="2" fontId="78" fillId="0" borderId="21" xfId="0" applyNumberFormat="1" applyFont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 wrapText="1"/>
    </xf>
    <xf numFmtId="2" fontId="0" fillId="0" borderId="0" xfId="1839" applyNumberFormat="1" applyFont="1"/>
    <xf numFmtId="8" fontId="0" fillId="0" borderId="0" xfId="0" applyNumberFormat="1"/>
    <xf numFmtId="44" fontId="26" fillId="0" borderId="0" xfId="1839" applyFont="1"/>
    <xf numFmtId="171" fontId="0" fillId="0" borderId="0" xfId="1839" applyNumberFormat="1" applyFont="1"/>
    <xf numFmtId="0" fontId="39" fillId="0" borderId="0" xfId="0" applyFont="1"/>
    <xf numFmtId="1" fontId="0" fillId="0" borderId="0" xfId="0" applyNumberFormat="1"/>
    <xf numFmtId="2" fontId="78" fillId="0" borderId="0" xfId="0" applyNumberFormat="1" applyFont="1" applyAlignment="1">
      <alignment horizontal="center" vertical="center"/>
    </xf>
    <xf numFmtId="2" fontId="78" fillId="6" borderId="0" xfId="0" applyNumberFormat="1" applyFont="1" applyFill="1" applyAlignment="1">
      <alignment horizontal="center" vertical="center" wrapText="1"/>
    </xf>
    <xf numFmtId="174" fontId="0" fillId="18" borderId="5" xfId="1833" applyNumberFormat="1" applyFont="1" applyFill="1" applyBorder="1"/>
    <xf numFmtId="0" fontId="0" fillId="14" borderId="28" xfId="0" applyFill="1" applyBorder="1" applyAlignment="1" applyProtection="1">
      <alignment horizontal="center" vertical="center"/>
      <protection locked="0"/>
    </xf>
    <xf numFmtId="0" fontId="0" fillId="6" borderId="0" xfId="0" applyFill="1" applyAlignment="1">
      <alignment horizontal="right" vertical="top" wrapText="1"/>
    </xf>
    <xf numFmtId="0" fontId="81" fillId="6" borderId="0" xfId="0" applyFont="1" applyFill="1" applyAlignment="1">
      <alignment horizontal="center" vertical="center"/>
    </xf>
    <xf numFmtId="44" fontId="0" fillId="19" borderId="0" xfId="0" applyNumberFormat="1" applyFill="1"/>
    <xf numFmtId="0" fontId="39" fillId="4" borderId="0" xfId="0" applyFont="1" applyFill="1"/>
    <xf numFmtId="0" fontId="80" fillId="6" borderId="22" xfId="0" applyFont="1" applyFill="1" applyBorder="1"/>
    <xf numFmtId="164" fontId="80" fillId="6" borderId="22" xfId="0" applyNumberFormat="1" applyFont="1" applyFill="1" applyBorder="1"/>
    <xf numFmtId="44" fontId="26" fillId="25" borderId="22" xfId="0" applyNumberFormat="1" applyFont="1" applyFill="1" applyBorder="1"/>
    <xf numFmtId="44" fontId="26" fillId="0" borderId="0" xfId="0" applyNumberFormat="1" applyFont="1"/>
    <xf numFmtId="0" fontId="29" fillId="0" borderId="0" xfId="0" applyFont="1" applyAlignment="1">
      <alignment horizontal="left" vertical="top" wrapText="1"/>
    </xf>
    <xf numFmtId="0" fontId="33" fillId="14" borderId="0" xfId="0" applyFont="1" applyFill="1"/>
    <xf numFmtId="0" fontId="29" fillId="14" borderId="0" xfId="0" applyFont="1" applyFill="1"/>
    <xf numFmtId="0" fontId="80" fillId="0" borderId="0" xfId="0" applyFont="1"/>
    <xf numFmtId="164" fontId="80" fillId="0" borderId="22" xfId="0" applyNumberFormat="1" applyFont="1" applyBorder="1"/>
    <xf numFmtId="173" fontId="0" fillId="0" borderId="0" xfId="0" applyNumberFormat="1"/>
    <xf numFmtId="171" fontId="26" fillId="0" borderId="0" xfId="0" applyNumberFormat="1" applyFont="1"/>
    <xf numFmtId="9" fontId="26" fillId="0" borderId="22" xfId="1554" applyFont="1" applyBorder="1"/>
    <xf numFmtId="0" fontId="83" fillId="6" borderId="0" xfId="0" applyFont="1" applyFill="1" applyAlignment="1">
      <alignment horizontal="center" vertical="center"/>
    </xf>
    <xf numFmtId="0" fontId="68" fillId="6" borderId="0" xfId="0" applyFont="1" applyFill="1" applyAlignment="1">
      <alignment horizontal="center" vertical="center"/>
    </xf>
    <xf numFmtId="0" fontId="85" fillId="6" borderId="0" xfId="0" applyFont="1" applyFill="1" applyAlignment="1">
      <alignment horizontal="left" vertical="center"/>
    </xf>
    <xf numFmtId="0" fontId="85" fillId="6" borderId="0" xfId="0" applyFont="1" applyFill="1" applyAlignment="1">
      <alignment horizontal="center" vertical="center"/>
    </xf>
    <xf numFmtId="0" fontId="86" fillId="6" borderId="0" xfId="0" applyFont="1" applyFill="1" applyAlignment="1">
      <alignment horizontal="center" vertical="center"/>
    </xf>
    <xf numFmtId="0" fontId="0" fillId="14" borderId="1" xfId="0" applyFill="1" applyBorder="1" applyAlignment="1" applyProtection="1">
      <alignment horizontal="center" vertical="center"/>
      <protection locked="0"/>
    </xf>
    <xf numFmtId="0" fontId="0" fillId="0" borderId="37" xfId="0" applyBorder="1"/>
    <xf numFmtId="0" fontId="0" fillId="0" borderId="30" xfId="0" applyBorder="1" applyAlignment="1">
      <alignment horizontal="center" vertical="center"/>
    </xf>
    <xf numFmtId="9" fontId="0" fillId="14" borderId="0" xfId="0" applyNumberFormat="1" applyFill="1" applyProtection="1">
      <protection locked="0"/>
    </xf>
    <xf numFmtId="0" fontId="0" fillId="14" borderId="0" xfId="0" applyFill="1" applyProtection="1">
      <protection locked="0"/>
    </xf>
    <xf numFmtId="0" fontId="78" fillId="14" borderId="0" xfId="0" applyFont="1" applyFill="1" applyProtection="1">
      <protection locked="0"/>
    </xf>
    <xf numFmtId="0" fontId="0" fillId="6" borderId="25" xfId="0" applyFill="1" applyBorder="1" applyAlignment="1" applyProtection="1">
      <alignment horizontal="center" vertical="center" wrapText="1"/>
      <protection locked="0"/>
    </xf>
    <xf numFmtId="0" fontId="0" fillId="6" borderId="26" xfId="0" applyFill="1" applyBorder="1" applyAlignment="1" applyProtection="1">
      <alignment horizontal="center" vertical="center" wrapText="1"/>
      <protection locked="0"/>
    </xf>
    <xf numFmtId="0" fontId="0" fillId="14" borderId="30" xfId="0" applyFill="1" applyBorder="1" applyAlignment="1" applyProtection="1">
      <alignment horizontal="center" vertical="center"/>
      <protection locked="0"/>
    </xf>
    <xf numFmtId="0" fontId="0" fillId="14" borderId="31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 wrapText="1"/>
      <protection locked="0"/>
    </xf>
    <xf numFmtId="0" fontId="0" fillId="14" borderId="37" xfId="0" applyFill="1" applyBorder="1" applyAlignment="1" applyProtection="1">
      <alignment horizontal="center" vertical="center" wrapText="1"/>
      <protection locked="0"/>
    </xf>
    <xf numFmtId="0" fontId="0" fillId="0" borderId="10" xfId="0" applyBorder="1" applyAlignment="1">
      <alignment horizontal="center" vertical="center" wrapText="1"/>
    </xf>
    <xf numFmtId="0" fontId="22" fillId="9" borderId="22" xfId="0" applyFont="1" applyFill="1" applyBorder="1" applyAlignment="1">
      <alignment horizontal="center"/>
    </xf>
    <xf numFmtId="0" fontId="15" fillId="6" borderId="25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15" fillId="6" borderId="65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6" borderId="0" xfId="0" applyFont="1" applyFill="1" applyAlignment="1">
      <alignment horizontal="center" vertical="center" wrapText="1"/>
    </xf>
    <xf numFmtId="0" fontId="15" fillId="6" borderId="0" xfId="0" applyFont="1" applyFill="1" applyAlignment="1">
      <alignment horizontal="center" vertical="center"/>
    </xf>
    <xf numFmtId="0" fontId="15" fillId="6" borderId="1" xfId="0" applyFont="1" applyFill="1" applyBorder="1" applyAlignment="1">
      <alignment horizontal="center" vertical="center" wrapText="1"/>
    </xf>
    <xf numFmtId="2" fontId="15" fillId="14" borderId="28" xfId="0" applyNumberFormat="1" applyFont="1" applyFill="1" applyBorder="1" applyAlignment="1" applyProtection="1">
      <alignment horizontal="center" vertical="center"/>
      <protection locked="0"/>
    </xf>
    <xf numFmtId="0" fontId="15" fillId="6" borderId="30" xfId="0" applyFont="1" applyFill="1" applyBorder="1" applyAlignment="1">
      <alignment horizontal="center" vertical="center" wrapText="1"/>
    </xf>
    <xf numFmtId="2" fontId="15" fillId="14" borderId="31" xfId="0" applyNumberFormat="1" applyFont="1" applyFill="1" applyBorder="1" applyAlignment="1" applyProtection="1">
      <alignment horizontal="center" vertical="center"/>
      <protection locked="0"/>
    </xf>
    <xf numFmtId="2" fontId="15" fillId="6" borderId="0" xfId="0" applyNumberFormat="1" applyFont="1" applyFill="1" applyAlignment="1">
      <alignment horizontal="center" vertical="center"/>
    </xf>
    <xf numFmtId="2" fontId="0" fillId="14" borderId="1" xfId="0" applyNumberFormat="1" applyFill="1" applyBorder="1" applyAlignment="1" applyProtection="1">
      <alignment horizontal="center"/>
      <protection locked="0"/>
    </xf>
    <xf numFmtId="2" fontId="15" fillId="14" borderId="1" xfId="0" applyNumberFormat="1" applyFont="1" applyFill="1" applyBorder="1" applyAlignment="1" applyProtection="1">
      <alignment horizontal="center" vertical="center"/>
      <protection locked="0"/>
    </xf>
    <xf numFmtId="49" fontId="15" fillId="14" borderId="1" xfId="0" applyNumberFormat="1" applyFont="1" applyFill="1" applyBorder="1" applyAlignment="1" applyProtection="1">
      <alignment horizontal="center" vertical="center"/>
      <protection locked="0"/>
    </xf>
    <xf numFmtId="0" fontId="15" fillId="0" borderId="0" xfId="0" applyFont="1" applyAlignment="1">
      <alignment horizontal="center" vertical="center"/>
    </xf>
    <xf numFmtId="0" fontId="15" fillId="0" borderId="56" xfId="0" applyFont="1" applyBorder="1" applyAlignment="1">
      <alignment horizontal="center" vertical="center" wrapText="1"/>
    </xf>
    <xf numFmtId="2" fontId="29" fillId="14" borderId="1" xfId="0" applyNumberFormat="1" applyFont="1" applyFill="1" applyBorder="1" applyAlignment="1" applyProtection="1">
      <alignment horizontal="center" vertical="center" wrapText="1"/>
      <protection locked="0"/>
    </xf>
    <xf numFmtId="2" fontId="29" fillId="6" borderId="1" xfId="0" applyNumberFormat="1" applyFont="1" applyFill="1" applyBorder="1" applyAlignment="1">
      <alignment horizontal="center" vertical="center"/>
    </xf>
    <xf numFmtId="2" fontId="29" fillId="6" borderId="1" xfId="0" applyNumberFormat="1" applyFont="1" applyFill="1" applyBorder="1" applyAlignment="1">
      <alignment horizontal="center" vertical="center" wrapText="1"/>
    </xf>
    <xf numFmtId="0" fontId="29" fillId="6" borderId="1" xfId="0" applyFont="1" applyFill="1" applyBorder="1" applyAlignment="1">
      <alignment horizontal="center" vertical="center" wrapText="1"/>
    </xf>
    <xf numFmtId="2" fontId="29" fillId="14" borderId="1" xfId="6" applyNumberFormat="1" applyFont="1" applyFill="1" applyBorder="1" applyAlignment="1" applyProtection="1">
      <alignment horizontal="center" vertical="center"/>
      <protection locked="0"/>
    </xf>
    <xf numFmtId="0" fontId="29" fillId="14" borderId="1" xfId="0" applyFont="1" applyFill="1" applyBorder="1" applyAlignment="1" applyProtection="1">
      <alignment horizontal="left" vertical="center"/>
      <protection locked="0"/>
    </xf>
    <xf numFmtId="2" fontId="29" fillId="14" borderId="1" xfId="0" applyNumberFormat="1" applyFont="1" applyFill="1" applyBorder="1" applyAlignment="1" applyProtection="1">
      <alignment horizontal="center" vertical="center"/>
      <protection locked="0"/>
    </xf>
    <xf numFmtId="2" fontId="29" fillId="6" borderId="1" xfId="1553" applyNumberFormat="1" applyFont="1" applyFill="1" applyBorder="1" applyAlignment="1">
      <alignment horizontal="center" vertical="center" wrapText="1"/>
    </xf>
    <xf numFmtId="2" fontId="35" fillId="14" borderId="1" xfId="0" applyNumberFormat="1" applyFont="1" applyFill="1" applyBorder="1" applyAlignment="1" applyProtection="1">
      <alignment horizontal="center" vertical="center" wrapText="1"/>
      <protection locked="0"/>
    </xf>
    <xf numFmtId="0" fontId="58" fillId="0" borderId="1" xfId="1556" applyBorder="1" applyAlignment="1">
      <alignment horizontal="center" vertical="center" wrapText="1"/>
    </xf>
    <xf numFmtId="2" fontId="58" fillId="0" borderId="1" xfId="1556" applyNumberFormat="1" applyBorder="1" applyAlignment="1">
      <alignment horizontal="center" vertical="center"/>
    </xf>
    <xf numFmtId="1" fontId="29" fillId="0" borderId="1" xfId="723" applyNumberFormat="1" applyFont="1" applyBorder="1" applyAlignment="1">
      <alignment horizontal="center" vertical="center" wrapText="1"/>
    </xf>
    <xf numFmtId="1" fontId="47" fillId="0" borderId="1" xfId="0" applyNumberFormat="1" applyFont="1" applyBorder="1" applyAlignment="1">
      <alignment horizontal="center"/>
    </xf>
    <xf numFmtId="0" fontId="14" fillId="0" borderId="0" xfId="1557" applyFont="1"/>
    <xf numFmtId="2" fontId="29" fillId="4" borderId="0" xfId="723" applyNumberFormat="1" applyFont="1" applyFill="1"/>
    <xf numFmtId="2" fontId="29" fillId="23" borderId="56" xfId="0" applyNumberFormat="1" applyFont="1" applyFill="1" applyBorder="1"/>
    <xf numFmtId="0" fontId="47" fillId="0" borderId="60" xfId="0" applyFont="1" applyBorder="1" applyAlignment="1">
      <alignment horizontal="center" vertical="center" wrapText="1"/>
    </xf>
    <xf numFmtId="2" fontId="29" fillId="0" borderId="60" xfId="0" applyNumberFormat="1" applyFont="1" applyBorder="1"/>
    <xf numFmtId="0" fontId="47" fillId="0" borderId="56" xfId="0" applyFont="1" applyBorder="1" applyAlignment="1">
      <alignment horizontal="center" vertical="center" wrapText="1"/>
    </xf>
    <xf numFmtId="2" fontId="58" fillId="0" borderId="56" xfId="1556" applyNumberFormat="1" applyBorder="1"/>
    <xf numFmtId="3" fontId="29" fillId="0" borderId="0" xfId="0" applyNumberFormat="1" applyFont="1"/>
    <xf numFmtId="3" fontId="29" fillId="23" borderId="1" xfId="0" applyNumberFormat="1" applyFont="1" applyFill="1" applyBorder="1"/>
    <xf numFmtId="1" fontId="85" fillId="6" borderId="0" xfId="0" applyNumberFormat="1" applyFont="1" applyFill="1" applyAlignment="1">
      <alignment horizontal="center" vertical="center"/>
    </xf>
    <xf numFmtId="1" fontId="78" fillId="6" borderId="21" xfId="0" applyNumberFormat="1" applyFont="1" applyFill="1" applyBorder="1" applyAlignment="1">
      <alignment horizontal="center" vertical="center" wrapText="1"/>
    </xf>
    <xf numFmtId="0" fontId="68" fillId="6" borderId="4" xfId="0" applyFont="1" applyFill="1" applyBorder="1"/>
    <xf numFmtId="0" fontId="13" fillId="0" borderId="0" xfId="1557" applyFont="1"/>
    <xf numFmtId="166" fontId="29" fillId="0" borderId="0" xfId="0" applyNumberFormat="1" applyFont="1" applyAlignment="1">
      <alignment horizontal="right" vertical="top"/>
    </xf>
    <xf numFmtId="1" fontId="0" fillId="0" borderId="45" xfId="0" applyNumberFormat="1" applyBorder="1"/>
    <xf numFmtId="0" fontId="65" fillId="0" borderId="0" xfId="0" applyFont="1"/>
    <xf numFmtId="166" fontId="23" fillId="0" borderId="0" xfId="0" applyNumberFormat="1" applyFont="1"/>
    <xf numFmtId="0" fontId="23" fillId="0" borderId="55" xfId="0" applyFont="1" applyBorder="1" applyAlignment="1">
      <alignment horizontal="center" vertical="center" wrapText="1"/>
    </xf>
    <xf numFmtId="0" fontId="23" fillId="0" borderId="73" xfId="0" applyFont="1" applyBorder="1" applyAlignment="1">
      <alignment horizontal="center" vertical="center" wrapText="1"/>
    </xf>
    <xf numFmtId="0" fontId="65" fillId="0" borderId="73" xfId="1557" applyFont="1" applyBorder="1" applyAlignment="1">
      <alignment vertical="center" wrapText="1"/>
    </xf>
    <xf numFmtId="0" fontId="23" fillId="0" borderId="54" xfId="0" applyFont="1" applyBorder="1" applyAlignment="1">
      <alignment horizontal="center" vertical="center" wrapText="1"/>
    </xf>
    <xf numFmtId="1" fontId="23" fillId="14" borderId="45" xfId="0" applyNumberFormat="1" applyFont="1" applyFill="1" applyBorder="1" applyAlignment="1" applyProtection="1">
      <alignment horizontal="center" vertical="center"/>
      <protection locked="0"/>
    </xf>
    <xf numFmtId="0" fontId="12" fillId="0" borderId="0" xfId="1557" applyFont="1"/>
    <xf numFmtId="1" fontId="29" fillId="0" borderId="0" xfId="0" applyNumberFormat="1" applyFont="1"/>
    <xf numFmtId="2" fontId="26" fillId="6" borderId="0" xfId="0" applyNumberFormat="1" applyFont="1" applyFill="1" applyAlignment="1">
      <alignment horizontal="left"/>
    </xf>
    <xf numFmtId="0" fontId="33" fillId="0" borderId="0" xfId="723" applyFont="1" applyAlignment="1">
      <alignment horizontal="left" vertical="center" wrapText="1"/>
    </xf>
    <xf numFmtId="0" fontId="33" fillId="0" borderId="0" xfId="723" applyFont="1" applyAlignment="1">
      <alignment horizontal="left" vertical="center"/>
    </xf>
    <xf numFmtId="1" fontId="33" fillId="0" borderId="4" xfId="723" applyNumberFormat="1" applyFont="1" applyBorder="1" applyAlignment="1">
      <alignment horizontal="left" vertical="center" wrapText="1"/>
    </xf>
    <xf numFmtId="175" fontId="0" fillId="0" borderId="0" xfId="0" applyNumberFormat="1" applyAlignment="1">
      <alignment horizontal="right"/>
    </xf>
    <xf numFmtId="0" fontId="23" fillId="0" borderId="0" xfId="0" applyFont="1" applyAlignment="1">
      <alignment horizontal="center" wrapText="1"/>
    </xf>
    <xf numFmtId="2" fontId="36" fillId="0" borderId="0" xfId="0" applyNumberFormat="1" applyFont="1" applyAlignment="1">
      <alignment vertical="center"/>
    </xf>
    <xf numFmtId="0" fontId="87" fillId="0" borderId="0" xfId="0" applyFont="1" applyAlignment="1">
      <alignment horizontal="center" wrapText="1"/>
    </xf>
    <xf numFmtId="0" fontId="87" fillId="0" borderId="0" xfId="0" applyFont="1" applyAlignment="1">
      <alignment wrapText="1"/>
    </xf>
    <xf numFmtId="4" fontId="0" fillId="6" borderId="0" xfId="0" applyNumberFormat="1" applyFill="1"/>
    <xf numFmtId="0" fontId="26" fillId="5" borderId="2" xfId="0" applyFont="1" applyFill="1" applyBorder="1" applyAlignment="1">
      <alignment horizontal="left" vertical="center"/>
    </xf>
    <xf numFmtId="0" fontId="26" fillId="5" borderId="3" xfId="0" applyFont="1" applyFill="1" applyBorder="1" applyAlignment="1">
      <alignment horizontal="left" vertical="center"/>
    </xf>
    <xf numFmtId="0" fontId="65" fillId="0" borderId="10" xfId="0" applyFont="1" applyBorder="1" applyAlignment="1">
      <alignment horizontal="center" vertical="center" wrapText="1"/>
    </xf>
    <xf numFmtId="0" fontId="33" fillId="6" borderId="0" xfId="0" applyFont="1" applyFill="1"/>
    <xf numFmtId="0" fontId="0" fillId="6" borderId="0" xfId="0" applyFill="1" applyAlignment="1">
      <alignment wrapText="1"/>
    </xf>
    <xf numFmtId="165" fontId="0" fillId="6" borderId="0" xfId="0" applyNumberFormat="1" applyFill="1"/>
    <xf numFmtId="0" fontId="71" fillId="6" borderId="0" xfId="0" applyFont="1" applyFill="1"/>
    <xf numFmtId="0" fontId="28" fillId="0" borderId="4" xfId="0" applyFont="1" applyBorder="1" applyAlignment="1">
      <alignment horizontal="left" vertical="center" wrapText="1"/>
    </xf>
    <xf numFmtId="0" fontId="26" fillId="5" borderId="4" xfId="0" applyFont="1" applyFill="1" applyBorder="1"/>
    <xf numFmtId="0" fontId="0" fillId="5" borderId="0" xfId="0" applyFill="1"/>
    <xf numFmtId="0" fontId="0" fillId="5" borderId="5" xfId="0" applyFill="1" applyBorder="1"/>
    <xf numFmtId="0" fontId="0" fillId="0" borderId="17" xfId="0" applyBorder="1" applyAlignment="1">
      <alignment horizontal="center" vertical="center" wrapText="1"/>
    </xf>
    <xf numFmtId="4" fontId="29" fillId="0" borderId="0" xfId="1554" applyNumberFormat="1" applyFont="1" applyAlignment="1">
      <alignment horizontal="right" vertical="top"/>
    </xf>
    <xf numFmtId="3" fontId="29" fillId="0" borderId="0" xfId="0" applyNumberFormat="1" applyFont="1" applyAlignment="1">
      <alignment horizontal="right" vertical="top"/>
    </xf>
    <xf numFmtId="4" fontId="29" fillId="0" borderId="0" xfId="0" applyNumberFormat="1" applyFont="1" applyAlignment="1">
      <alignment horizontal="right" vertical="top"/>
    </xf>
    <xf numFmtId="1" fontId="29" fillId="0" borderId="0" xfId="0" applyNumberFormat="1" applyFont="1" applyAlignment="1">
      <alignment horizontal="right" vertical="top"/>
    </xf>
    <xf numFmtId="166" fontId="0" fillId="0" borderId="0" xfId="0" applyNumberFormat="1"/>
    <xf numFmtId="0" fontId="26" fillId="5" borderId="0" xfId="0" applyFont="1" applyFill="1" applyAlignment="1">
      <alignment horizontal="left"/>
    </xf>
    <xf numFmtId="0" fontId="0" fillId="0" borderId="45" xfId="0" applyBorder="1"/>
    <xf numFmtId="0" fontId="57" fillId="11" borderId="0" xfId="0" applyFont="1" applyFill="1" applyAlignment="1">
      <alignment wrapText="1"/>
    </xf>
    <xf numFmtId="0" fontId="23" fillId="11" borderId="10" xfId="0" applyFont="1" applyFill="1" applyBorder="1" applyAlignment="1">
      <alignment horizontal="center" wrapText="1"/>
    </xf>
    <xf numFmtId="0" fontId="0" fillId="11" borderId="0" xfId="0" applyFill="1" applyAlignment="1">
      <alignment horizontal="center"/>
    </xf>
    <xf numFmtId="1" fontId="0" fillId="6" borderId="59" xfId="0" applyNumberFormat="1" applyFill="1" applyBorder="1"/>
    <xf numFmtId="166" fontId="0" fillId="0" borderId="59" xfId="0" applyNumberFormat="1" applyBorder="1"/>
    <xf numFmtId="0" fontId="10" fillId="0" borderId="0" xfId="0" applyFont="1" applyAlignment="1">
      <alignment horizontal="left" vertical="center"/>
    </xf>
    <xf numFmtId="0" fontId="0" fillId="0" borderId="0" xfId="0" applyAlignment="1">
      <alignment horizontal="center" vertical="top" wrapText="1"/>
    </xf>
    <xf numFmtId="0" fontId="32" fillId="0" borderId="0" xfId="0" applyFont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14" borderId="28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0" fillId="6" borderId="30" xfId="0" applyFont="1" applyFill="1" applyBorder="1" applyAlignment="1">
      <alignment horizontal="center" vertical="center" wrapText="1"/>
    </xf>
    <xf numFmtId="0" fontId="26" fillId="0" borderId="17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 wrapText="1"/>
    </xf>
    <xf numFmtId="0" fontId="0" fillId="0" borderId="15" xfId="0" applyBorder="1" applyAlignment="1">
      <alignment horizontal="left" vertical="center"/>
    </xf>
    <xf numFmtId="0" fontId="0" fillId="0" borderId="28" xfId="0" applyBorder="1" applyAlignment="1">
      <alignment horizontal="center" vertical="center"/>
    </xf>
    <xf numFmtId="0" fontId="0" fillId="0" borderId="34" xfId="0" applyBorder="1" applyAlignment="1">
      <alignment horizontal="center" vertical="center" wrapText="1"/>
    </xf>
    <xf numFmtId="0" fontId="0" fillId="6" borderId="8" xfId="0" applyFill="1" applyBorder="1" applyAlignment="1">
      <alignment horizontal="center" vertical="center" wrapText="1"/>
    </xf>
    <xf numFmtId="0" fontId="0" fillId="0" borderId="34" xfId="0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0" fillId="0" borderId="38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/>
    </xf>
    <xf numFmtId="0" fontId="26" fillId="0" borderId="41" xfId="0" applyFont="1" applyBorder="1" applyAlignment="1">
      <alignment horizontal="center" vertical="center" wrapText="1"/>
    </xf>
    <xf numFmtId="0" fontId="0" fillId="0" borderId="42" xfId="0" applyBorder="1" applyAlignment="1">
      <alignment horizontal="center" vertical="center"/>
    </xf>
    <xf numFmtId="2" fontId="0" fillId="0" borderId="42" xfId="0" applyNumberFormat="1" applyBorder="1" applyAlignment="1">
      <alignment horizontal="center" vertical="center"/>
    </xf>
    <xf numFmtId="2" fontId="0" fillId="0" borderId="40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0" fillId="0" borderId="49" xfId="0" applyBorder="1"/>
    <xf numFmtId="0" fontId="0" fillId="0" borderId="76" xfId="0" applyBorder="1"/>
    <xf numFmtId="0" fontId="10" fillId="14" borderId="31" xfId="0" applyFont="1" applyFill="1" applyBorder="1" applyAlignment="1">
      <alignment horizontal="center" vertical="center" wrapText="1"/>
    </xf>
    <xf numFmtId="0" fontId="0" fillId="6" borderId="22" xfId="0" applyFill="1" applyBorder="1" applyAlignment="1">
      <alignment vertical="center"/>
    </xf>
    <xf numFmtId="0" fontId="0" fillId="0" borderId="24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0" fillId="6" borderId="0" xfId="0" applyFill="1" applyAlignment="1">
      <alignment horizontal="left"/>
    </xf>
    <xf numFmtId="0" fontId="29" fillId="6" borderId="4" xfId="0" applyFont="1" applyFill="1" applyBorder="1" applyAlignment="1">
      <alignment horizontal="left" vertical="center" wrapText="1"/>
    </xf>
    <xf numFmtId="0" fontId="29" fillId="6" borderId="0" xfId="0" applyFont="1" applyFill="1" applyAlignment="1">
      <alignment horizontal="left" vertical="center"/>
    </xf>
    <xf numFmtId="2" fontId="29" fillId="6" borderId="5" xfId="0" applyNumberFormat="1" applyFont="1" applyFill="1" applyBorder="1" applyAlignment="1">
      <alignment horizontal="center" vertical="center"/>
    </xf>
    <xf numFmtId="2" fontId="29" fillId="6" borderId="0" xfId="0" applyNumberFormat="1" applyFont="1" applyFill="1" applyAlignment="1">
      <alignment horizontal="center" vertical="center"/>
    </xf>
    <xf numFmtId="1" fontId="29" fillId="6" borderId="66" xfId="6" applyNumberFormat="1" applyFont="1" applyFill="1" applyBorder="1" applyAlignment="1">
      <alignment horizontal="center" vertical="center"/>
    </xf>
    <xf numFmtId="0" fontId="33" fillId="6" borderId="77" xfId="0" applyFont="1" applyFill="1" applyBorder="1" applyAlignment="1">
      <alignment horizontal="left" vertical="center" wrapText="1"/>
    </xf>
    <xf numFmtId="0" fontId="0" fillId="6" borderId="59" xfId="0" applyFill="1" applyBorder="1" applyAlignment="1">
      <alignment horizontal="left" vertical="center"/>
    </xf>
    <xf numFmtId="2" fontId="0" fillId="6" borderId="74" xfId="0" applyNumberFormat="1" applyFill="1" applyBorder="1" applyAlignment="1">
      <alignment horizontal="center" vertical="center"/>
    </xf>
    <xf numFmtId="2" fontId="0" fillId="6" borderId="59" xfId="0" applyNumberFormat="1" applyFill="1" applyBorder="1" applyAlignment="1">
      <alignment horizontal="center" vertical="center"/>
    </xf>
    <xf numFmtId="1" fontId="34" fillId="6" borderId="68" xfId="6" applyNumberFormat="1" applyFont="1" applyFill="1" applyBorder="1" applyAlignment="1">
      <alignment horizontal="center" vertical="center"/>
    </xf>
    <xf numFmtId="0" fontId="29" fillId="6" borderId="59" xfId="0" applyFont="1" applyFill="1" applyBorder="1" applyAlignment="1">
      <alignment horizontal="left" vertical="center"/>
    </xf>
    <xf numFmtId="2" fontId="29" fillId="6" borderId="74" xfId="0" applyNumberFormat="1" applyFont="1" applyFill="1" applyBorder="1" applyAlignment="1">
      <alignment horizontal="center" vertical="center"/>
    </xf>
    <xf numFmtId="2" fontId="29" fillId="6" borderId="59" xfId="0" applyNumberFormat="1" applyFont="1" applyFill="1" applyBorder="1" applyAlignment="1">
      <alignment horizontal="center" vertical="center"/>
    </xf>
    <xf numFmtId="1" fontId="29" fillId="6" borderId="68" xfId="6" applyNumberFormat="1" applyFont="1" applyFill="1" applyBorder="1" applyAlignment="1">
      <alignment horizontal="center" vertical="center"/>
    </xf>
    <xf numFmtId="2" fontId="29" fillId="0" borderId="19" xfId="0" applyNumberFormat="1" applyFont="1" applyBorder="1"/>
    <xf numFmtId="2" fontId="26" fillId="23" borderId="58" xfId="0" applyNumberFormat="1" applyFont="1" applyFill="1" applyBorder="1" applyAlignment="1">
      <alignment horizontal="right"/>
    </xf>
    <xf numFmtId="2" fontId="26" fillId="0" borderId="38" xfId="0" applyNumberFormat="1" applyFont="1" applyBorder="1" applyAlignment="1">
      <alignment horizontal="right"/>
    </xf>
    <xf numFmtId="2" fontId="26" fillId="23" borderId="30" xfId="0" applyNumberFormat="1" applyFont="1" applyFill="1" applyBorder="1" applyAlignment="1">
      <alignment horizontal="right"/>
    </xf>
    <xf numFmtId="2" fontId="29" fillId="23" borderId="36" xfId="0" applyNumberFormat="1" applyFont="1" applyFill="1" applyBorder="1"/>
    <xf numFmtId="0" fontId="47" fillId="0" borderId="21" xfId="0" applyFont="1" applyBorder="1" applyAlignment="1">
      <alignment horizontal="center" vertical="center" wrapText="1"/>
    </xf>
    <xf numFmtId="2" fontId="29" fillId="0" borderId="22" xfId="0" applyNumberFormat="1" applyFont="1" applyBorder="1"/>
    <xf numFmtId="2" fontId="33" fillId="0" borderId="0" xfId="0" applyNumberFormat="1" applyFont="1"/>
    <xf numFmtId="2" fontId="0" fillId="6" borderId="0" xfId="0" applyNumberFormat="1" applyFill="1"/>
    <xf numFmtId="0" fontId="0" fillId="6" borderId="4" xfId="0" applyFill="1" applyBorder="1"/>
    <xf numFmtId="0" fontId="0" fillId="6" borderId="5" xfId="0" applyFill="1" applyBorder="1"/>
    <xf numFmtId="3" fontId="0" fillId="6" borderId="0" xfId="0" applyNumberFormat="1" applyFill="1"/>
    <xf numFmtId="0" fontId="0" fillId="6" borderId="6" xfId="0" applyFill="1" applyBorder="1"/>
    <xf numFmtId="0" fontId="26" fillId="5" borderId="4" xfId="0" applyFont="1" applyFill="1" applyBorder="1" applyAlignment="1">
      <alignment horizontal="left" vertical="center"/>
    </xf>
    <xf numFmtId="0" fontId="26" fillId="5" borderId="5" xfId="0" applyFont="1" applyFill="1" applyBorder="1" applyAlignment="1">
      <alignment horizontal="left" vertical="center"/>
    </xf>
    <xf numFmtId="2" fontId="0" fillId="6" borderId="5" xfId="0" applyNumberFormat="1" applyFill="1" applyBorder="1"/>
    <xf numFmtId="0" fontId="0" fillId="6" borderId="70" xfId="0" applyFill="1" applyBorder="1" applyAlignment="1">
      <alignment horizontal="center"/>
    </xf>
    <xf numFmtId="0" fontId="8" fillId="0" borderId="0" xfId="1557" applyFont="1"/>
    <xf numFmtId="2" fontId="29" fillId="6" borderId="19" xfId="0" applyNumberFormat="1" applyFont="1" applyFill="1" applyBorder="1"/>
    <xf numFmtId="0" fontId="88" fillId="0" borderId="0" xfId="0" applyFont="1"/>
    <xf numFmtId="0" fontId="89" fillId="0" borderId="0" xfId="6" applyFont="1"/>
    <xf numFmtId="0" fontId="89" fillId="0" borderId="0" xfId="0" applyFont="1"/>
    <xf numFmtId="0" fontId="90" fillId="0" borderId="0" xfId="0" applyFont="1"/>
    <xf numFmtId="0" fontId="0" fillId="6" borderId="0" xfId="0" applyFill="1" applyAlignment="1">
      <alignment horizontal="left" vertical="top" wrapText="1"/>
    </xf>
    <xf numFmtId="1" fontId="0" fillId="6" borderId="0" xfId="0" applyNumberFormat="1" applyFill="1" applyAlignment="1">
      <alignment horizontal="right" vertical="center" wrapText="1"/>
    </xf>
    <xf numFmtId="2" fontId="29" fillId="6" borderId="50" xfId="723" applyNumberFormat="1" applyFont="1" applyFill="1" applyBorder="1" applyAlignment="1">
      <alignment horizontal="right" vertical="center"/>
    </xf>
    <xf numFmtId="0" fontId="41" fillId="0" borderId="1" xfId="0" applyFont="1" applyBorder="1" applyAlignment="1">
      <alignment horizontal="center" vertical="center" wrapText="1"/>
    </xf>
    <xf numFmtId="165" fontId="47" fillId="0" borderId="1" xfId="1" applyNumberFormat="1" applyFont="1" applyFill="1" applyBorder="1" applyAlignment="1">
      <alignment horizontal="center"/>
    </xf>
    <xf numFmtId="2" fontId="47" fillId="0" borderId="1" xfId="1" applyNumberFormat="1" applyFont="1" applyFill="1" applyBorder="1" applyAlignment="1">
      <alignment horizontal="center"/>
    </xf>
    <xf numFmtId="166" fontId="47" fillId="0" borderId="1" xfId="1" applyNumberFormat="1" applyFont="1" applyFill="1" applyBorder="1" applyAlignment="1">
      <alignment horizontal="center"/>
    </xf>
    <xf numFmtId="167" fontId="47" fillId="0" borderId="1" xfId="1" applyNumberFormat="1" applyFont="1" applyFill="1" applyBorder="1" applyAlignment="1">
      <alignment horizontal="center"/>
    </xf>
    <xf numFmtId="0" fontId="0" fillId="6" borderId="16" xfId="0" applyFill="1" applyBorder="1" applyAlignment="1">
      <alignment horizontal="center" vertical="center" wrapText="1"/>
    </xf>
    <xf numFmtId="0" fontId="0" fillId="6" borderId="37" xfId="0" applyFill="1" applyBorder="1" applyAlignment="1">
      <alignment horizontal="center" vertical="center" wrapText="1"/>
    </xf>
    <xf numFmtId="2" fontId="78" fillId="0" borderId="38" xfId="0" applyNumberFormat="1" applyFont="1" applyBorder="1" applyAlignment="1">
      <alignment horizontal="center" vertical="center" wrapText="1"/>
    </xf>
    <xf numFmtId="0" fontId="0" fillId="14" borderId="19" xfId="0" applyFill="1" applyBorder="1" applyAlignment="1" applyProtection="1">
      <alignment horizontal="center" vertical="center"/>
      <protection locked="0"/>
    </xf>
    <xf numFmtId="0" fontId="0" fillId="14" borderId="58" xfId="0" applyFill="1" applyBorder="1" applyAlignment="1" applyProtection="1">
      <alignment horizontal="center" vertical="center"/>
      <protection locked="0"/>
    </xf>
    <xf numFmtId="0" fontId="0" fillId="6" borderId="48" xfId="0" applyFill="1" applyBorder="1" applyAlignment="1">
      <alignment horizontal="center" vertical="center" wrapText="1"/>
    </xf>
    <xf numFmtId="0" fontId="0" fillId="6" borderId="0" xfId="0" applyFill="1" applyAlignment="1" applyProtection="1">
      <alignment horizontal="center" vertical="center" wrapText="1"/>
      <protection locked="0"/>
    </xf>
    <xf numFmtId="2" fontId="78" fillId="0" borderId="1" xfId="0" applyNumberFormat="1" applyFont="1" applyBorder="1" applyAlignment="1">
      <alignment horizontal="center" vertical="center" wrapText="1"/>
    </xf>
    <xf numFmtId="2" fontId="78" fillId="0" borderId="30" xfId="0" applyNumberFormat="1" applyFont="1" applyBorder="1" applyAlignment="1">
      <alignment horizontal="center" vertical="center" wrapText="1"/>
    </xf>
    <xf numFmtId="0" fontId="78" fillId="0" borderId="12" xfId="0" applyFont="1" applyBorder="1" applyAlignment="1">
      <alignment horizontal="center" vertical="center" wrapText="1"/>
    </xf>
    <xf numFmtId="0" fontId="78" fillId="0" borderId="25" xfId="0" applyFont="1" applyBorder="1" applyAlignment="1">
      <alignment horizontal="center" vertical="center" wrapText="1"/>
    </xf>
    <xf numFmtId="0" fontId="0" fillId="6" borderId="65" xfId="0" applyFill="1" applyBorder="1" applyAlignment="1">
      <alignment horizontal="center" vertical="center" wrapText="1"/>
    </xf>
    <xf numFmtId="0" fontId="0" fillId="14" borderId="67" xfId="0" applyFill="1" applyBorder="1" applyAlignment="1" applyProtection="1">
      <alignment horizontal="center" vertical="center"/>
      <protection locked="0"/>
    </xf>
    <xf numFmtId="0" fontId="0" fillId="14" borderId="68" xfId="0" applyFill="1" applyBorder="1" applyAlignment="1" applyProtection="1">
      <alignment horizontal="center" vertical="center"/>
      <protection locked="0"/>
    </xf>
    <xf numFmtId="2" fontId="78" fillId="0" borderId="25" xfId="0" applyNumberFormat="1" applyFont="1" applyBorder="1" applyAlignment="1">
      <alignment horizontal="center" vertical="center" wrapText="1"/>
    </xf>
    <xf numFmtId="1" fontId="26" fillId="6" borderId="0" xfId="0" applyNumberFormat="1" applyFont="1" applyFill="1" applyAlignment="1">
      <alignment horizontal="right" vertical="center"/>
    </xf>
    <xf numFmtId="1" fontId="26" fillId="6" borderId="5" xfId="0" applyNumberFormat="1" applyFont="1" applyFill="1" applyBorder="1" applyAlignment="1">
      <alignment horizontal="right" vertical="center"/>
    </xf>
    <xf numFmtId="1" fontId="0" fillId="6" borderId="4" xfId="0" applyNumberFormat="1" applyFill="1" applyBorder="1" applyAlignment="1">
      <alignment horizontal="left" vertical="center"/>
    </xf>
    <xf numFmtId="1" fontId="0" fillId="6" borderId="0" xfId="0" applyNumberFormat="1" applyFill="1" applyAlignment="1">
      <alignment horizontal="right" vertical="center"/>
    </xf>
    <xf numFmtId="1" fontId="0" fillId="6" borderId="5" xfId="0" applyNumberFormat="1" applyFill="1" applyBorder="1" applyAlignment="1">
      <alignment horizontal="right" vertical="center"/>
    </xf>
    <xf numFmtId="0" fontId="0" fillId="6" borderId="5" xfId="0" applyFill="1" applyBorder="1" applyAlignment="1">
      <alignment horizontal="right" vertical="center"/>
    </xf>
    <xf numFmtId="0" fontId="26" fillId="6" borderId="4" xfId="0" applyFont="1" applyFill="1" applyBorder="1" applyAlignment="1">
      <alignment horizontal="left" vertical="center"/>
    </xf>
    <xf numFmtId="2" fontId="0" fillId="6" borderId="0" xfId="0" applyNumberFormat="1" applyFill="1" applyAlignment="1">
      <alignment horizontal="right" vertical="center"/>
    </xf>
    <xf numFmtId="2" fontId="0" fillId="6" borderId="5" xfId="0" applyNumberFormat="1" applyFill="1" applyBorder="1" applyAlignment="1">
      <alignment horizontal="right" vertical="center"/>
    </xf>
    <xf numFmtId="2" fontId="26" fillId="6" borderId="0" xfId="0" applyNumberFormat="1" applyFont="1" applyFill="1" applyAlignment="1">
      <alignment horizontal="right" vertical="center"/>
    </xf>
    <xf numFmtId="2" fontId="26" fillId="6" borderId="5" xfId="0" applyNumberFormat="1" applyFont="1" applyFill="1" applyBorder="1" applyAlignment="1">
      <alignment horizontal="right" vertical="center"/>
    </xf>
    <xf numFmtId="1" fontId="0" fillId="6" borderId="6" xfId="0" applyNumberFormat="1" applyFill="1" applyBorder="1" applyAlignment="1">
      <alignment horizontal="left" vertical="center"/>
    </xf>
    <xf numFmtId="2" fontId="0" fillId="6" borderId="45" xfId="0" applyNumberFormat="1" applyFill="1" applyBorder="1" applyAlignment="1">
      <alignment horizontal="right" vertical="center"/>
    </xf>
    <xf numFmtId="2" fontId="0" fillId="6" borderId="7" xfId="0" applyNumberFormat="1" applyFill="1" applyBorder="1" applyAlignment="1">
      <alignment horizontal="right" vertical="center"/>
    </xf>
    <xf numFmtId="0" fontId="26" fillId="6" borderId="5" xfId="0" applyFont="1" applyFill="1" applyBorder="1" applyAlignment="1">
      <alignment horizontal="left" vertical="center"/>
    </xf>
    <xf numFmtId="172" fontId="0" fillId="6" borderId="5" xfId="1833" applyNumberFormat="1" applyFont="1" applyFill="1" applyBorder="1"/>
    <xf numFmtId="2" fontId="35" fillId="6" borderId="0" xfId="0" applyNumberFormat="1" applyFont="1" applyFill="1" applyAlignment="1">
      <alignment horizontal="left"/>
    </xf>
    <xf numFmtId="0" fontId="39" fillId="6" borderId="4" xfId="0" applyFont="1" applyFill="1" applyBorder="1"/>
    <xf numFmtId="167" fontId="0" fillId="6" borderId="5" xfId="0" applyNumberFormat="1" applyFill="1" applyBorder="1"/>
    <xf numFmtId="1" fontId="0" fillId="6" borderId="5" xfId="0" applyNumberFormat="1" applyFill="1" applyBorder="1"/>
    <xf numFmtId="167" fontId="0" fillId="6" borderId="0" xfId="0" applyNumberFormat="1" applyFill="1"/>
    <xf numFmtId="168" fontId="0" fillId="6" borderId="5" xfId="1833" applyNumberFormat="1" applyFont="1" applyFill="1" applyBorder="1"/>
    <xf numFmtId="0" fontId="32" fillId="6" borderId="4" xfId="0" applyFont="1" applyFill="1" applyBorder="1"/>
    <xf numFmtId="1" fontId="0" fillId="6" borderId="5" xfId="1833" applyNumberFormat="1" applyFont="1" applyFill="1" applyBorder="1"/>
    <xf numFmtId="4" fontId="0" fillId="6" borderId="5" xfId="1833" applyNumberFormat="1" applyFont="1" applyFill="1" applyBorder="1"/>
    <xf numFmtId="2" fontId="68" fillId="6" borderId="4" xfId="0" applyNumberFormat="1" applyFont="1" applyFill="1" applyBorder="1"/>
    <xf numFmtId="2" fontId="0" fillId="6" borderId="4" xfId="0" applyNumberFormat="1" applyFill="1" applyBorder="1"/>
    <xf numFmtId="2" fontId="0" fillId="6" borderId="5" xfId="1833" applyNumberFormat="1" applyFont="1" applyFill="1" applyBorder="1"/>
    <xf numFmtId="43" fontId="0" fillId="6" borderId="5" xfId="1833" applyFont="1" applyFill="1" applyBorder="1"/>
    <xf numFmtId="168" fontId="39" fillId="6" borderId="5" xfId="1833" applyNumberFormat="1" applyFont="1" applyFill="1" applyBorder="1"/>
    <xf numFmtId="168" fontId="0" fillId="6" borderId="7" xfId="1833" applyNumberFormat="1" applyFont="1" applyFill="1" applyBorder="1"/>
    <xf numFmtId="1" fontId="89" fillId="0" borderId="45" xfId="0" applyNumberFormat="1" applyFont="1" applyBorder="1" applyAlignment="1" applyProtection="1">
      <alignment horizontal="center" vertical="center"/>
      <protection locked="0"/>
    </xf>
    <xf numFmtId="0" fontId="26" fillId="0" borderId="4" xfId="0" applyFont="1" applyBorder="1"/>
    <xf numFmtId="0" fontId="26" fillId="0" borderId="0" xfId="0" applyFont="1" applyAlignment="1">
      <alignment horizontal="center"/>
    </xf>
    <xf numFmtId="0" fontId="26" fillId="0" borderId="5" xfId="0" applyFont="1" applyBorder="1" applyAlignment="1">
      <alignment horizontal="center"/>
    </xf>
    <xf numFmtId="1" fontId="0" fillId="0" borderId="4" xfId="0" applyNumberFormat="1" applyBorder="1"/>
    <xf numFmtId="1" fontId="0" fillId="0" borderId="5" xfId="0" applyNumberFormat="1" applyBorder="1"/>
    <xf numFmtId="0" fontId="26" fillId="0" borderId="6" xfId="0" applyFont="1" applyBorder="1"/>
    <xf numFmtId="1" fontId="0" fillId="0" borderId="7" xfId="0" applyNumberFormat="1" applyBorder="1"/>
    <xf numFmtId="0" fontId="91" fillId="0" borderId="0" xfId="0" applyFont="1"/>
    <xf numFmtId="0" fontId="26" fillId="5" borderId="0" xfId="0" applyFont="1" applyFill="1" applyAlignment="1">
      <alignment horizontal="left" vertical="center"/>
    </xf>
    <xf numFmtId="172" fontId="0" fillId="18" borderId="0" xfId="1833" applyNumberFormat="1" applyFont="1" applyFill="1"/>
    <xf numFmtId="0" fontId="26" fillId="5" borderId="50" xfId="0" applyFont="1" applyFill="1" applyBorder="1" applyAlignment="1">
      <alignment horizontal="left" vertical="center"/>
    </xf>
    <xf numFmtId="0" fontId="7" fillId="6" borderId="25" xfId="0" applyFont="1" applyFill="1" applyBorder="1" applyAlignment="1">
      <alignment horizontal="center" vertical="center" wrapText="1"/>
    </xf>
    <xf numFmtId="1" fontId="0" fillId="14" borderId="19" xfId="0" applyNumberFormat="1" applyFill="1" applyBorder="1" applyAlignment="1" applyProtection="1">
      <alignment horizontal="center" vertical="center"/>
      <protection locked="0"/>
    </xf>
    <xf numFmtId="2" fontId="29" fillId="14" borderId="1" xfId="0" applyNumberFormat="1" applyFont="1" applyFill="1" applyBorder="1" applyProtection="1">
      <protection locked="0"/>
    </xf>
    <xf numFmtId="0" fontId="71" fillId="0" borderId="1" xfId="0" applyFont="1" applyBorder="1"/>
    <xf numFmtId="2" fontId="0" fillId="14" borderId="1" xfId="0" applyNumberFormat="1" applyFill="1" applyBorder="1" applyProtection="1">
      <protection locked="0"/>
    </xf>
    <xf numFmtId="0" fontId="29" fillId="0" borderId="12" xfId="0" applyFont="1" applyBorder="1"/>
    <xf numFmtId="2" fontId="29" fillId="14" borderId="12" xfId="0" applyNumberFormat="1" applyFont="1" applyFill="1" applyBorder="1" applyProtection="1">
      <protection locked="0"/>
    </xf>
    <xf numFmtId="2" fontId="29" fillId="0" borderId="12" xfId="0" applyNumberFormat="1" applyFont="1" applyBorder="1"/>
    <xf numFmtId="0" fontId="71" fillId="0" borderId="12" xfId="0" applyFont="1" applyBorder="1"/>
    <xf numFmtId="1" fontId="29" fillId="14" borderId="1" xfId="0" applyNumberFormat="1" applyFont="1" applyFill="1" applyBorder="1" applyAlignment="1" applyProtection="1">
      <alignment horizontal="left" vertical="center"/>
      <protection locked="0"/>
    </xf>
    <xf numFmtId="2" fontId="32" fillId="14" borderId="1" xfId="0" applyNumberFormat="1" applyFont="1" applyFill="1" applyBorder="1" applyAlignment="1" applyProtection="1">
      <alignment horizontal="center" vertical="center" wrapText="1"/>
      <protection locked="0"/>
    </xf>
    <xf numFmtId="2" fontId="29" fillId="14" borderId="1" xfId="0" applyNumberFormat="1" applyFont="1" applyFill="1" applyBorder="1" applyAlignment="1" applyProtection="1">
      <alignment horizontal="left" vertical="center"/>
      <protection locked="0"/>
    </xf>
    <xf numFmtId="2" fontId="29" fillId="14" borderId="1" xfId="6" applyNumberFormat="1" applyFont="1" applyFill="1" applyBorder="1" applyAlignment="1" applyProtection="1">
      <alignment horizontal="left" vertical="center"/>
      <protection locked="0"/>
    </xf>
    <xf numFmtId="167" fontId="29" fillId="14" borderId="1" xfId="6" applyNumberFormat="1" applyFont="1" applyFill="1" applyBorder="1" applyAlignment="1" applyProtection="1">
      <alignment horizontal="left" vertical="center"/>
      <protection locked="0"/>
    </xf>
    <xf numFmtId="167" fontId="29" fillId="14" borderId="1" xfId="0" applyNumberFormat="1" applyFont="1" applyFill="1" applyBorder="1" applyAlignment="1" applyProtection="1">
      <alignment horizontal="left" vertical="center"/>
      <protection locked="0"/>
    </xf>
    <xf numFmtId="0" fontId="0" fillId="0" borderId="36" xfId="0" applyBorder="1" applyAlignment="1">
      <alignment horizontal="center" vertical="center" wrapText="1"/>
    </xf>
    <xf numFmtId="0" fontId="57" fillId="9" borderId="0" xfId="0" applyFont="1" applyFill="1" applyAlignment="1">
      <alignment horizontal="center" vertical="center" wrapText="1"/>
    </xf>
    <xf numFmtId="2" fontId="29" fillId="14" borderId="1" xfId="0" applyNumberFormat="1" applyFont="1" applyFill="1" applyBorder="1" applyAlignment="1">
      <alignment horizontal="center" vertical="center"/>
    </xf>
    <xf numFmtId="2" fontId="29" fillId="14" borderId="1" xfId="6" applyNumberFormat="1" applyFont="1" applyFill="1" applyBorder="1" applyAlignment="1">
      <alignment horizontal="center" vertical="center"/>
    </xf>
    <xf numFmtId="2" fontId="35" fillId="14" borderId="1" xfId="6" applyNumberFormat="1" applyFont="1" applyFill="1" applyBorder="1" applyAlignment="1">
      <alignment horizontal="center" vertical="center"/>
    </xf>
    <xf numFmtId="1" fontId="15" fillId="0" borderId="0" xfId="0" applyNumberFormat="1" applyFont="1" applyAlignment="1">
      <alignment horizontal="center" vertical="center"/>
    </xf>
    <xf numFmtId="1" fontId="33" fillId="0" borderId="0" xfId="723" applyNumberFormat="1" applyFont="1" applyAlignment="1">
      <alignment horizontal="left" vertical="center" wrapText="1"/>
    </xf>
    <xf numFmtId="0" fontId="6" fillId="4" borderId="0" xfId="0" applyFont="1" applyFill="1" applyAlignment="1">
      <alignment horizontal="center" vertical="center"/>
    </xf>
    <xf numFmtId="2" fontId="6" fillId="4" borderId="1" xfId="0" applyNumberFormat="1" applyFont="1" applyFill="1" applyBorder="1" applyAlignment="1">
      <alignment horizontal="center" vertical="center"/>
    </xf>
    <xf numFmtId="49" fontId="6" fillId="4" borderId="1" xfId="0" applyNumberFormat="1" applyFont="1" applyFill="1" applyBorder="1" applyAlignment="1">
      <alignment horizontal="center" vertical="center"/>
    </xf>
    <xf numFmtId="49" fontId="6" fillId="4" borderId="28" xfId="0" applyNumberFormat="1" applyFont="1" applyFill="1" applyBorder="1" applyAlignment="1">
      <alignment horizontal="center" vertical="center"/>
    </xf>
    <xf numFmtId="2" fontId="6" fillId="4" borderId="12" xfId="0" applyNumberFormat="1" applyFont="1" applyFill="1" applyBorder="1" applyAlignment="1">
      <alignment horizontal="center" vertical="center"/>
    </xf>
    <xf numFmtId="49" fontId="6" fillId="4" borderId="12" xfId="0" applyNumberFormat="1" applyFont="1" applyFill="1" applyBorder="1" applyAlignment="1">
      <alignment horizontal="center" vertical="center"/>
    </xf>
    <xf numFmtId="49" fontId="6" fillId="4" borderId="64" xfId="0" applyNumberFormat="1" applyFont="1" applyFill="1" applyBorder="1" applyAlignment="1">
      <alignment horizontal="center" vertical="center"/>
    </xf>
    <xf numFmtId="2" fontId="6" fillId="4" borderId="8" xfId="0" applyNumberFormat="1" applyFont="1" applyFill="1" applyBorder="1" applyAlignment="1">
      <alignment horizontal="center" vertical="center"/>
    </xf>
    <xf numFmtId="2" fontId="6" fillId="4" borderId="30" xfId="0" applyNumberFormat="1" applyFont="1" applyFill="1" applyBorder="1" applyAlignment="1">
      <alignment horizontal="center" vertical="center"/>
    </xf>
    <xf numFmtId="49" fontId="6" fillId="4" borderId="30" xfId="0" applyNumberFormat="1" applyFont="1" applyFill="1" applyBorder="1" applyAlignment="1">
      <alignment horizontal="center" vertical="center"/>
    </xf>
    <xf numFmtId="49" fontId="6" fillId="4" borderId="31" xfId="0" applyNumberFormat="1" applyFont="1" applyFill="1" applyBorder="1" applyAlignment="1">
      <alignment horizontal="center" vertical="center"/>
    </xf>
    <xf numFmtId="2" fontId="6" fillId="6" borderId="0" xfId="0" applyNumberFormat="1" applyFont="1" applyFill="1" applyAlignment="1">
      <alignment horizontal="center" vertical="center"/>
    </xf>
    <xf numFmtId="49" fontId="6" fillId="6" borderId="0" xfId="0" applyNumberFormat="1" applyFont="1" applyFill="1" applyAlignment="1">
      <alignment horizontal="center" vertical="center"/>
    </xf>
    <xf numFmtId="0" fontId="6" fillId="4" borderId="79" xfId="0" applyFont="1" applyFill="1" applyBorder="1" applyAlignment="1">
      <alignment horizontal="center" vertical="center" wrapText="1"/>
    </xf>
    <xf numFmtId="0" fontId="6" fillId="4" borderId="67" xfId="0" applyFont="1" applyFill="1" applyBorder="1" applyAlignment="1">
      <alignment horizontal="center" vertical="center" wrapText="1"/>
    </xf>
    <xf numFmtId="0" fontId="6" fillId="4" borderId="68" xfId="0" applyFont="1" applyFill="1" applyBorder="1" applyAlignment="1">
      <alignment horizontal="center" vertical="center" wrapText="1"/>
    </xf>
    <xf numFmtId="49" fontId="15" fillId="6" borderId="0" xfId="0" applyNumberFormat="1" applyFont="1" applyFill="1" applyAlignment="1">
      <alignment horizontal="center" vertical="center"/>
    </xf>
    <xf numFmtId="10" fontId="0" fillId="6" borderId="0" xfId="0" applyNumberFormat="1" applyFill="1" applyAlignment="1" applyProtection="1">
      <alignment horizontal="center" vertical="center"/>
      <protection locked="0"/>
    </xf>
    <xf numFmtId="0" fontId="40" fillId="6" borderId="0" xfId="0" applyFont="1" applyFill="1" applyAlignment="1">
      <alignment horizontal="center" vertical="center" wrapText="1"/>
    </xf>
    <xf numFmtId="0" fontId="84" fillId="6" borderId="0" xfId="0" applyFont="1" applyFill="1" applyAlignment="1">
      <alignment horizontal="left" vertical="center"/>
    </xf>
    <xf numFmtId="0" fontId="0" fillId="4" borderId="12" xfId="0" applyFill="1" applyBorder="1"/>
    <xf numFmtId="0" fontId="29" fillId="4" borderId="18" xfId="0" applyFont="1" applyFill="1" applyBorder="1" applyAlignment="1">
      <alignment horizontal="center" vertical="center"/>
    </xf>
    <xf numFmtId="1" fontId="0" fillId="0" borderId="36" xfId="0" applyNumberFormat="1" applyBorder="1"/>
    <xf numFmtId="1" fontId="0" fillId="0" borderId="37" xfId="0" applyNumberFormat="1" applyBorder="1"/>
    <xf numFmtId="2" fontId="0" fillId="14" borderId="30" xfId="0" applyNumberFormat="1" applyFill="1" applyBorder="1" applyAlignment="1" applyProtection="1">
      <alignment horizontal="center"/>
      <protection locked="0"/>
    </xf>
    <xf numFmtId="2" fontId="0" fillId="14" borderId="30" xfId="0" applyNumberFormat="1" applyFill="1" applyBorder="1" applyAlignment="1" applyProtection="1">
      <alignment horizontal="center" vertical="center"/>
      <protection locked="0"/>
    </xf>
    <xf numFmtId="2" fontId="15" fillId="14" borderId="30" xfId="0" applyNumberFormat="1" applyFont="1" applyFill="1" applyBorder="1" applyAlignment="1" applyProtection="1">
      <alignment horizontal="center" vertical="center"/>
      <protection locked="0"/>
    </xf>
    <xf numFmtId="49" fontId="15" fillId="14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36" xfId="0" applyBorder="1"/>
    <xf numFmtId="2" fontId="0" fillId="14" borderId="31" xfId="0" applyNumberFormat="1" applyFill="1" applyBorder="1" applyAlignment="1" applyProtection="1">
      <alignment horizontal="center" vertical="center"/>
      <protection locked="0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32" fillId="0" borderId="36" xfId="0" applyFont="1" applyBorder="1" applyAlignment="1">
      <alignment horizontal="center" vertical="center" wrapText="1"/>
    </xf>
    <xf numFmtId="0" fontId="32" fillId="0" borderId="37" xfId="0" applyFont="1" applyBorder="1" applyAlignment="1">
      <alignment horizontal="center" vertical="center" wrapText="1"/>
    </xf>
    <xf numFmtId="10" fontId="92" fillId="6" borderId="0" xfId="0" applyNumberFormat="1" applyFont="1" applyFill="1" applyAlignment="1">
      <alignment horizontal="center" vertical="center"/>
    </xf>
    <xf numFmtId="0" fontId="41" fillId="6" borderId="1" xfId="0" applyFont="1" applyFill="1" applyBorder="1" applyAlignment="1">
      <alignment horizontal="center" vertical="center" wrapText="1"/>
    </xf>
    <xf numFmtId="0" fontId="41" fillId="6" borderId="25" xfId="0" applyFont="1" applyFill="1" applyBorder="1" applyAlignment="1">
      <alignment horizontal="center" vertical="center" wrapText="1"/>
    </xf>
    <xf numFmtId="0" fontId="29" fillId="6" borderId="25" xfId="0" applyFont="1" applyFill="1" applyBorder="1" applyAlignment="1">
      <alignment horizontal="center" vertical="center" wrapText="1"/>
    </xf>
    <xf numFmtId="0" fontId="72" fillId="0" borderId="0" xfId="0" applyFont="1"/>
    <xf numFmtId="0" fontId="93" fillId="0" borderId="0" xfId="0" applyFont="1" applyAlignment="1">
      <alignment horizontal="center"/>
    </xf>
    <xf numFmtId="9" fontId="94" fillId="0" borderId="0" xfId="1554" applyFont="1"/>
    <xf numFmtId="0" fontId="23" fillId="14" borderId="5" xfId="6" applyFill="1" applyBorder="1" applyProtection="1">
      <protection locked="0"/>
    </xf>
    <xf numFmtId="0" fontId="23" fillId="14" borderId="45" xfId="0" applyFont="1" applyFill="1" applyBorder="1"/>
    <xf numFmtId="1" fontId="28" fillId="0" borderId="45" xfId="1" applyNumberFormat="1" applyFont="1" applyFill="1" applyBorder="1" applyAlignment="1" applyProtection="1">
      <alignment horizontal="center" vertical="center"/>
      <protection locked="0"/>
    </xf>
    <xf numFmtId="1" fontId="29" fillId="0" borderId="1" xfId="0" applyNumberFormat="1" applyFont="1" applyBorder="1" applyAlignment="1">
      <alignment horizontal="center" vertical="center"/>
    </xf>
    <xf numFmtId="1" fontId="29" fillId="0" borderId="30" xfId="0" applyNumberFormat="1" applyFont="1" applyBorder="1" applyAlignment="1">
      <alignment horizontal="center" vertical="center"/>
    </xf>
    <xf numFmtId="10" fontId="0" fillId="14" borderId="30" xfId="0" applyNumberFormat="1" applyFill="1" applyBorder="1" applyAlignment="1" applyProtection="1">
      <alignment horizontal="center" vertical="center"/>
      <protection locked="0"/>
    </xf>
    <xf numFmtId="1" fontId="0" fillId="14" borderId="78" xfId="0" applyNumberFormat="1" applyFill="1" applyBorder="1" applyAlignment="1" applyProtection="1">
      <alignment horizontal="center" vertical="center" wrapText="1"/>
      <protection locked="0"/>
    </xf>
    <xf numFmtId="10" fontId="0" fillId="14" borderId="12" xfId="0" applyNumberFormat="1" applyFill="1" applyBorder="1" applyAlignment="1" applyProtection="1">
      <alignment horizontal="center" vertical="center"/>
      <protection locked="0"/>
    </xf>
    <xf numFmtId="0" fontId="0" fillId="6" borderId="41" xfId="0" applyFill="1" applyBorder="1" applyAlignment="1">
      <alignment horizontal="center" vertical="center"/>
    </xf>
    <xf numFmtId="0" fontId="0" fillId="6" borderId="42" xfId="0" applyFill="1" applyBorder="1" applyAlignment="1">
      <alignment horizontal="center" vertical="center" wrapText="1"/>
    </xf>
    <xf numFmtId="0" fontId="0" fillId="6" borderId="75" xfId="0" applyFill="1" applyBorder="1" applyAlignment="1">
      <alignment horizontal="center" vertical="center" wrapText="1"/>
    </xf>
    <xf numFmtId="0" fontId="0" fillId="6" borderId="41" xfId="0" applyFill="1" applyBorder="1" applyAlignment="1">
      <alignment horizontal="center" vertical="center" wrapText="1"/>
    </xf>
    <xf numFmtId="0" fontId="95" fillId="0" borderId="0" xfId="0" applyFont="1" applyAlignment="1">
      <alignment horizontal="left" vertical="center" wrapText="1"/>
    </xf>
    <xf numFmtId="0" fontId="48" fillId="15" borderId="2" xfId="1553" applyBorder="1"/>
    <xf numFmtId="0" fontId="48" fillId="15" borderId="50" xfId="1553" applyBorder="1"/>
    <xf numFmtId="0" fontId="48" fillId="15" borderId="3" xfId="1553" applyBorder="1"/>
    <xf numFmtId="1" fontId="18" fillId="0" borderId="0" xfId="1557" applyNumberFormat="1"/>
    <xf numFmtId="165" fontId="18" fillId="0" borderId="0" xfId="1557" applyNumberFormat="1"/>
    <xf numFmtId="0" fontId="6" fillId="0" borderId="0" xfId="1557" applyFont="1"/>
    <xf numFmtId="0" fontId="48" fillId="15" borderId="52" xfId="1553" applyBorder="1"/>
    <xf numFmtId="0" fontId="48" fillId="15" borderId="70" xfId="1553" applyBorder="1"/>
    <xf numFmtId="0" fontId="29" fillId="0" borderId="2" xfId="0" applyFont="1" applyBorder="1" applyAlignment="1">
      <alignment horizontal="left"/>
    </xf>
    <xf numFmtId="0" fontId="0" fillId="0" borderId="3" xfId="0" applyBorder="1" applyAlignment="1">
      <alignment horizontal="left" wrapText="1"/>
    </xf>
    <xf numFmtId="0" fontId="29" fillId="0" borderId="6" xfId="0" applyFont="1" applyBorder="1" applyAlignment="1">
      <alignment horizontal="left"/>
    </xf>
    <xf numFmtId="1" fontId="98" fillId="0" borderId="7" xfId="0" applyNumberFormat="1" applyFont="1" applyBorder="1" applyAlignment="1">
      <alignment horizontal="left" vertical="top" indent="6"/>
    </xf>
    <xf numFmtId="1" fontId="22" fillId="0" borderId="0" xfId="6" applyNumberFormat="1" applyFont="1"/>
    <xf numFmtId="0" fontId="18" fillId="27" borderId="0" xfId="1557" applyFill="1"/>
    <xf numFmtId="0" fontId="6" fillId="26" borderId="0" xfId="1557" applyFont="1" applyFill="1"/>
    <xf numFmtId="0" fontId="18" fillId="26" borderId="0" xfId="1557" applyFill="1"/>
    <xf numFmtId="0" fontId="48" fillId="26" borderId="0" xfId="1553" applyFill="1"/>
    <xf numFmtId="2" fontId="48" fillId="0" borderId="0" xfId="1553" applyNumberFormat="1" applyFill="1" applyAlignment="1">
      <alignment horizontal="center"/>
    </xf>
    <xf numFmtId="0" fontId="48" fillId="0" borderId="0" xfId="1553" applyFill="1"/>
    <xf numFmtId="0" fontId="0" fillId="27" borderId="0" xfId="0" applyFill="1"/>
    <xf numFmtId="1" fontId="0" fillId="27" borderId="0" xfId="0" applyNumberFormat="1" applyFill="1"/>
    <xf numFmtId="0" fontId="40" fillId="27" borderId="0" xfId="1557" applyFont="1" applyFill="1"/>
    <xf numFmtId="0" fontId="33" fillId="0" borderId="6" xfId="0" applyFont="1" applyBorder="1" applyAlignment="1">
      <alignment horizontal="left"/>
    </xf>
    <xf numFmtId="168" fontId="99" fillId="0" borderId="45" xfId="1833" applyNumberFormat="1" applyFont="1" applyBorder="1" applyAlignment="1">
      <alignment horizontal="left"/>
    </xf>
    <xf numFmtId="168" fontId="99" fillId="0" borderId="7" xfId="1833" applyNumberFormat="1" applyFont="1" applyBorder="1" applyAlignment="1">
      <alignment horizontal="left"/>
    </xf>
    <xf numFmtId="170" fontId="0" fillId="0" borderId="5" xfId="1833" applyNumberFormat="1" applyFont="1" applyBorder="1" applyAlignment="1">
      <alignment horizontal="left"/>
    </xf>
    <xf numFmtId="0" fontId="29" fillId="0" borderId="71" xfId="0" applyFont="1" applyBorder="1" applyAlignment="1">
      <alignment horizontal="center" vertical="center" wrapText="1"/>
    </xf>
    <xf numFmtId="0" fontId="29" fillId="14" borderId="66" xfId="0" applyFont="1" applyFill="1" applyBorder="1"/>
    <xf numFmtId="0" fontId="29" fillId="14" borderId="69" xfId="0" applyFont="1" applyFill="1" applyBorder="1"/>
    <xf numFmtId="2" fontId="0" fillId="0" borderId="50" xfId="0" applyNumberFormat="1" applyBorder="1"/>
    <xf numFmtId="2" fontId="0" fillId="0" borderId="0" xfId="1554" applyNumberFormat="1" applyFont="1"/>
    <xf numFmtId="168" fontId="0" fillId="6" borderId="0" xfId="1833" applyNumberFormat="1" applyFont="1" applyFill="1"/>
    <xf numFmtId="0" fontId="26" fillId="18" borderId="4" xfId="0" applyFont="1" applyFill="1" applyBorder="1" applyAlignment="1">
      <alignment horizontal="left" vertical="center"/>
    </xf>
    <xf numFmtId="0" fontId="26" fillId="18" borderId="0" xfId="0" applyFont="1" applyFill="1" applyAlignment="1">
      <alignment horizontal="left" vertical="center"/>
    </xf>
    <xf numFmtId="0" fontId="26" fillId="18" borderId="5" xfId="0" applyFont="1" applyFill="1" applyBorder="1" applyAlignment="1">
      <alignment horizontal="left" vertical="center"/>
    </xf>
    <xf numFmtId="166" fontId="39" fillId="18" borderId="5" xfId="0" applyNumberFormat="1" applyFont="1" applyFill="1" applyBorder="1"/>
    <xf numFmtId="174" fontId="0" fillId="6" borderId="0" xfId="1833" applyNumberFormat="1" applyFont="1" applyFill="1"/>
    <xf numFmtId="0" fontId="39" fillId="6" borderId="5" xfId="0" applyFont="1" applyFill="1" applyBorder="1"/>
    <xf numFmtId="0" fontId="39" fillId="6" borderId="4" xfId="0" quotePrefix="1" applyFont="1" applyFill="1" applyBorder="1"/>
    <xf numFmtId="175" fontId="0" fillId="6" borderId="5" xfId="1833" applyNumberFormat="1" applyFont="1" applyFill="1" applyBorder="1"/>
    <xf numFmtId="165" fontId="0" fillId="0" borderId="5" xfId="1554" applyNumberFormat="1" applyFont="1" applyBorder="1"/>
    <xf numFmtId="0" fontId="0" fillId="6" borderId="4" xfId="0" applyFill="1" applyBorder="1" applyAlignment="1">
      <alignment wrapText="1"/>
    </xf>
    <xf numFmtId="0" fontId="0" fillId="6" borderId="45" xfId="0" applyFill="1" applyBorder="1"/>
    <xf numFmtId="0" fontId="0" fillId="6" borderId="7" xfId="0" applyFill="1" applyBorder="1"/>
    <xf numFmtId="2" fontId="29" fillId="6" borderId="1" xfId="1" applyNumberFormat="1" applyFont="1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right" vertical="center"/>
    </xf>
    <xf numFmtId="2" fontId="0" fillId="5" borderId="22" xfId="0" applyNumberFormat="1" applyFill="1" applyBorder="1" applyAlignment="1">
      <alignment horizontal="right" vertical="center"/>
    </xf>
    <xf numFmtId="2" fontId="0" fillId="5" borderId="21" xfId="0" applyNumberFormat="1" applyFill="1" applyBorder="1" applyAlignment="1">
      <alignment horizontal="right" vertical="center"/>
    </xf>
    <xf numFmtId="0" fontId="29" fillId="0" borderId="0" xfId="1" applyFont="1" applyFill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0" fontId="29" fillId="0" borderId="50" xfId="0" applyFont="1" applyBorder="1" applyAlignment="1">
      <alignment horizontal="center" vertical="center" wrapText="1"/>
    </xf>
    <xf numFmtId="0" fontId="23" fillId="14" borderId="45" xfId="6" applyFill="1" applyBorder="1" applyProtection="1">
      <protection locked="0"/>
    </xf>
    <xf numFmtId="0" fontId="23" fillId="14" borderId="45" xfId="6" applyFill="1" applyBorder="1"/>
    <xf numFmtId="0" fontId="73" fillId="0" borderId="0" xfId="1556" applyFont="1"/>
    <xf numFmtId="0" fontId="34" fillId="0" borderId="0" xfId="1" applyFont="1" applyFill="1" applyAlignment="1">
      <alignment horizontal="right" wrapText="1"/>
    </xf>
    <xf numFmtId="2" fontId="0" fillId="28" borderId="1" xfId="0" applyNumberFormat="1" applyFill="1" applyBorder="1"/>
    <xf numFmtId="0" fontId="29" fillId="4" borderId="0" xfId="0" applyFont="1" applyFill="1" applyAlignment="1">
      <alignment wrapText="1"/>
    </xf>
    <xf numFmtId="0" fontId="29" fillId="4" borderId="0" xfId="0" applyFont="1" applyFill="1"/>
    <xf numFmtId="2" fontId="39" fillId="0" borderId="1" xfId="0" applyNumberFormat="1" applyFont="1" applyBorder="1" applyAlignment="1">
      <alignment horizontal="center" vertical="center" wrapText="1"/>
    </xf>
    <xf numFmtId="0" fontId="29" fillId="0" borderId="1" xfId="0" applyFont="1" applyBorder="1" applyAlignment="1">
      <alignment horizontal="left"/>
    </xf>
    <xf numFmtId="0" fontId="29" fillId="0" borderId="0" xfId="0" applyFont="1" applyAlignment="1">
      <alignment horizontal="left" vertical="center" wrapText="1"/>
    </xf>
    <xf numFmtId="2" fontId="48" fillId="15" borderId="50" xfId="1553" applyNumberFormat="1" applyBorder="1" applyAlignment="1">
      <alignment horizontal="center"/>
    </xf>
    <xf numFmtId="165" fontId="23" fillId="14" borderId="45" xfId="0" applyNumberFormat="1" applyFont="1" applyFill="1" applyBorder="1" applyAlignment="1" applyProtection="1">
      <alignment horizontal="center" vertical="center"/>
      <protection locked="0"/>
    </xf>
    <xf numFmtId="0" fontId="5" fillId="6" borderId="35" xfId="0" applyFont="1" applyFill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 wrapText="1"/>
      <protection locked="0"/>
    </xf>
    <xf numFmtId="176" fontId="29" fillId="0" borderId="1" xfId="1554" applyNumberFormat="1" applyFont="1" applyBorder="1"/>
    <xf numFmtId="176" fontId="29" fillId="0" borderId="1" xfId="0" applyNumberFormat="1" applyFont="1" applyBorder="1"/>
    <xf numFmtId="9" fontId="29" fillId="0" borderId="1" xfId="0" applyNumberFormat="1" applyFont="1" applyBorder="1"/>
    <xf numFmtId="0" fontId="0" fillId="0" borderId="21" xfId="0" applyBorder="1" applyAlignment="1">
      <alignment horizontal="center" vertical="center"/>
    </xf>
    <xf numFmtId="0" fontId="34" fillId="6" borderId="19" xfId="1" applyFont="1" applyFill="1" applyBorder="1" applyAlignment="1">
      <alignment horizontal="center" vertical="center"/>
    </xf>
    <xf numFmtId="0" fontId="34" fillId="6" borderId="21" xfId="1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80" fillId="4" borderId="0" xfId="0" applyFont="1" applyFill="1"/>
    <xf numFmtId="171" fontId="78" fillId="4" borderId="0" xfId="0" applyNumberFormat="1" applyFont="1" applyFill="1"/>
    <xf numFmtId="44" fontId="78" fillId="4" borderId="0" xfId="1839" applyFont="1" applyFill="1"/>
    <xf numFmtId="44" fontId="0" fillId="29" borderId="0" xfId="1839" applyFont="1" applyFill="1"/>
    <xf numFmtId="44" fontId="78" fillId="29" borderId="0" xfId="1839" applyFont="1" applyFill="1"/>
    <xf numFmtId="44" fontId="79" fillId="29" borderId="0" xfId="1839" applyFont="1" applyFill="1"/>
    <xf numFmtId="171" fontId="26" fillId="4" borderId="0" xfId="0" applyNumberFormat="1" applyFont="1" applyFill="1"/>
    <xf numFmtId="2" fontId="0" fillId="0" borderId="1" xfId="0" applyNumberFormat="1" applyBorder="1" applyAlignment="1" applyProtection="1">
      <alignment horizontal="center"/>
      <protection locked="0"/>
    </xf>
    <xf numFmtId="2" fontId="0" fillId="0" borderId="30" xfId="0" applyNumberFormat="1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 vertical="center" wrapText="1"/>
      <protection locked="0"/>
    </xf>
    <xf numFmtId="167" fontId="0" fillId="0" borderId="0" xfId="0" applyNumberFormat="1"/>
    <xf numFmtId="0" fontId="0" fillId="0" borderId="0" xfId="0"/>
    <xf numFmtId="0" fontId="26" fillId="0" borderId="0" xfId="0" applyFont="1" applyFill="1" applyBorder="1"/>
    <xf numFmtId="44" fontId="0" fillId="0" borderId="0" xfId="1839" applyFont="1" applyAlignment="1">
      <alignment horizontal="right"/>
    </xf>
    <xf numFmtId="0" fontId="39" fillId="0" borderId="0" xfId="0" applyFont="1" applyAlignment="1">
      <alignment wrapText="1"/>
    </xf>
    <xf numFmtId="2" fontId="26" fillId="0" borderId="0" xfId="0" applyNumberFormat="1" applyFont="1"/>
    <xf numFmtId="0" fontId="72" fillId="0" borderId="0" xfId="0" applyFont="1" applyFill="1"/>
    <xf numFmtId="2" fontId="26" fillId="0" borderId="22" xfId="0" applyNumberFormat="1" applyFont="1" applyBorder="1"/>
    <xf numFmtId="2" fontId="26" fillId="0" borderId="70" xfId="0" applyNumberFormat="1" applyFont="1" applyBorder="1"/>
    <xf numFmtId="2" fontId="0" fillId="0" borderId="1" xfId="0" applyNumberFormat="1" applyFill="1" applyBorder="1" applyAlignment="1">
      <alignment horizontal="center" vertical="center"/>
    </xf>
    <xf numFmtId="0" fontId="29" fillId="5" borderId="1" xfId="0" applyFont="1" applyFill="1" applyBorder="1" applyAlignment="1">
      <alignment wrapText="1"/>
    </xf>
    <xf numFmtId="0" fontId="0" fillId="0" borderId="0" xfId="0" applyFill="1" applyAlignment="1">
      <alignment horizontal="center" vertical="center"/>
    </xf>
    <xf numFmtId="0" fontId="0" fillId="0" borderId="0" xfId="0" applyFill="1"/>
    <xf numFmtId="0" fontId="15" fillId="0" borderId="0" xfId="0" applyFont="1" applyFill="1" applyAlignment="1">
      <alignment horizontal="center" vertical="center"/>
    </xf>
    <xf numFmtId="0" fontId="9" fillId="0" borderId="25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0" fontId="8" fillId="14" borderId="26" xfId="0" applyFont="1" applyFill="1" applyBorder="1" applyAlignment="1">
      <alignment horizontal="center" vertical="center" wrapText="1"/>
    </xf>
    <xf numFmtId="1" fontId="28" fillId="14" borderId="0" xfId="1" applyNumberFormat="1" applyFont="1" applyFill="1" applyBorder="1" applyAlignment="1" applyProtection="1">
      <alignment horizontal="center" vertical="center"/>
      <protection locked="0"/>
    </xf>
    <xf numFmtId="165" fontId="28" fillId="14" borderId="0" xfId="1" applyNumberFormat="1" applyFont="1" applyFill="1" applyBorder="1" applyAlignment="1" applyProtection="1">
      <alignment horizontal="center" vertical="center"/>
      <protection locked="0"/>
    </xf>
    <xf numFmtId="2" fontId="28" fillId="0" borderId="0" xfId="1" applyNumberFormat="1" applyFont="1" applyFill="1" applyBorder="1" applyAlignment="1" applyProtection="1">
      <alignment horizontal="center" vertical="center"/>
      <protection locked="0"/>
    </xf>
    <xf numFmtId="2" fontId="28" fillId="14" borderId="0" xfId="1" applyNumberFormat="1" applyFont="1" applyFill="1" applyBorder="1" applyAlignment="1" applyProtection="1">
      <alignment horizontal="center" vertical="center"/>
      <protection locked="0"/>
    </xf>
    <xf numFmtId="1" fontId="28" fillId="0" borderId="0" xfId="1" applyNumberFormat="1" applyFont="1" applyFill="1" applyBorder="1" applyAlignment="1" applyProtection="1">
      <alignment horizontal="center" vertical="center"/>
      <protection locked="0"/>
    </xf>
    <xf numFmtId="0" fontId="23" fillId="14" borderId="0" xfId="0" applyFont="1" applyFill="1" applyBorder="1" applyProtection="1">
      <protection locked="0"/>
    </xf>
    <xf numFmtId="0" fontId="23" fillId="14" borderId="0" xfId="6" applyFill="1" applyBorder="1" applyProtection="1">
      <protection locked="0"/>
    </xf>
    <xf numFmtId="0" fontId="23" fillId="14" borderId="0" xfId="6" applyFill="1" applyBorder="1"/>
    <xf numFmtId="0" fontId="23" fillId="14" borderId="0" xfId="0" applyFont="1" applyFill="1" applyBorder="1"/>
    <xf numFmtId="0" fontId="29" fillId="0" borderId="0" xfId="0" applyFont="1" applyBorder="1"/>
    <xf numFmtId="1" fontId="28" fillId="14" borderId="0" xfId="0" applyNumberFormat="1" applyFont="1" applyFill="1" applyBorder="1" applyAlignment="1" applyProtection="1">
      <alignment horizontal="center" vertical="center"/>
      <protection locked="0"/>
    </xf>
    <xf numFmtId="2" fontId="28" fillId="0" borderId="0" xfId="0" applyNumberFormat="1" applyFont="1" applyBorder="1" applyAlignment="1" applyProtection="1">
      <alignment horizontal="center" vertical="center"/>
      <protection locked="0"/>
    </xf>
    <xf numFmtId="165" fontId="28" fillId="14" borderId="0" xfId="0" applyNumberFormat="1" applyFont="1" applyFill="1" applyBorder="1" applyAlignment="1" applyProtection="1">
      <alignment horizontal="center" vertical="center"/>
      <protection locked="0"/>
    </xf>
    <xf numFmtId="1" fontId="23" fillId="14" borderId="0" xfId="0" applyNumberFormat="1" applyFont="1" applyFill="1" applyBorder="1" applyAlignment="1" applyProtection="1">
      <alignment horizontal="center" vertical="center"/>
      <protection locked="0"/>
    </xf>
    <xf numFmtId="165" fontId="23" fillId="14" borderId="0" xfId="0" applyNumberFormat="1" applyFont="1" applyFill="1" applyBorder="1" applyAlignment="1" applyProtection="1">
      <alignment horizontal="center" vertical="center"/>
      <protection locked="0"/>
    </xf>
    <xf numFmtId="1" fontId="89" fillId="14" borderId="0" xfId="0" applyNumberFormat="1" applyFont="1" applyFill="1" applyBorder="1" applyAlignment="1" applyProtection="1">
      <alignment horizontal="center" vertical="center"/>
      <protection locked="0"/>
    </xf>
    <xf numFmtId="1" fontId="89" fillId="0" borderId="0" xfId="0" applyNumberFormat="1" applyFont="1" applyBorder="1" applyAlignment="1" applyProtection="1">
      <alignment horizontal="center" vertical="center"/>
      <protection locked="0"/>
    </xf>
    <xf numFmtId="1" fontId="0" fillId="0" borderId="1" xfId="0" applyNumberFormat="1" applyFill="1" applyBorder="1"/>
    <xf numFmtId="2" fontId="29" fillId="0" borderId="1" xfId="0" applyNumberFormat="1" applyFont="1" applyFill="1" applyBorder="1" applyAlignment="1" applyProtection="1">
      <alignment horizontal="center" vertical="center"/>
      <protection locked="0"/>
    </xf>
    <xf numFmtId="2" fontId="29" fillId="14" borderId="1" xfId="0" applyNumberFormat="1" applyFont="1" applyFill="1" applyBorder="1" applyAlignment="1">
      <alignment horizontal="center" vertical="center" wrapText="1"/>
    </xf>
    <xf numFmtId="2" fontId="29" fillId="0" borderId="1" xfId="1553" applyNumberFormat="1" applyFont="1" applyFill="1" applyBorder="1" applyAlignment="1">
      <alignment horizontal="center" vertical="center" wrapText="1"/>
    </xf>
    <xf numFmtId="2" fontId="29" fillId="0" borderId="1" xfId="0" applyNumberFormat="1" applyFont="1" applyFill="1" applyBorder="1" applyAlignment="1">
      <alignment horizontal="center" vertical="center" wrapText="1"/>
    </xf>
    <xf numFmtId="2" fontId="29" fillId="0" borderId="1" xfId="0" applyNumberFormat="1" applyFont="1" applyFill="1" applyBorder="1" applyAlignment="1">
      <alignment horizontal="center" vertical="center"/>
    </xf>
    <xf numFmtId="0" fontId="41" fillId="0" borderId="1" xfId="0" applyFont="1" applyFill="1" applyBorder="1" applyAlignment="1">
      <alignment horizontal="center" vertical="center" wrapText="1"/>
    </xf>
    <xf numFmtId="175" fontId="0" fillId="0" borderId="1" xfId="0" applyNumberFormat="1" applyFill="1" applyBorder="1" applyAlignment="1">
      <alignment horizontal="center" vertical="center"/>
    </xf>
    <xf numFmtId="0" fontId="26" fillId="0" borderId="22" xfId="0" applyFont="1" applyFill="1" applyBorder="1"/>
    <xf numFmtId="0" fontId="78" fillId="0" borderId="0" xfId="0" applyFont="1" applyFill="1"/>
    <xf numFmtId="171" fontId="78" fillId="0" borderId="0" xfId="0" applyNumberFormat="1" applyFont="1" applyFill="1"/>
    <xf numFmtId="1" fontId="0" fillId="0" borderId="1" xfId="0" applyNumberFormat="1" applyFill="1" applyBorder="1" applyAlignment="1">
      <alignment horizontal="center" vertical="center"/>
    </xf>
    <xf numFmtId="1" fontId="29" fillId="0" borderId="1" xfId="1" applyNumberFormat="1" applyFont="1" applyFill="1" applyBorder="1" applyAlignment="1">
      <alignment horizontal="center" vertical="center"/>
    </xf>
    <xf numFmtId="0" fontId="0" fillId="0" borderId="0" xfId="0"/>
    <xf numFmtId="0" fontId="28" fillId="0" borderId="45" xfId="0" applyFont="1" applyBorder="1" applyAlignment="1">
      <alignment horizontal="left" vertical="center" wrapText="1"/>
    </xf>
    <xf numFmtId="0" fontId="29" fillId="0" borderId="69" xfId="0" applyFont="1" applyBorder="1"/>
    <xf numFmtId="0" fontId="0" fillId="0" borderId="0" xfId="0"/>
    <xf numFmtId="0" fontId="0" fillId="0" borderId="0" xfId="0"/>
    <xf numFmtId="0" fontId="0" fillId="0" borderId="0" xfId="0" applyFont="1"/>
    <xf numFmtId="2" fontId="23" fillId="14" borderId="45" xfId="0" applyNumberFormat="1" applyFont="1" applyFill="1" applyBorder="1" applyAlignment="1" applyProtection="1">
      <alignment horizontal="center" vertical="center"/>
      <protection locked="0"/>
    </xf>
    <xf numFmtId="1" fontId="0" fillId="14" borderId="8" xfId="0" applyNumberFormat="1" applyFill="1" applyBorder="1" applyAlignment="1" applyProtection="1">
      <alignment horizontal="center" vertical="center"/>
      <protection locked="0"/>
    </xf>
    <xf numFmtId="2" fontId="0" fillId="14" borderId="8" xfId="0" applyNumberFormat="1" applyFill="1" applyBorder="1" applyAlignment="1" applyProtection="1">
      <alignment horizontal="center" vertical="center"/>
      <protection locked="0"/>
    </xf>
    <xf numFmtId="2" fontId="0" fillId="14" borderId="34" xfId="0" applyNumberFormat="1" applyFill="1" applyBorder="1" applyAlignment="1" applyProtection="1">
      <alignment horizontal="center" vertical="center"/>
      <protection locked="0"/>
    </xf>
    <xf numFmtId="0" fontId="0" fillId="6" borderId="61" xfId="0" applyFill="1" applyBorder="1" applyAlignment="1">
      <alignment horizontal="center" vertical="center" wrapText="1"/>
    </xf>
    <xf numFmtId="2" fontId="29" fillId="0" borderId="0" xfId="1556" applyNumberFormat="1" applyFont="1" applyBorder="1"/>
    <xf numFmtId="0" fontId="0" fillId="0" borderId="1" xfId="0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0" xfId="0"/>
    <xf numFmtId="0" fontId="26" fillId="0" borderId="1" xfId="0" applyFont="1" applyBorder="1" applyAlignment="1">
      <alignment horizontal="center" vertical="center" wrapText="1"/>
    </xf>
    <xf numFmtId="0" fontId="0" fillId="0" borderId="0" xfId="0"/>
    <xf numFmtId="1" fontId="0" fillId="6" borderId="0" xfId="0" applyNumberFormat="1" applyFill="1" applyBorder="1" applyAlignment="1" applyProtection="1">
      <alignment horizontal="center" vertical="center"/>
      <protection locked="0"/>
    </xf>
    <xf numFmtId="1" fontId="0" fillId="14" borderId="34" xfId="0" applyNumberFormat="1" applyFill="1" applyBorder="1" applyAlignment="1" applyProtection="1">
      <alignment horizontal="center" vertical="center"/>
      <protection locked="0"/>
    </xf>
    <xf numFmtId="1" fontId="0" fillId="14" borderId="31" xfId="0" applyNumberFormat="1" applyFill="1" applyBorder="1" applyAlignment="1" applyProtection="1">
      <alignment horizontal="center" vertical="center"/>
      <protection locked="0"/>
    </xf>
    <xf numFmtId="0" fontId="28" fillId="0" borderId="0" xfId="0" applyFont="1" applyBorder="1" applyAlignment="1">
      <alignment horizontal="left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0" xfId="0"/>
    <xf numFmtId="0" fontId="26" fillId="0" borderId="1" xfId="0" applyFont="1" applyBorder="1" applyAlignment="1">
      <alignment horizontal="center" vertical="center" wrapText="1"/>
    </xf>
    <xf numFmtId="2" fontId="57" fillId="14" borderId="0" xfId="0" applyNumberFormat="1" applyFont="1" applyFill="1" applyBorder="1" applyAlignment="1" applyProtection="1">
      <alignment horizontal="center" vertical="center"/>
      <protection locked="0"/>
    </xf>
    <xf numFmtId="2" fontId="57" fillId="14" borderId="45" xfId="0" applyNumberFormat="1" applyFont="1" applyFill="1" applyBorder="1" applyAlignment="1" applyProtection="1">
      <alignment horizontal="center" vertical="center"/>
      <protection locked="0"/>
    </xf>
    <xf numFmtId="1" fontId="57" fillId="14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/>
    <xf numFmtId="9" fontId="0" fillId="0" borderId="0" xfId="1554" applyFont="1" applyAlignment="1">
      <alignment horizontal="center" vertical="center" wrapText="1"/>
    </xf>
    <xf numFmtId="9" fontId="0" fillId="6" borderId="5" xfId="1554" applyFont="1" applyFill="1" applyBorder="1"/>
    <xf numFmtId="9" fontId="0" fillId="6" borderId="0" xfId="1554" applyFont="1" applyFill="1"/>
    <xf numFmtId="0" fontId="0" fillId="0" borderId="0" xfId="0"/>
    <xf numFmtId="2" fontId="29" fillId="4" borderId="1" xfId="6" applyNumberFormat="1" applyFont="1" applyFill="1" applyBorder="1" applyAlignment="1" applyProtection="1">
      <alignment horizontal="left" vertical="center"/>
      <protection locked="0"/>
    </xf>
    <xf numFmtId="0" fontId="103" fillId="0" borderId="1" xfId="0" applyFont="1" applyFill="1" applyBorder="1" applyAlignment="1"/>
    <xf numFmtId="2" fontId="103" fillId="14" borderId="1" xfId="0" applyNumberFormat="1" applyFont="1" applyFill="1" applyBorder="1" applyProtection="1">
      <protection locked="0"/>
    </xf>
    <xf numFmtId="2" fontId="103" fillId="0" borderId="1" xfId="0" applyNumberFormat="1" applyFont="1" applyFill="1" applyBorder="1"/>
    <xf numFmtId="0" fontId="103" fillId="0" borderId="1" xfId="0" applyFont="1" applyFill="1" applyBorder="1"/>
    <xf numFmtId="0" fontId="104" fillId="0" borderId="1" xfId="0" applyFont="1" applyFill="1" applyBorder="1"/>
    <xf numFmtId="2" fontId="29" fillId="23" borderId="22" xfId="0" applyNumberFormat="1" applyFont="1" applyFill="1" applyBorder="1"/>
    <xf numFmtId="2" fontId="29" fillId="6" borderId="1" xfId="0" applyNumberFormat="1" applyFont="1" applyFill="1" applyBorder="1"/>
    <xf numFmtId="2" fontId="58" fillId="0" borderId="21" xfId="1556" applyNumberFormat="1" applyBorder="1"/>
    <xf numFmtId="1" fontId="0" fillId="0" borderId="36" xfId="0" applyNumberFormat="1" applyBorder="1" applyAlignment="1">
      <alignment horizontal="center" vertical="center" wrapText="1"/>
    </xf>
    <xf numFmtId="9" fontId="0" fillId="0" borderId="0" xfId="1554" applyNumberFormat="1" applyFont="1" applyAlignment="1">
      <alignment horizontal="center" vertical="center" wrapText="1"/>
    </xf>
    <xf numFmtId="0" fontId="105" fillId="14" borderId="1" xfId="0" applyFont="1" applyFill="1" applyBorder="1"/>
    <xf numFmtId="0" fontId="0" fillId="0" borderId="0" xfId="0"/>
    <xf numFmtId="2" fontId="32" fillId="14" borderId="1" xfId="0" applyNumberFormat="1" applyFont="1" applyFill="1" applyBorder="1" applyAlignment="1" applyProtection="1">
      <alignment horizontal="center" vertical="center"/>
      <protection locked="0"/>
    </xf>
    <xf numFmtId="2" fontId="29" fillId="6" borderId="0" xfId="723" applyNumberFormat="1" applyFont="1" applyFill="1" applyBorder="1"/>
    <xf numFmtId="2" fontId="29" fillId="0" borderId="0" xfId="723" applyNumberFormat="1" applyFont="1" applyBorder="1"/>
    <xf numFmtId="2" fontId="0" fillId="0" borderId="5" xfId="0" applyNumberFormat="1" applyBorder="1" applyAlignment="1">
      <alignment horizontal="center" vertical="center"/>
    </xf>
    <xf numFmtId="0" fontId="29" fillId="0" borderId="1" xfId="0" applyFont="1" applyFill="1" applyBorder="1" applyAlignment="1"/>
    <xf numFmtId="2" fontId="29" fillId="0" borderId="1" xfId="0" applyNumberFormat="1" applyFont="1" applyFill="1" applyBorder="1"/>
    <xf numFmtId="0" fontId="29" fillId="0" borderId="1" xfId="0" applyFont="1" applyFill="1" applyBorder="1"/>
    <xf numFmtId="0" fontId="71" fillId="0" borderId="1" xfId="0" applyFont="1" applyFill="1" applyBorder="1"/>
    <xf numFmtId="0" fontId="29" fillId="0" borderId="3" xfId="0" applyFont="1" applyBorder="1" applyAlignment="1">
      <alignment horizontal="center" vertical="center" wrapText="1"/>
    </xf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/>
    <xf numFmtId="0" fontId="29" fillId="0" borderId="2" xfId="0" applyFont="1" applyBorder="1" applyAlignment="1">
      <alignment horizontal="center" vertical="center" wrapText="1"/>
    </xf>
    <xf numFmtId="0" fontId="29" fillId="14" borderId="4" xfId="0" applyFont="1" applyFill="1" applyBorder="1"/>
    <xf numFmtId="0" fontId="29" fillId="14" borderId="0" xfId="0" applyFont="1" applyFill="1" applyBorder="1"/>
    <xf numFmtId="0" fontId="29" fillId="14" borderId="5" xfId="0" applyFont="1" applyFill="1" applyBorder="1"/>
    <xf numFmtId="0" fontId="29" fillId="14" borderId="6" xfId="0" applyFont="1" applyFill="1" applyBorder="1"/>
    <xf numFmtId="0" fontId="29" fillId="14" borderId="45" xfId="0" applyFont="1" applyFill="1" applyBorder="1"/>
    <xf numFmtId="0" fontId="29" fillId="14" borderId="7" xfId="0" applyFont="1" applyFill="1" applyBorder="1"/>
    <xf numFmtId="0" fontId="29" fillId="14" borderId="80" xfId="0" applyFont="1" applyFill="1" applyBorder="1"/>
    <xf numFmtId="0" fontId="29" fillId="14" borderId="72" xfId="0" applyFont="1" applyFill="1" applyBorder="1"/>
    <xf numFmtId="0" fontId="29" fillId="14" borderId="10" xfId="0" applyFont="1" applyFill="1" applyBorder="1"/>
    <xf numFmtId="0" fontId="29" fillId="14" borderId="43" xfId="0" applyFont="1" applyFill="1" applyBorder="1"/>
    <xf numFmtId="0" fontId="0" fillId="6" borderId="1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30" xfId="0" applyFill="1" applyBorder="1" applyAlignment="1" applyProtection="1">
      <alignment horizontal="center" vertical="center"/>
      <protection locked="0"/>
    </xf>
    <xf numFmtId="0" fontId="0" fillId="6" borderId="31" xfId="0" applyFill="1" applyBorder="1" applyAlignment="1" applyProtection="1">
      <alignment horizontal="center" vertical="center"/>
      <protection locked="0"/>
    </xf>
    <xf numFmtId="0" fontId="0" fillId="6" borderId="1" xfId="0" applyFill="1" applyBorder="1" applyAlignment="1">
      <alignment horizontal="center" wrapText="1"/>
    </xf>
    <xf numFmtId="0" fontId="0" fillId="6" borderId="19" xfId="0" applyFill="1" applyBorder="1" applyAlignment="1" applyProtection="1">
      <alignment horizontal="center" vertical="center"/>
      <protection locked="0"/>
    </xf>
    <xf numFmtId="0" fontId="0" fillId="6" borderId="58" xfId="0" applyFill="1" applyBorder="1" applyAlignment="1" applyProtection="1">
      <alignment horizontal="center" vertical="center"/>
      <protection locked="0"/>
    </xf>
    <xf numFmtId="1" fontId="0" fillId="6" borderId="36" xfId="0" applyNumberFormat="1" applyFill="1" applyBorder="1" applyAlignment="1">
      <alignment horizontal="center" vertical="center" wrapText="1"/>
    </xf>
    <xf numFmtId="2" fontId="29" fillId="14" borderId="1" xfId="1555" applyNumberFormat="1" applyFont="1" applyFill="1" applyBorder="1" applyAlignment="1" applyProtection="1">
      <alignment horizontal="center" vertical="center"/>
      <protection locked="0"/>
    </xf>
    <xf numFmtId="2" fontId="32" fillId="14" borderId="18" xfId="0" applyNumberFormat="1" applyFont="1" applyFill="1" applyBorder="1" applyAlignment="1" applyProtection="1">
      <alignment horizontal="center" vertical="center"/>
      <protection locked="0"/>
    </xf>
    <xf numFmtId="2" fontId="32" fillId="14" borderId="12" xfId="0" applyNumberFormat="1" applyFont="1" applyFill="1" applyBorder="1" applyAlignment="1" applyProtection="1">
      <alignment horizontal="center" vertical="center"/>
      <protection locked="0"/>
    </xf>
    <xf numFmtId="2" fontId="29" fillId="4" borderId="1" xfId="0" applyNumberFormat="1" applyFont="1" applyFill="1" applyBorder="1" applyAlignment="1">
      <alignment horizontal="center" vertical="center" wrapText="1"/>
    </xf>
    <xf numFmtId="0" fontId="0" fillId="30" borderId="0" xfId="0" applyFill="1" applyAlignment="1">
      <alignment horizontal="center" vertical="center"/>
    </xf>
    <xf numFmtId="2" fontId="32" fillId="14" borderId="0" xfId="0" applyNumberFormat="1" applyFont="1" applyFill="1" applyBorder="1" applyAlignment="1" applyProtection="1">
      <alignment horizontal="center" vertical="center" wrapText="1"/>
      <protection locked="0"/>
    </xf>
    <xf numFmtId="2" fontId="0" fillId="14" borderId="1" xfId="0" applyNumberFormat="1" applyFill="1" applyBorder="1" applyAlignment="1">
      <alignment horizontal="center" vertical="center"/>
    </xf>
    <xf numFmtId="2" fontId="29" fillId="0" borderId="12" xfId="0" applyNumberFormat="1" applyFont="1" applyFill="1" applyBorder="1"/>
    <xf numFmtId="0" fontId="65" fillId="0" borderId="73" xfId="1557" applyFont="1" applyBorder="1" applyAlignment="1">
      <alignment horizontal="center" vertical="center" wrapText="1"/>
    </xf>
    <xf numFmtId="2" fontId="28" fillId="14" borderId="0" xfId="0" applyNumberFormat="1" applyFont="1" applyFill="1" applyBorder="1" applyAlignment="1" applyProtection="1">
      <alignment horizontal="center" vertical="center"/>
      <protection locked="0"/>
    </xf>
    <xf numFmtId="2" fontId="23" fillId="14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/>
    <xf numFmtId="2" fontId="29" fillId="0" borderId="0" xfId="0" applyNumberFormat="1" applyFont="1" applyAlignment="1">
      <alignment horizontal="right"/>
    </xf>
    <xf numFmtId="2" fontId="33" fillId="0" borderId="0" xfId="0" applyNumberFormat="1" applyFont="1" applyAlignment="1">
      <alignment horizontal="right"/>
    </xf>
    <xf numFmtId="0" fontId="33" fillId="0" borderId="0" xfId="0" applyFont="1" applyAlignment="1">
      <alignment horizontal="right"/>
    </xf>
    <xf numFmtId="0" fontId="33" fillId="0" borderId="0" xfId="0" applyFont="1" applyAlignment="1">
      <alignment vertical="top"/>
    </xf>
    <xf numFmtId="0" fontId="10" fillId="14" borderId="28" xfId="0" applyFont="1" applyFill="1" applyBorder="1" applyAlignment="1">
      <alignment horizontal="center" vertical="top" wrapText="1"/>
    </xf>
    <xf numFmtId="0" fontId="0" fillId="5" borderId="0" xfId="0" applyFill="1" applyBorder="1" applyAlignment="1">
      <alignment vertical="center"/>
    </xf>
    <xf numFmtId="2" fontId="0" fillId="0" borderId="0" xfId="0" applyNumberFormat="1" applyBorder="1"/>
    <xf numFmtId="2" fontId="26" fillId="0" borderId="0" xfId="0" applyNumberFormat="1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26" fillId="0" borderId="0" xfId="0" applyFont="1" applyBorder="1" applyAlignment="1">
      <alignment horizontal="center" vertical="center" wrapText="1"/>
    </xf>
    <xf numFmtId="1" fontId="0" fillId="0" borderId="0" xfId="0" applyNumberFormat="1" applyAlignment="1">
      <alignment horizontal="center"/>
    </xf>
    <xf numFmtId="2" fontId="26" fillId="4" borderId="0" xfId="0" applyNumberFormat="1" applyFont="1" applyFill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0" xfId="0"/>
    <xf numFmtId="2" fontId="0" fillId="11" borderId="1" xfId="0" applyNumberFormat="1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1" fontId="0" fillId="6" borderId="1" xfId="0" applyNumberFormat="1" applyFill="1" applyBorder="1" applyAlignment="1">
      <alignment horizontal="center" vertical="center" wrapText="1"/>
    </xf>
    <xf numFmtId="2" fontId="0" fillId="0" borderId="1" xfId="1833" applyNumberFormat="1" applyFont="1" applyBorder="1" applyAlignment="1">
      <alignment horizontal="center" vertical="center" wrapText="1"/>
    </xf>
    <xf numFmtId="2" fontId="0" fillId="0" borderId="1" xfId="1833" applyNumberFormat="1" applyFont="1" applyBorder="1" applyAlignment="1">
      <alignment horizontal="center" vertical="center"/>
    </xf>
    <xf numFmtId="2" fontId="0" fillId="11" borderId="1" xfId="1833" applyNumberFormat="1" applyFont="1" applyFill="1" applyBorder="1" applyAlignment="1">
      <alignment horizontal="center" vertical="center" wrapText="1"/>
    </xf>
    <xf numFmtId="2" fontId="0" fillId="6" borderId="1" xfId="1833" applyNumberFormat="1" applyFont="1" applyFill="1" applyBorder="1" applyAlignment="1">
      <alignment horizontal="center" vertical="center" wrapText="1"/>
    </xf>
    <xf numFmtId="0" fontId="0" fillId="0" borderId="0" xfId="0"/>
    <xf numFmtId="2" fontId="0" fillId="4" borderId="0" xfId="0" applyNumberFormat="1" applyFill="1"/>
    <xf numFmtId="2" fontId="0" fillId="0" borderId="0" xfId="0" applyNumberFormat="1" applyAlignment="1">
      <alignment horizontal="center" vertical="center"/>
    </xf>
    <xf numFmtId="0" fontId="0" fillId="0" borderId="0" xfId="0"/>
    <xf numFmtId="0" fontId="26" fillId="0" borderId="1" xfId="0" applyFont="1" applyBorder="1" applyAlignment="1">
      <alignment horizontal="center" vertical="center" wrapText="1"/>
    </xf>
    <xf numFmtId="0" fontId="65" fillId="0" borderId="73" xfId="0" applyFont="1" applyBorder="1" applyAlignment="1">
      <alignment horizontal="center" vertical="center" wrapText="1"/>
    </xf>
    <xf numFmtId="0" fontId="18" fillId="0" borderId="2" xfId="1557" applyBorder="1"/>
    <xf numFmtId="0" fontId="6" fillId="0" borderId="50" xfId="1557" applyFont="1" applyBorder="1" applyAlignment="1">
      <alignment horizontal="center" vertical="top" wrapText="1"/>
    </xf>
    <xf numFmtId="0" fontId="6" fillId="0" borderId="3" xfId="1557" applyFont="1" applyBorder="1" applyAlignment="1">
      <alignment horizontal="center" vertical="top" wrapText="1"/>
    </xf>
    <xf numFmtId="0" fontId="6" fillId="0" borderId="50" xfId="1557" applyFont="1" applyBorder="1" applyAlignment="1">
      <alignment vertical="top" wrapText="1"/>
    </xf>
    <xf numFmtId="0" fontId="3" fillId="0" borderId="50" xfId="1557" applyFont="1" applyBorder="1" applyAlignment="1">
      <alignment horizontal="center" vertical="top" wrapText="1"/>
    </xf>
    <xf numFmtId="0" fontId="6" fillId="0" borderId="3" xfId="1557" applyFont="1" applyBorder="1" applyAlignment="1">
      <alignment vertical="top" wrapText="1"/>
    </xf>
    <xf numFmtId="0" fontId="6" fillId="0" borderId="2" xfId="1557" applyFont="1" applyBorder="1" applyAlignment="1">
      <alignment vertical="top" wrapText="1"/>
    </xf>
    <xf numFmtId="1" fontId="18" fillId="0" borderId="0" xfId="1557" applyNumberFormat="1" applyBorder="1"/>
    <xf numFmtId="165" fontId="18" fillId="0" borderId="0" xfId="1557" applyNumberFormat="1" applyBorder="1"/>
    <xf numFmtId="168" fontId="18" fillId="0" borderId="0" xfId="1833" applyNumberFormat="1" applyFont="1" applyBorder="1"/>
    <xf numFmtId="0" fontId="0" fillId="6" borderId="56" xfId="0" applyFill="1" applyBorder="1" applyAlignment="1">
      <alignment horizontal="left" vertical="center"/>
    </xf>
    <xf numFmtId="0" fontId="0" fillId="6" borderId="22" xfId="0" applyFill="1" applyBorder="1" applyAlignment="1">
      <alignment horizontal="left" vertical="center"/>
    </xf>
    <xf numFmtId="0" fontId="0" fillId="6" borderId="60" xfId="0" applyFill="1" applyBorder="1" applyAlignment="1">
      <alignment horizontal="center" vertical="center"/>
    </xf>
    <xf numFmtId="2" fontId="0" fillId="6" borderId="22" xfId="0" applyNumberFormat="1" applyFill="1" applyBorder="1" applyAlignment="1">
      <alignment horizontal="center" vertical="center"/>
    </xf>
    <xf numFmtId="2" fontId="0" fillId="6" borderId="60" xfId="0" applyNumberFormat="1" applyFill="1" applyBorder="1" applyAlignment="1">
      <alignment horizontal="center" vertical="center"/>
    </xf>
    <xf numFmtId="0" fontId="29" fillId="6" borderId="56" xfId="0" applyFont="1" applyFill="1" applyBorder="1" applyAlignment="1">
      <alignment horizontal="left" vertical="center"/>
    </xf>
    <xf numFmtId="0" fontId="29" fillId="6" borderId="22" xfId="0" applyFont="1" applyFill="1" applyBorder="1" applyAlignment="1">
      <alignment horizontal="left" vertical="center"/>
    </xf>
    <xf numFmtId="2" fontId="29" fillId="6" borderId="60" xfId="0" applyNumberFormat="1" applyFont="1" applyFill="1" applyBorder="1" applyAlignment="1">
      <alignment horizontal="center" vertical="center"/>
    </xf>
    <xf numFmtId="2" fontId="29" fillId="6" borderId="22" xfId="0" applyNumberFormat="1" applyFont="1" applyFill="1" applyBorder="1" applyAlignment="1">
      <alignment horizontal="center" vertical="center"/>
    </xf>
    <xf numFmtId="0" fontId="7" fillId="6" borderId="81" xfId="0" applyFont="1" applyFill="1" applyBorder="1" applyAlignment="1">
      <alignment horizontal="center" vertical="center" wrapText="1"/>
    </xf>
    <xf numFmtId="1" fontId="0" fillId="14" borderId="28" xfId="0" applyNumberFormat="1" applyFill="1" applyBorder="1" applyAlignment="1" applyProtection="1">
      <alignment horizontal="center" vertical="center"/>
      <protection locked="0"/>
    </xf>
    <xf numFmtId="1" fontId="0" fillId="14" borderId="64" xfId="0" applyNumberFormat="1" applyFill="1" applyBorder="1" applyAlignment="1" applyProtection="1">
      <alignment horizontal="center" vertical="center"/>
      <protection locked="0"/>
    </xf>
    <xf numFmtId="0" fontId="15" fillId="0" borderId="25" xfId="0" applyFont="1" applyBorder="1" applyAlignment="1">
      <alignment horizontal="center" vertical="center" wrapText="1"/>
    </xf>
    <xf numFmtId="0" fontId="0" fillId="0" borderId="30" xfId="0" applyBorder="1"/>
    <xf numFmtId="0" fontId="15" fillId="6" borderId="50" xfId="0" applyFont="1" applyFill="1" applyBorder="1" applyAlignment="1">
      <alignment horizontal="center" vertical="center" wrapText="1"/>
    </xf>
    <xf numFmtId="0" fontId="15" fillId="6" borderId="35" xfId="0" applyFont="1" applyFill="1" applyBorder="1" applyAlignment="1">
      <alignment horizontal="center" vertical="center" wrapText="1"/>
    </xf>
    <xf numFmtId="1" fontId="28" fillId="31" borderId="0" xfId="1" applyNumberFormat="1" applyFont="1" applyFill="1" applyBorder="1" applyAlignment="1" applyProtection="1">
      <alignment horizontal="center" vertical="center"/>
      <protection locked="0"/>
    </xf>
    <xf numFmtId="1" fontId="23" fillId="31" borderId="0" xfId="0" applyNumberFormat="1" applyFont="1" applyFill="1" applyBorder="1" applyAlignment="1" applyProtection="1">
      <alignment horizontal="center" vertical="center"/>
      <protection locked="0"/>
    </xf>
    <xf numFmtId="1" fontId="23" fillId="31" borderId="45" xfId="0" applyNumberFormat="1" applyFont="1" applyFill="1" applyBorder="1" applyAlignment="1" applyProtection="1">
      <alignment horizontal="center" vertical="center"/>
      <protection locked="0"/>
    </xf>
    <xf numFmtId="1" fontId="28" fillId="31" borderId="0" xfId="0" applyNumberFormat="1" applyFont="1" applyFill="1" applyBorder="1" applyAlignment="1" applyProtection="1">
      <alignment horizontal="center" vertical="center"/>
      <protection locked="0"/>
    </xf>
    <xf numFmtId="165" fontId="23" fillId="31" borderId="0" xfId="0" applyNumberFormat="1" applyFont="1" applyFill="1" applyBorder="1" applyAlignment="1" applyProtection="1">
      <alignment horizontal="center" vertical="center"/>
      <protection locked="0"/>
    </xf>
    <xf numFmtId="166" fontId="28" fillId="31" borderId="0" xfId="1" applyNumberFormat="1" applyFont="1" applyFill="1" applyBorder="1" applyAlignment="1" applyProtection="1">
      <alignment horizontal="center" vertical="center"/>
      <protection locked="0"/>
    </xf>
    <xf numFmtId="166" fontId="23" fillId="31" borderId="0" xfId="0" applyNumberFormat="1" applyFont="1" applyFill="1" applyBorder="1" applyAlignment="1" applyProtection="1">
      <alignment horizontal="center" vertical="center"/>
      <protection locked="0"/>
    </xf>
    <xf numFmtId="167" fontId="57" fillId="31" borderId="0" xfId="0" applyNumberFormat="1" applyFont="1" applyFill="1" applyBorder="1" applyAlignment="1" applyProtection="1">
      <alignment horizontal="center" vertical="center"/>
      <protection locked="0"/>
    </xf>
    <xf numFmtId="167" fontId="57" fillId="31" borderId="45" xfId="0" applyNumberFormat="1" applyFont="1" applyFill="1" applyBorder="1" applyAlignment="1" applyProtection="1">
      <alignment horizontal="center" vertical="center"/>
      <protection locked="0"/>
    </xf>
    <xf numFmtId="2" fontId="23" fillId="31" borderId="0" xfId="0" applyNumberFormat="1" applyFont="1" applyFill="1" applyBorder="1" applyAlignment="1" applyProtection="1">
      <alignment horizontal="center" vertical="center"/>
      <protection locked="0"/>
    </xf>
    <xf numFmtId="1" fontId="65" fillId="31" borderId="0" xfId="0" applyNumberFormat="1" applyFont="1" applyFill="1" applyBorder="1" applyAlignment="1" applyProtection="1">
      <alignment horizontal="center" vertical="center"/>
      <protection locked="0"/>
    </xf>
    <xf numFmtId="2" fontId="57" fillId="31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0" xfId="0"/>
    <xf numFmtId="0" fontId="0" fillId="0" borderId="0" xfId="0"/>
    <xf numFmtId="0" fontId="0" fillId="0" borderId="0" xfId="0" applyBorder="1"/>
    <xf numFmtId="0" fontId="29" fillId="0" borderId="0" xfId="0" applyFont="1" applyBorder="1" applyAlignment="1">
      <alignment horizontal="center" vertical="center"/>
    </xf>
    <xf numFmtId="2" fontId="23" fillId="14" borderId="0" xfId="0" applyNumberFormat="1" applyFont="1" applyFill="1" applyBorder="1" applyProtection="1">
      <protection locked="0"/>
    </xf>
    <xf numFmtId="0" fontId="0" fillId="0" borderId="1" xfId="0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2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0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1" fontId="29" fillId="0" borderId="1" xfId="0" applyNumberFormat="1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/>
    </xf>
    <xf numFmtId="0" fontId="29" fillId="0" borderId="40" xfId="0" applyFont="1" applyBorder="1" applyAlignment="1">
      <alignment horizontal="center" vertical="center" wrapText="1"/>
    </xf>
    <xf numFmtId="0" fontId="29" fillId="0" borderId="25" xfId="0" applyFont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4" borderId="31" xfId="0" applyFill="1" applyBorder="1" applyAlignment="1" applyProtection="1">
      <alignment horizontal="center" vertical="center" wrapText="1"/>
      <protection locked="0"/>
    </xf>
    <xf numFmtId="2" fontId="0" fillId="6" borderId="0" xfId="0" applyNumberFormat="1" applyFill="1" applyBorder="1" applyAlignment="1" applyProtection="1">
      <alignment horizontal="center" vertical="center"/>
      <protection locked="0"/>
    </xf>
    <xf numFmtId="0" fontId="15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1" fontId="0" fillId="14" borderId="30" xfId="0" applyNumberFormat="1" applyFill="1" applyBorder="1" applyAlignment="1" applyProtection="1">
      <alignment horizontal="center" vertical="center"/>
      <protection locked="0"/>
    </xf>
    <xf numFmtId="1" fontId="0" fillId="6" borderId="45" xfId="0" applyNumberFormat="1" applyFill="1" applyBorder="1" applyAlignment="1" applyProtection="1">
      <alignment horizontal="center" vertical="center"/>
      <protection locked="0"/>
    </xf>
    <xf numFmtId="2" fontId="0" fillId="14" borderId="37" xfId="0" applyNumberFormat="1" applyFill="1" applyBorder="1" applyAlignment="1" applyProtection="1">
      <alignment horizontal="center" vertical="center"/>
      <protection locked="0"/>
    </xf>
    <xf numFmtId="2" fontId="0" fillId="6" borderId="45" xfId="0" applyNumberFormat="1" applyFill="1" applyBorder="1" applyAlignment="1" applyProtection="1">
      <alignment horizontal="center" vertical="center"/>
      <protection locked="0"/>
    </xf>
    <xf numFmtId="0" fontId="0" fillId="0" borderId="48" xfId="0" applyBorder="1" applyAlignment="1">
      <alignment horizontal="center" vertical="center"/>
    </xf>
    <xf numFmtId="49" fontId="15" fillId="14" borderId="19" xfId="0" applyNumberFormat="1" applyFont="1" applyFill="1" applyBorder="1" applyAlignment="1" applyProtection="1">
      <alignment horizontal="center" vertical="center"/>
      <protection locked="0"/>
    </xf>
    <xf numFmtId="49" fontId="15" fillId="14" borderId="58" xfId="0" applyNumberFormat="1" applyFont="1" applyFill="1" applyBorder="1" applyAlignment="1" applyProtection="1">
      <alignment horizontal="center" vertical="center"/>
      <protection locked="0"/>
    </xf>
    <xf numFmtId="0" fontId="41" fillId="6" borderId="26" xfId="1556" applyFont="1" applyFill="1" applyBorder="1" applyAlignment="1">
      <alignment horizontal="center" vertical="center"/>
    </xf>
    <xf numFmtId="177" fontId="29" fillId="14" borderId="26" xfId="0" applyNumberFormat="1" applyFont="1" applyFill="1" applyBorder="1" applyAlignment="1" applyProtection="1">
      <alignment horizontal="center" vertical="center"/>
      <protection locked="0"/>
    </xf>
    <xf numFmtId="177" fontId="29" fillId="14" borderId="31" xfId="0" applyNumberFormat="1" applyFont="1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>
      <alignment horizontal="left" vertical="center"/>
    </xf>
    <xf numFmtId="0" fontId="0" fillId="6" borderId="52" xfId="0" applyFill="1" applyBorder="1" applyAlignment="1">
      <alignment horizontal="center" vertical="center"/>
    </xf>
    <xf numFmtId="0" fontId="0" fillId="6" borderId="70" xfId="0" applyFill="1" applyBorder="1" applyAlignment="1">
      <alignment horizontal="center" vertical="center"/>
    </xf>
    <xf numFmtId="0" fontId="0" fillId="0" borderId="68" xfId="0" applyBorder="1" applyAlignment="1">
      <alignment horizontal="center" vertical="center" wrapText="1"/>
    </xf>
    <xf numFmtId="10" fontId="0" fillId="5" borderId="0" xfId="0" applyNumberFormat="1" applyFill="1" applyAlignment="1" applyProtection="1">
      <alignment horizontal="left" vertical="center"/>
      <protection locked="0"/>
    </xf>
    <xf numFmtId="10" fontId="0" fillId="14" borderId="78" xfId="0" applyNumberFormat="1" applyFill="1" applyBorder="1" applyAlignment="1" applyProtection="1">
      <alignment horizontal="center" vertical="center"/>
      <protection locked="0"/>
    </xf>
    <xf numFmtId="10" fontId="0" fillId="14" borderId="64" xfId="0" applyNumberFormat="1" applyFill="1" applyBorder="1" applyAlignment="1" applyProtection="1">
      <alignment horizontal="center" vertical="center"/>
      <protection locked="0"/>
    </xf>
    <xf numFmtId="10" fontId="0" fillId="14" borderId="36" xfId="0" applyNumberFormat="1" applyFill="1" applyBorder="1" applyAlignment="1" applyProtection="1">
      <alignment horizontal="center" vertical="center"/>
      <protection locked="0"/>
    </xf>
    <xf numFmtId="10" fontId="0" fillId="14" borderId="28" xfId="0" applyNumberFormat="1" applyFill="1" applyBorder="1" applyAlignment="1" applyProtection="1">
      <alignment horizontal="center" vertical="center"/>
      <protection locked="0"/>
    </xf>
    <xf numFmtId="10" fontId="0" fillId="14" borderId="37" xfId="0" applyNumberFormat="1" applyFill="1" applyBorder="1" applyAlignment="1" applyProtection="1">
      <alignment horizontal="center" vertical="center"/>
      <protection locked="0"/>
    </xf>
    <xf numFmtId="10" fontId="0" fillId="14" borderId="31" xfId="0" applyNumberFormat="1" applyFill="1" applyBorder="1" applyAlignment="1" applyProtection="1">
      <alignment horizontal="center" vertical="center"/>
      <protection locked="0"/>
    </xf>
    <xf numFmtId="0" fontId="0" fillId="0" borderId="24" xfId="0" applyBorder="1" applyAlignment="1">
      <alignment horizontal="center"/>
    </xf>
    <xf numFmtId="0" fontId="0" fillId="0" borderId="81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1" xfId="0" applyBorder="1" applyAlignment="1">
      <alignment horizontal="center"/>
    </xf>
    <xf numFmtId="0" fontId="92" fillId="0" borderId="0" xfId="0" applyFont="1" applyAlignment="1">
      <alignment horizontal="center" vertical="top" wrapText="1"/>
    </xf>
    <xf numFmtId="0" fontId="73" fillId="0" borderId="0" xfId="1556" applyFont="1" applyFill="1" applyAlignment="1">
      <alignment horizontal="center" vertical="center" wrapText="1"/>
    </xf>
    <xf numFmtId="0" fontId="73" fillId="0" borderId="0" xfId="1556" applyFont="1" applyFill="1" applyAlignment="1">
      <alignment horizontal="center" vertical="center"/>
    </xf>
    <xf numFmtId="0" fontId="72" fillId="0" borderId="0" xfId="0" applyFont="1" applyFill="1" applyAlignment="1">
      <alignment horizontal="center" vertical="center"/>
    </xf>
    <xf numFmtId="0" fontId="74" fillId="0" borderId="0" xfId="0" applyFont="1" applyFill="1" applyAlignment="1">
      <alignment horizontal="center" vertical="center"/>
    </xf>
    <xf numFmtId="2" fontId="29" fillId="0" borderId="12" xfId="0" applyNumberFormat="1" applyFont="1" applyFill="1" applyBorder="1" applyProtection="1">
      <protection locked="0"/>
    </xf>
    <xf numFmtId="2" fontId="29" fillId="0" borderId="1" xfId="0" applyNumberFormat="1" applyFont="1" applyFill="1" applyBorder="1" applyProtection="1">
      <protection locked="0"/>
    </xf>
    <xf numFmtId="2" fontId="103" fillId="0" borderId="12" xfId="0" applyNumberFormat="1" applyFont="1" applyFill="1" applyBorder="1" applyProtection="1">
      <protection locked="0"/>
    </xf>
    <xf numFmtId="0" fontId="0" fillId="14" borderId="75" xfId="0" applyFill="1" applyBorder="1" applyAlignment="1" applyProtection="1">
      <alignment horizontal="center" vertical="center" wrapText="1"/>
      <protection locked="0"/>
    </xf>
    <xf numFmtId="0" fontId="29" fillId="0" borderId="0" xfId="0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29" fillId="5" borderId="1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8" fillId="0" borderId="0" xfId="0" applyFont="1" applyFill="1" applyBorder="1" applyAlignment="1">
      <alignment horizontal="center" vertical="center" wrapText="1"/>
    </xf>
    <xf numFmtId="0" fontId="29" fillId="0" borderId="0" xfId="0" applyFont="1" applyFill="1" applyBorder="1" applyAlignment="1">
      <alignment horizontal="center" vertical="center" wrapText="1"/>
    </xf>
    <xf numFmtId="1" fontId="29" fillId="0" borderId="0" xfId="0" applyNumberFormat="1" applyFont="1" applyFill="1" applyBorder="1" applyAlignment="1">
      <alignment horizontal="center" vertical="center" wrapText="1"/>
    </xf>
    <xf numFmtId="0" fontId="29" fillId="0" borderId="0" xfId="0" applyFont="1" applyFill="1" applyBorder="1"/>
    <xf numFmtId="166" fontId="29" fillId="0" borderId="0" xfId="0" applyNumberFormat="1" applyFont="1" applyBorder="1"/>
    <xf numFmtId="0" fontId="0" fillId="0" borderId="0" xfId="0" applyFill="1" applyAlignment="1">
      <alignment horizontal="center" vertical="center" wrapText="1"/>
    </xf>
    <xf numFmtId="0" fontId="10" fillId="14" borderId="31" xfId="0" applyFont="1" applyFill="1" applyBorder="1" applyAlignment="1">
      <alignment horizontal="center" vertical="top" wrapText="1"/>
    </xf>
    <xf numFmtId="0" fontId="0" fillId="0" borderId="0" xfId="0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1" fontId="29" fillId="0" borderId="0" xfId="0" applyNumberFormat="1" applyFont="1" applyFill="1" applyBorder="1" applyAlignment="1">
      <alignment horizontal="center" vertical="center"/>
    </xf>
    <xf numFmtId="0" fontId="72" fillId="0" borderId="0" xfId="0" applyFont="1" applyFill="1" applyBorder="1" applyAlignment="1">
      <alignment horizontal="center" vertical="center"/>
    </xf>
    <xf numFmtId="2" fontId="0" fillId="14" borderId="28" xfId="0" applyNumberFormat="1" applyFill="1" applyBorder="1" applyAlignment="1" applyProtection="1">
      <alignment horizontal="center"/>
      <protection locked="0"/>
    </xf>
    <xf numFmtId="2" fontId="0" fillId="14" borderId="31" xfId="0" applyNumberFormat="1" applyFill="1" applyBorder="1" applyAlignment="1" applyProtection="1">
      <alignment horizontal="center"/>
      <protection locked="0"/>
    </xf>
    <xf numFmtId="0" fontId="49" fillId="0" borderId="0" xfId="0" applyFont="1" applyBorder="1" applyAlignment="1">
      <alignment horizontal="left" vertical="center" wrapText="1"/>
    </xf>
    <xf numFmtId="0" fontId="106" fillId="0" borderId="0" xfId="0" applyFont="1"/>
    <xf numFmtId="0" fontId="15" fillId="6" borderId="26" xfId="0" applyFont="1" applyFill="1" applyBorder="1" applyAlignment="1">
      <alignment horizontal="center" vertical="top" wrapText="1"/>
    </xf>
    <xf numFmtId="2" fontId="0" fillId="14" borderId="67" xfId="0" applyNumberFormat="1" applyFill="1" applyBorder="1" applyAlignment="1" applyProtection="1">
      <alignment horizontal="center" vertical="center"/>
      <protection locked="0"/>
    </xf>
    <xf numFmtId="2" fontId="0" fillId="14" borderId="80" xfId="0" applyNumberFormat="1" applyFill="1" applyBorder="1" applyAlignment="1" applyProtection="1">
      <alignment horizontal="center" vertical="center"/>
      <protection locked="0"/>
    </xf>
    <xf numFmtId="2" fontId="0" fillId="14" borderId="68" xfId="0" applyNumberFormat="1" applyFill="1" applyBorder="1" applyAlignment="1" applyProtection="1">
      <alignment horizontal="center" vertical="center"/>
      <protection locked="0"/>
    </xf>
    <xf numFmtId="0" fontId="11" fillId="0" borderId="4" xfId="1557" applyFont="1" applyBorder="1"/>
    <xf numFmtId="2" fontId="18" fillId="0" borderId="5" xfId="1557" applyNumberFormat="1" applyBorder="1"/>
    <xf numFmtId="0" fontId="14" fillId="0" borderId="6" xfId="1557" applyFont="1" applyBorder="1"/>
    <xf numFmtId="0" fontId="18" fillId="0" borderId="45" xfId="1557" applyBorder="1"/>
    <xf numFmtId="168" fontId="18" fillId="0" borderId="45" xfId="1833" applyNumberFormat="1" applyFont="1" applyBorder="1"/>
    <xf numFmtId="2" fontId="18" fillId="0" borderId="7" xfId="1557" applyNumberFormat="1" applyBorder="1"/>
    <xf numFmtId="0" fontId="18" fillId="0" borderId="5" xfId="1557" applyBorder="1"/>
    <xf numFmtId="0" fontId="18" fillId="0" borderId="7" xfId="1557" applyBorder="1"/>
    <xf numFmtId="0" fontId="2" fillId="0" borderId="2" xfId="1557" applyFont="1" applyBorder="1" applyAlignment="1">
      <alignment vertical="top" wrapText="1"/>
    </xf>
    <xf numFmtId="165" fontId="18" fillId="0" borderId="4" xfId="1557" applyNumberFormat="1" applyBorder="1"/>
    <xf numFmtId="0" fontId="18" fillId="0" borderId="6" xfId="1557" applyBorder="1"/>
    <xf numFmtId="1" fontId="18" fillId="0" borderId="4" xfId="1557" applyNumberFormat="1" applyBorder="1"/>
    <xf numFmtId="0" fontId="29" fillId="0" borderId="8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25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9" fillId="0" borderId="8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 wrapText="1"/>
    </xf>
    <xf numFmtId="1" fontId="29" fillId="0" borderId="1" xfId="0" applyNumberFormat="1" applyFont="1" applyBorder="1" applyAlignment="1">
      <alignment horizontal="center" vertical="center" wrapText="1"/>
    </xf>
    <xf numFmtId="0" fontId="33" fillId="0" borderId="17" xfId="0" applyFont="1" applyBorder="1" applyAlignment="1">
      <alignment horizontal="center" vertical="center"/>
    </xf>
    <xf numFmtId="0" fontId="0" fillId="0" borderId="0" xfId="0"/>
    <xf numFmtId="0" fontId="0" fillId="0" borderId="24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15" fillId="0" borderId="71" xfId="0" applyFont="1" applyBorder="1" applyAlignment="1">
      <alignment horizontal="center" vertical="center" wrapText="1"/>
    </xf>
    <xf numFmtId="0" fontId="15" fillId="0" borderId="66" xfId="0" applyFont="1" applyBorder="1" applyAlignment="1">
      <alignment horizontal="center" vertical="center" wrapText="1"/>
    </xf>
    <xf numFmtId="0" fontId="4" fillId="0" borderId="35" xfId="0" applyFont="1" applyBorder="1" applyAlignment="1">
      <alignment horizontal="center" vertical="center" wrapText="1"/>
    </xf>
    <xf numFmtId="0" fontId="15" fillId="0" borderId="36" xfId="0" applyFont="1" applyBorder="1" applyAlignment="1">
      <alignment horizontal="center" vertical="center" wrapText="1"/>
    </xf>
    <xf numFmtId="0" fontId="15" fillId="0" borderId="37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44" fillId="0" borderId="2" xfId="0" applyFont="1" applyBorder="1" applyAlignment="1">
      <alignment horizontal="center" vertical="center" wrapText="1"/>
    </xf>
    <xf numFmtId="0" fontId="44" fillId="0" borderId="4" xfId="0" applyFont="1" applyBorder="1" applyAlignment="1">
      <alignment horizontal="center" vertical="center" wrapText="1"/>
    </xf>
    <xf numFmtId="0" fontId="15" fillId="6" borderId="72" xfId="0" applyFont="1" applyFill="1" applyBorder="1" applyAlignment="1">
      <alignment horizontal="center" vertical="center"/>
    </xf>
    <xf numFmtId="0" fontId="15" fillId="6" borderId="4" xfId="0" applyFont="1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 wrapText="1"/>
    </xf>
    <xf numFmtId="0" fontId="0" fillId="6" borderId="27" xfId="0" applyFill="1" applyBorder="1" applyAlignment="1">
      <alignment horizontal="center" vertical="center" wrapText="1"/>
    </xf>
    <xf numFmtId="0" fontId="0" fillId="6" borderId="29" xfId="0" applyFill="1" applyBorder="1" applyAlignment="1">
      <alignment horizontal="center" vertical="center" wrapText="1"/>
    </xf>
    <xf numFmtId="0" fontId="15" fillId="6" borderId="24" xfId="0" applyFont="1" applyFill="1" applyBorder="1" applyAlignment="1">
      <alignment horizontal="center" vertical="center" wrapText="1"/>
    </xf>
    <xf numFmtId="0" fontId="15" fillId="6" borderId="27" xfId="0" applyFont="1" applyFill="1" applyBorder="1" applyAlignment="1">
      <alignment horizontal="center" vertical="center" wrapText="1"/>
    </xf>
    <xf numFmtId="0" fontId="15" fillId="6" borderId="29" xfId="0" applyFont="1" applyFill="1" applyBorder="1" applyAlignment="1">
      <alignment horizontal="center" vertical="center" wrapText="1"/>
    </xf>
    <xf numFmtId="0" fontId="26" fillId="5" borderId="2" xfId="0" applyFont="1" applyFill="1" applyBorder="1" applyAlignment="1">
      <alignment horizontal="left" vertical="top"/>
    </xf>
    <xf numFmtId="0" fontId="26" fillId="5" borderId="50" xfId="0" applyFont="1" applyFill="1" applyBorder="1" applyAlignment="1">
      <alignment horizontal="left" vertical="top"/>
    </xf>
    <xf numFmtId="0" fontId="26" fillId="5" borderId="3" xfId="0" applyFont="1" applyFill="1" applyBorder="1" applyAlignment="1">
      <alignment horizontal="left" vertical="top"/>
    </xf>
    <xf numFmtId="0" fontId="26" fillId="0" borderId="0" xfId="0" applyFont="1" applyAlignment="1">
      <alignment horizontal="left" vertical="top"/>
    </xf>
    <xf numFmtId="0" fontId="29" fillId="6" borderId="2" xfId="0" applyFont="1" applyFill="1" applyBorder="1" applyAlignment="1">
      <alignment horizontal="center" vertical="center"/>
    </xf>
    <xf numFmtId="0" fontId="29" fillId="6" borderId="50" xfId="0" applyFont="1" applyFill="1" applyBorder="1" applyAlignment="1">
      <alignment horizontal="center" vertical="center"/>
    </xf>
    <xf numFmtId="0" fontId="10" fillId="0" borderId="35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37" xfId="0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0" fontId="29" fillId="0" borderId="33" xfId="0" applyFont="1" applyBorder="1" applyAlignment="1">
      <alignment horizontal="center" vertical="center" wrapText="1"/>
    </xf>
    <xf numFmtId="0" fontId="33" fillId="0" borderId="24" xfId="0" applyFont="1" applyBorder="1" applyAlignment="1">
      <alignment horizontal="center" vertical="center" wrapText="1"/>
    </xf>
    <xf numFmtId="0" fontId="33" fillId="0" borderId="27" xfId="0" applyFont="1" applyBorder="1" applyAlignment="1">
      <alignment horizontal="center" vertical="center" wrapText="1"/>
    </xf>
    <xf numFmtId="0" fontId="33" fillId="0" borderId="29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33" fillId="0" borderId="35" xfId="0" applyFont="1" applyBorder="1" applyAlignment="1">
      <alignment horizontal="center" vertical="center"/>
    </xf>
    <xf numFmtId="0" fontId="33" fillId="0" borderId="36" xfId="0" applyFont="1" applyBorder="1" applyAlignment="1">
      <alignment horizontal="center" vertical="center"/>
    </xf>
    <xf numFmtId="0" fontId="33" fillId="0" borderId="37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 wrapText="1"/>
    </xf>
    <xf numFmtId="0" fontId="29" fillId="0" borderId="40" xfId="0" applyFont="1" applyBorder="1" applyAlignment="1">
      <alignment horizontal="center" vertical="center" wrapText="1"/>
    </xf>
    <xf numFmtId="0" fontId="29" fillId="0" borderId="2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top" wrapText="1"/>
    </xf>
    <xf numFmtId="0" fontId="60" fillId="0" borderId="8" xfId="0" applyFont="1" applyBorder="1" applyAlignment="1">
      <alignment horizontal="center" vertical="center" wrapText="1"/>
    </xf>
    <xf numFmtId="0" fontId="60" fillId="0" borderId="17" xfId="0" applyFont="1" applyBorder="1" applyAlignment="1">
      <alignment horizontal="center" vertical="center" wrapText="1"/>
    </xf>
    <xf numFmtId="0" fontId="60" fillId="0" borderId="12" xfId="0" applyFont="1" applyBorder="1" applyAlignment="1">
      <alignment horizontal="center" vertical="center" wrapText="1"/>
    </xf>
    <xf numFmtId="0" fontId="29" fillId="0" borderId="32" xfId="0" applyFont="1" applyBorder="1" applyAlignment="1">
      <alignment horizontal="center" vertical="center" wrapText="1"/>
    </xf>
    <xf numFmtId="0" fontId="29" fillId="0" borderId="25" xfId="0" applyFont="1" applyBorder="1" applyAlignment="1">
      <alignment horizontal="center" vertical="center"/>
    </xf>
    <xf numFmtId="0" fontId="33" fillId="0" borderId="35" xfId="0" applyFont="1" applyBorder="1" applyAlignment="1">
      <alignment horizontal="center" vertical="center" wrapText="1"/>
    </xf>
    <xf numFmtId="0" fontId="33" fillId="0" borderId="37" xfId="0" applyFont="1" applyBorder="1" applyAlignment="1">
      <alignment horizontal="center" vertical="center" wrapText="1"/>
    </xf>
    <xf numFmtId="0" fontId="33" fillId="0" borderId="39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 wrapText="1"/>
    </xf>
    <xf numFmtId="0" fontId="29" fillId="0" borderId="22" xfId="0" applyFont="1" applyBorder="1" applyAlignment="1">
      <alignment horizontal="center" vertical="center" wrapText="1"/>
    </xf>
    <xf numFmtId="0" fontId="29" fillId="0" borderId="58" xfId="0" applyFont="1" applyBorder="1" applyAlignment="1">
      <alignment horizontal="center" vertical="center"/>
    </xf>
    <xf numFmtId="0" fontId="29" fillId="0" borderId="38" xfId="0" applyFont="1" applyBorder="1" applyAlignment="1">
      <alignment horizontal="center" vertical="center"/>
    </xf>
    <xf numFmtId="0" fontId="29" fillId="0" borderId="61" xfId="0" applyFont="1" applyBorder="1" applyAlignment="1">
      <alignment horizontal="center" vertical="center"/>
    </xf>
    <xf numFmtId="0" fontId="29" fillId="0" borderId="53" xfId="0" applyFont="1" applyBorder="1" applyAlignment="1">
      <alignment horizontal="center" vertical="center"/>
    </xf>
    <xf numFmtId="0" fontId="29" fillId="0" borderId="48" xfId="0" applyFont="1" applyBorder="1" applyAlignment="1">
      <alignment horizontal="center" vertical="center" wrapText="1"/>
    </xf>
    <xf numFmtId="0" fontId="29" fillId="0" borderId="54" xfId="0" applyFont="1" applyBorder="1" applyAlignment="1">
      <alignment horizontal="center" vertical="center" wrapText="1"/>
    </xf>
    <xf numFmtId="0" fontId="29" fillId="0" borderId="9" xfId="0" applyFont="1" applyBorder="1" applyAlignment="1">
      <alignment horizontal="center" vertical="center" wrapText="1"/>
    </xf>
    <xf numFmtId="0" fontId="29" fillId="0" borderId="43" xfId="0" applyFont="1" applyBorder="1" applyAlignment="1">
      <alignment horizontal="center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5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51" xfId="0" applyFont="1" applyBorder="1" applyAlignment="1">
      <alignment horizontal="center" vertical="center" wrapText="1"/>
    </xf>
    <xf numFmtId="0" fontId="29" fillId="0" borderId="60" xfId="0" applyFont="1" applyBorder="1" applyAlignment="1">
      <alignment horizontal="center" vertical="center" wrapText="1"/>
    </xf>
    <xf numFmtId="0" fontId="29" fillId="0" borderId="44" xfId="0" applyFont="1" applyBorder="1" applyAlignment="1">
      <alignment horizontal="center" vertical="center" wrapText="1"/>
    </xf>
    <xf numFmtId="0" fontId="29" fillId="0" borderId="7" xfId="0" applyFont="1" applyBorder="1" applyAlignment="1">
      <alignment horizontal="center" vertical="center" wrapText="1"/>
    </xf>
    <xf numFmtId="0" fontId="29" fillId="0" borderId="49" xfId="0" applyFont="1" applyBorder="1" applyAlignment="1">
      <alignment horizontal="center" vertical="center" wrapText="1"/>
    </xf>
    <xf numFmtId="0" fontId="29" fillId="0" borderId="3" xfId="0" applyFon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26" fillId="0" borderId="27" xfId="0" applyFont="1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26" fillId="0" borderId="35" xfId="0" applyFont="1" applyBorder="1" applyAlignment="1">
      <alignment horizontal="center" vertical="center"/>
    </xf>
    <xf numFmtId="0" fontId="26" fillId="0" borderId="36" xfId="0" applyFont="1" applyBorder="1" applyAlignment="1">
      <alignment horizontal="center" vertical="center"/>
    </xf>
    <xf numFmtId="0" fontId="26" fillId="0" borderId="39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26" fillId="0" borderId="37" xfId="0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6" borderId="40" xfId="0" applyFill="1" applyBorder="1" applyAlignment="1">
      <alignment horizontal="center" vertical="center" wrapText="1"/>
    </xf>
    <xf numFmtId="0" fontId="0" fillId="6" borderId="21" xfId="0" applyFill="1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42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26" fillId="0" borderId="29" xfId="0" applyFont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26" fillId="0" borderId="35" xfId="0" applyFont="1" applyBorder="1" applyAlignment="1">
      <alignment horizontal="center" vertical="center" wrapText="1"/>
    </xf>
    <xf numFmtId="0" fontId="26" fillId="0" borderId="37" xfId="0" applyFont="1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54" fillId="0" borderId="22" xfId="0" applyFont="1" applyBorder="1" applyAlignment="1">
      <alignment horizontal="center" vertical="center" wrapText="1"/>
    </xf>
    <xf numFmtId="1" fontId="29" fillId="0" borderId="1" xfId="0" applyNumberFormat="1" applyFont="1" applyBorder="1" applyAlignment="1">
      <alignment horizontal="center" vertical="center" wrapText="1"/>
    </xf>
    <xf numFmtId="0" fontId="33" fillId="0" borderId="8" xfId="0" applyFont="1" applyBorder="1" applyAlignment="1">
      <alignment horizontal="center" vertical="center"/>
    </xf>
    <xf numFmtId="0" fontId="33" fillId="0" borderId="17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/>
    </xf>
    <xf numFmtId="0" fontId="47" fillId="0" borderId="55" xfId="0" applyFont="1" applyBorder="1" applyAlignment="1">
      <alignment horizontal="center"/>
    </xf>
    <xf numFmtId="0" fontId="47" fillId="0" borderId="73" xfId="0" applyFont="1" applyBorder="1" applyAlignment="1">
      <alignment horizontal="center"/>
    </xf>
    <xf numFmtId="0" fontId="35" fillId="0" borderId="9" xfId="1558" applyBorder="1" applyAlignment="1">
      <alignment horizontal="center" vertical="top" wrapText="1"/>
    </xf>
    <xf numFmtId="0" fontId="35" fillId="0" borderId="10" xfId="1558" applyBorder="1" applyAlignment="1">
      <alignment horizontal="center" vertical="top" wrapText="1"/>
    </xf>
    <xf numFmtId="0" fontId="47" fillId="0" borderId="35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48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26" xfId="0" applyBorder="1" applyAlignment="1">
      <alignment horizontal="center"/>
    </xf>
    <xf numFmtId="2" fontId="48" fillId="26" borderId="0" xfId="1553" applyNumberFormat="1" applyFill="1" applyAlignment="1">
      <alignment horizontal="center"/>
    </xf>
    <xf numFmtId="0" fontId="22" fillId="9" borderId="13" xfId="0" applyFont="1" applyFill="1" applyBorder="1" applyAlignment="1">
      <alignment horizontal="center"/>
    </xf>
    <xf numFmtId="0" fontId="22" fillId="9" borderId="14" xfId="0" applyFont="1" applyFill="1" applyBorder="1" applyAlignment="1">
      <alignment horizontal="center"/>
    </xf>
    <xf numFmtId="0" fontId="22" fillId="9" borderId="18" xfId="0" applyFont="1" applyFill="1" applyBorder="1" applyAlignment="1">
      <alignment horizontal="center"/>
    </xf>
    <xf numFmtId="0" fontId="22" fillId="9" borderId="19" xfId="0" applyFont="1" applyFill="1" applyBorder="1" applyAlignment="1">
      <alignment horizontal="center"/>
    </xf>
    <xf numFmtId="0" fontId="0" fillId="0" borderId="22" xfId="0" applyBorder="1"/>
    <xf numFmtId="0" fontId="0" fillId="0" borderId="21" xfId="0" applyBorder="1"/>
    <xf numFmtId="0" fontId="22" fillId="0" borderId="19" xfId="0" applyFont="1" applyBorder="1" applyAlignment="1">
      <alignment horizontal="center"/>
    </xf>
    <xf numFmtId="0" fontId="0" fillId="0" borderId="10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22" fillId="9" borderId="22" xfId="0" applyFont="1" applyFill="1" applyBorder="1" applyAlignment="1">
      <alignment horizontal="center"/>
    </xf>
    <xf numFmtId="0" fontId="22" fillId="9" borderId="21" xfId="0" applyFont="1" applyFill="1" applyBorder="1" applyAlignment="1">
      <alignment horizontal="center"/>
    </xf>
    <xf numFmtId="0" fontId="29" fillId="19" borderId="0" xfId="0" applyFont="1" applyFill="1" applyAlignment="1">
      <alignment horizontal="left"/>
    </xf>
    <xf numFmtId="0" fontId="0" fillId="0" borderId="1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5" borderId="8" xfId="0" applyFill="1" applyBorder="1" applyAlignment="1">
      <alignment horizontal="center" vertical="center"/>
    </xf>
    <xf numFmtId="0" fontId="0" fillId="5" borderId="13" xfId="0" applyFill="1" applyBorder="1" applyAlignment="1">
      <alignment horizontal="right" vertical="center"/>
    </xf>
    <xf numFmtId="0" fontId="0" fillId="5" borderId="14" xfId="0" applyFill="1" applyBorder="1" applyAlignment="1">
      <alignment horizontal="right" vertical="center"/>
    </xf>
    <xf numFmtId="0" fontId="0" fillId="5" borderId="18" xfId="0" applyFill="1" applyBorder="1" applyAlignment="1">
      <alignment horizontal="right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17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0" fontId="0" fillId="5" borderId="19" xfId="0" applyFill="1" applyBorder="1" applyAlignment="1">
      <alignment horizontal="center" vertical="center" wrapText="1"/>
    </xf>
    <xf numFmtId="0" fontId="0" fillId="5" borderId="22" xfId="0" applyFill="1" applyBorder="1" applyAlignment="1">
      <alignment horizontal="center" vertical="center" wrapText="1"/>
    </xf>
    <xf numFmtId="0" fontId="0" fillId="5" borderId="21" xfId="0" applyFill="1" applyBorder="1" applyAlignment="1">
      <alignment horizontal="center" vertical="center" wrapText="1"/>
    </xf>
    <xf numFmtId="0" fontId="0" fillId="5" borderId="19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58" fillId="0" borderId="0" xfId="1556" applyAlignment="1">
      <alignment horizontal="left" vertical="center"/>
    </xf>
    <xf numFmtId="0" fontId="58" fillId="5" borderId="1" xfId="1556" applyFill="1" applyBorder="1" applyAlignment="1">
      <alignment horizontal="center" vertical="center"/>
    </xf>
    <xf numFmtId="0" fontId="29" fillId="0" borderId="0" xfId="1" applyFont="1" applyFill="1" applyAlignment="1">
      <alignment horizontal="right" vertical="center"/>
    </xf>
    <xf numFmtId="0" fontId="0" fillId="0" borderId="0" xfId="0" applyAlignment="1">
      <alignment horizontal="center"/>
    </xf>
    <xf numFmtId="0" fontId="0" fillId="5" borderId="1" xfId="0" applyFill="1" applyBorder="1" applyAlignment="1">
      <alignment horizontal="center"/>
    </xf>
    <xf numFmtId="0" fontId="29" fillId="6" borderId="8" xfId="1" applyFont="1" applyFill="1" applyBorder="1" applyAlignment="1">
      <alignment horizontal="center" vertical="center" wrapText="1"/>
    </xf>
    <xf numFmtId="0" fontId="29" fillId="6" borderId="17" xfId="1" applyFont="1" applyFill="1" applyBorder="1" applyAlignment="1">
      <alignment horizontal="center" vertical="center" wrapText="1"/>
    </xf>
    <xf numFmtId="0" fontId="29" fillId="6" borderId="12" xfId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0" fontId="34" fillId="6" borderId="19" xfId="1" applyFont="1" applyFill="1" applyBorder="1" applyAlignment="1">
      <alignment horizontal="center" vertical="center"/>
    </xf>
    <xf numFmtId="0" fontId="34" fillId="6" borderId="21" xfId="1" applyFont="1" applyFill="1" applyBorder="1" applyAlignment="1">
      <alignment horizontal="center" vertical="center"/>
    </xf>
    <xf numFmtId="0" fontId="34" fillId="5" borderId="19" xfId="1" applyFont="1" applyFill="1" applyBorder="1" applyAlignment="1">
      <alignment horizontal="right" wrapText="1"/>
    </xf>
    <xf numFmtId="0" fontId="34" fillId="5" borderId="22" xfId="1" applyFont="1" applyFill="1" applyBorder="1" applyAlignment="1">
      <alignment horizontal="right" wrapText="1"/>
    </xf>
    <xf numFmtId="0" fontId="34" fillId="5" borderId="21" xfId="1" applyFont="1" applyFill="1" applyBorder="1" applyAlignment="1">
      <alignment horizontal="right" wrapText="1"/>
    </xf>
    <xf numFmtId="0" fontId="34" fillId="5" borderId="8" xfId="1" applyFont="1" applyFill="1" applyBorder="1" applyAlignment="1">
      <alignment horizontal="center" vertical="center" wrapText="1"/>
    </xf>
    <xf numFmtId="0" fontId="34" fillId="5" borderId="17" xfId="1" applyFont="1" applyFill="1" applyBorder="1" applyAlignment="1">
      <alignment horizontal="center" vertical="center" wrapText="1"/>
    </xf>
    <xf numFmtId="0" fontId="34" fillId="5" borderId="12" xfId="1" applyFont="1" applyFill="1" applyBorder="1" applyAlignment="1">
      <alignment horizontal="center" vertical="center" wrapText="1"/>
    </xf>
    <xf numFmtId="0" fontId="34" fillId="6" borderId="19" xfId="1" applyFont="1" applyFill="1" applyBorder="1" applyAlignment="1">
      <alignment horizontal="center" vertical="center" wrapText="1"/>
    </xf>
    <xf numFmtId="0" fontId="34" fillId="6" borderId="21" xfId="1" applyFont="1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wrapText="1"/>
    </xf>
    <xf numFmtId="0" fontId="0" fillId="5" borderId="0" xfId="0" applyFill="1" applyAlignment="1">
      <alignment horizontal="center" wrapText="1"/>
    </xf>
    <xf numFmtId="0" fontId="0" fillId="5" borderId="14" xfId="0" applyFill="1" applyBorder="1" applyAlignment="1">
      <alignment horizontal="center" wrapText="1"/>
    </xf>
    <xf numFmtId="0" fontId="0" fillId="6" borderId="19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0" fillId="0" borderId="0" xfId="0"/>
    <xf numFmtId="0" fontId="26" fillId="0" borderId="1" xfId="0" applyFont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5" borderId="16" xfId="0" applyFill="1" applyBorder="1" applyAlignment="1">
      <alignment horizontal="center" vertical="center" wrapText="1"/>
    </xf>
    <xf numFmtId="0" fontId="0" fillId="5" borderId="18" xfId="0" applyFill="1" applyBorder="1" applyAlignment="1">
      <alignment horizontal="center" vertical="center" wrapText="1"/>
    </xf>
    <xf numFmtId="0" fontId="26" fillId="5" borderId="1" xfId="0" applyFont="1" applyFill="1" applyBorder="1" applyAlignment="1">
      <alignment horizontal="center" vertical="center" wrapText="1"/>
    </xf>
    <xf numFmtId="2" fontId="0" fillId="5" borderId="1" xfId="0" applyNumberFormat="1" applyFill="1" applyBorder="1" applyAlignment="1">
      <alignment horizontal="right" vertical="center" wrapText="1"/>
    </xf>
    <xf numFmtId="0" fontId="0" fillId="6" borderId="19" xfId="0" applyFill="1" applyBorder="1" applyAlignment="1">
      <alignment horizontal="center" vertical="center" wrapText="1"/>
    </xf>
    <xf numFmtId="0" fontId="29" fillId="5" borderId="1" xfId="1" applyFont="1" applyFill="1" applyBorder="1" applyAlignment="1">
      <alignment horizontal="center" vertical="center" wrapText="1"/>
    </xf>
    <xf numFmtId="0" fontId="0" fillId="5" borderId="17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5" borderId="1" xfId="0" applyFill="1" applyBorder="1" applyAlignment="1">
      <alignment horizontal="right"/>
    </xf>
    <xf numFmtId="0" fontId="26" fillId="0" borderId="8" xfId="0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5" borderId="20" xfId="0" applyFill="1" applyBorder="1" applyAlignment="1">
      <alignment horizontal="center" vertical="center" wrapText="1"/>
    </xf>
    <xf numFmtId="0" fontId="0" fillId="5" borderId="20" xfId="0" applyFill="1" applyBorder="1" applyAlignment="1">
      <alignment horizontal="center" vertical="center"/>
    </xf>
    <xf numFmtId="0" fontId="0" fillId="5" borderId="19" xfId="0" applyFill="1" applyBorder="1" applyAlignment="1">
      <alignment horizontal="right" vertical="center"/>
    </xf>
    <xf numFmtId="0" fontId="0" fillId="5" borderId="22" xfId="0" applyFill="1" applyBorder="1" applyAlignment="1">
      <alignment horizontal="right" vertical="center"/>
    </xf>
    <xf numFmtId="0" fontId="0" fillId="5" borderId="21" xfId="0" applyFill="1" applyBorder="1" applyAlignment="1">
      <alignment horizontal="right" vertical="center"/>
    </xf>
    <xf numFmtId="0" fontId="0" fillId="0" borderId="1" xfId="0" applyBorder="1" applyAlignment="1">
      <alignment horizontal="center" vertical="top"/>
    </xf>
    <xf numFmtId="0" fontId="29" fillId="30" borderId="1" xfId="0" applyFont="1" applyFill="1" applyBorder="1"/>
    <xf numFmtId="0" fontId="29" fillId="30" borderId="1" xfId="0" applyFont="1" applyFill="1" applyBorder="1" applyAlignment="1">
      <alignment horizontal="center" vertical="center"/>
    </xf>
    <xf numFmtId="0" fontId="29" fillId="30" borderId="19" xfId="0" applyFont="1" applyFill="1" applyBorder="1" applyAlignment="1">
      <alignment horizontal="center" vertical="center"/>
    </xf>
    <xf numFmtId="0" fontId="29" fillId="30" borderId="22" xfId="0" applyFont="1" applyFill="1" applyBorder="1" applyAlignment="1">
      <alignment horizontal="center" vertical="center"/>
    </xf>
    <xf numFmtId="0" fontId="29" fillId="30" borderId="21" xfId="0" applyFont="1" applyFill="1" applyBorder="1" applyAlignment="1">
      <alignment horizontal="center" vertical="center"/>
    </xf>
    <xf numFmtId="0" fontId="29" fillId="30" borderId="22" xfId="0" applyFont="1" applyFill="1" applyBorder="1" applyAlignment="1">
      <alignment horizontal="center" vertical="center"/>
    </xf>
    <xf numFmtId="0" fontId="29" fillId="30" borderId="21" xfId="0" applyFont="1" applyFill="1" applyBorder="1" applyAlignment="1">
      <alignment horizontal="center" vertical="center"/>
    </xf>
    <xf numFmtId="0" fontId="29" fillId="30" borderId="19" xfId="0" applyFont="1" applyFill="1" applyBorder="1" applyAlignment="1">
      <alignment horizontal="center" vertical="center"/>
    </xf>
    <xf numFmtId="0" fontId="29" fillId="30" borderId="8" xfId="0" applyFont="1" applyFill="1" applyBorder="1" applyAlignment="1">
      <alignment horizontal="center" vertical="center"/>
    </xf>
    <xf numFmtId="0" fontId="49" fillId="30" borderId="8" xfId="0" applyFont="1" applyFill="1" applyBorder="1" applyAlignment="1">
      <alignment horizontal="center" vertical="center" wrapText="1"/>
    </xf>
    <xf numFmtId="0" fontId="29" fillId="30" borderId="1" xfId="0" quotePrefix="1" applyFont="1" applyFill="1" applyBorder="1" applyAlignment="1">
      <alignment horizontal="center" vertical="center"/>
    </xf>
    <xf numFmtId="0" fontId="29" fillId="30" borderId="17" xfId="0" applyFont="1" applyFill="1" applyBorder="1" applyAlignment="1">
      <alignment horizontal="center" vertical="center"/>
    </xf>
    <xf numFmtId="0" fontId="49" fillId="30" borderId="17" xfId="0" applyFont="1" applyFill="1" applyBorder="1" applyAlignment="1">
      <alignment horizontal="center" vertical="center" wrapText="1"/>
    </xf>
    <xf numFmtId="0" fontId="29" fillId="30" borderId="1" xfId="0" applyNumberFormat="1" applyFont="1" applyFill="1" applyBorder="1" applyAlignment="1">
      <alignment vertical="center"/>
    </xf>
    <xf numFmtId="0" fontId="29" fillId="30" borderId="12" xfId="0" applyFont="1" applyFill="1" applyBorder="1" applyAlignment="1">
      <alignment horizontal="center" vertical="center"/>
    </xf>
    <xf numFmtId="0" fontId="49" fillId="30" borderId="12" xfId="0" applyFont="1" applyFill="1" applyBorder="1" applyAlignment="1">
      <alignment horizontal="center" vertical="center" wrapText="1"/>
    </xf>
    <xf numFmtId="0" fontId="29" fillId="30" borderId="1" xfId="0" applyFont="1" applyFill="1" applyBorder="1" applyAlignment="1">
      <alignment horizontal="center" vertical="center"/>
    </xf>
    <xf numFmtId="0" fontId="49" fillId="30" borderId="8" xfId="0" applyFont="1" applyFill="1" applyBorder="1" applyAlignment="1">
      <alignment horizontal="left" vertical="top" wrapText="1"/>
    </xf>
    <xf numFmtId="0" fontId="29" fillId="30" borderId="1" xfId="0" applyFont="1" applyFill="1" applyBorder="1" applyAlignment="1">
      <alignment horizontal="center"/>
    </xf>
    <xf numFmtId="0" fontId="29" fillId="30" borderId="1" xfId="0" applyNumberFormat="1" applyFont="1" applyFill="1" applyBorder="1" applyAlignment="1"/>
    <xf numFmtId="0" fontId="49" fillId="30" borderId="17" xfId="0" applyFont="1" applyFill="1" applyBorder="1" applyAlignment="1">
      <alignment horizontal="left" vertical="top" wrapText="1"/>
    </xf>
    <xf numFmtId="0" fontId="49" fillId="30" borderId="12" xfId="0" applyFont="1" applyFill="1" applyBorder="1" applyAlignment="1">
      <alignment horizontal="left" vertical="top" wrapText="1"/>
    </xf>
    <xf numFmtId="0" fontId="49" fillId="30" borderId="1" xfId="0" applyFont="1" applyFill="1" applyBorder="1" applyAlignment="1">
      <alignment horizontal="left" vertical="top" wrapText="1"/>
    </xf>
    <xf numFmtId="0" fontId="0" fillId="30" borderId="19" xfId="0" applyFill="1" applyBorder="1" applyAlignment="1">
      <alignment horizontal="center" vertical="center" wrapText="1"/>
    </xf>
    <xf numFmtId="0" fontId="0" fillId="30" borderId="22" xfId="0" applyFill="1" applyBorder="1" applyAlignment="1">
      <alignment horizontal="center" vertical="center" wrapText="1"/>
    </xf>
    <xf numFmtId="0" fontId="0" fillId="30" borderId="21" xfId="0" applyFill="1" applyBorder="1" applyAlignment="1">
      <alignment horizontal="center" vertical="center" wrapText="1"/>
    </xf>
    <xf numFmtId="0" fontId="0" fillId="30" borderId="1" xfId="0" applyFill="1" applyBorder="1" applyAlignment="1">
      <alignment horizontal="center" vertical="center"/>
    </xf>
    <xf numFmtId="0" fontId="0" fillId="30" borderId="1" xfId="0" applyFill="1" applyBorder="1" applyAlignment="1">
      <alignment horizontal="center" vertical="center" wrapText="1"/>
    </xf>
    <xf numFmtId="0" fontId="0" fillId="30" borderId="1" xfId="0" applyFill="1" applyBorder="1" applyAlignment="1">
      <alignment horizontal="center" vertical="center"/>
    </xf>
    <xf numFmtId="0" fontId="0" fillId="30" borderId="1" xfId="0" applyFill="1" applyBorder="1" applyAlignment="1">
      <alignment horizontal="center" vertical="center" wrapText="1"/>
    </xf>
    <xf numFmtId="0" fontId="0" fillId="30" borderId="8" xfId="0" applyFill="1" applyBorder="1" applyAlignment="1">
      <alignment horizontal="center" vertical="center" wrapText="1"/>
    </xf>
    <xf numFmtId="0" fontId="0" fillId="30" borderId="12" xfId="0" applyFill="1" applyBorder="1" applyAlignment="1">
      <alignment horizontal="center" vertical="center" wrapText="1"/>
    </xf>
    <xf numFmtId="0" fontId="29" fillId="30" borderId="0" xfId="0" applyFont="1" applyFill="1"/>
    <xf numFmtId="0" fontId="29" fillId="30" borderId="1" xfId="0" applyFont="1" applyFill="1" applyBorder="1" applyAlignment="1">
      <alignment horizontal="center" vertical="center" wrapText="1"/>
    </xf>
    <xf numFmtId="0" fontId="33" fillId="30" borderId="1" xfId="0" applyFont="1" applyFill="1" applyBorder="1" applyAlignment="1">
      <alignment horizontal="center" vertical="center"/>
    </xf>
    <xf numFmtId="0" fontId="29" fillId="30" borderId="1" xfId="0" applyFont="1" applyFill="1" applyBorder="1" applyAlignment="1">
      <alignment horizontal="left" vertical="center"/>
    </xf>
    <xf numFmtId="2" fontId="29" fillId="30" borderId="1" xfId="0" applyNumberFormat="1" applyFont="1" applyFill="1" applyBorder="1" applyAlignment="1">
      <alignment horizontal="center" vertical="center"/>
    </xf>
    <xf numFmtId="0" fontId="29" fillId="30" borderId="1" xfId="0" applyFont="1" applyFill="1" applyBorder="1" applyAlignment="1">
      <alignment vertical="center"/>
    </xf>
    <xf numFmtId="1" fontId="29" fillId="30" borderId="1" xfId="0" applyNumberFormat="1" applyFont="1" applyFill="1" applyBorder="1"/>
    <xf numFmtId="0" fontId="29" fillId="30" borderId="19" xfId="0" applyFont="1" applyFill="1" applyBorder="1" applyAlignment="1">
      <alignment horizontal="center"/>
    </xf>
    <xf numFmtId="0" fontId="29" fillId="30" borderId="22" xfId="0" applyFont="1" applyFill="1" applyBorder="1" applyAlignment="1">
      <alignment horizontal="center"/>
    </xf>
    <xf numFmtId="0" fontId="29" fillId="30" borderId="21" xfId="0" applyFont="1" applyFill="1" applyBorder="1" applyAlignment="1">
      <alignment horizontal="center"/>
    </xf>
    <xf numFmtId="0" fontId="29" fillId="30" borderId="19" xfId="0" applyFont="1" applyFill="1" applyBorder="1" applyAlignment="1">
      <alignment horizontal="left"/>
    </xf>
    <xf numFmtId="0" fontId="29" fillId="30" borderId="22" xfId="0" applyFont="1" applyFill="1" applyBorder="1" applyAlignment="1">
      <alignment horizontal="left"/>
    </xf>
    <xf numFmtId="0" fontId="29" fillId="30" borderId="21" xfId="0" applyFont="1" applyFill="1" applyBorder="1" applyAlignment="1">
      <alignment horizontal="left"/>
    </xf>
    <xf numFmtId="0" fontId="29" fillId="30" borderId="1" xfId="0" applyFont="1" applyFill="1" applyBorder="1" applyAlignment="1">
      <alignment horizontal="center" vertical="center" wrapText="1"/>
    </xf>
    <xf numFmtId="0" fontId="33" fillId="30" borderId="19" xfId="0" applyFont="1" applyFill="1" applyBorder="1" applyAlignment="1">
      <alignment horizontal="center" vertical="center" wrapText="1"/>
    </xf>
    <xf numFmtId="0" fontId="33" fillId="30" borderId="22" xfId="0" applyFont="1" applyFill="1" applyBorder="1" applyAlignment="1">
      <alignment horizontal="center" vertical="center" wrapText="1"/>
    </xf>
    <xf numFmtId="0" fontId="33" fillId="30" borderId="21" xfId="0" applyFont="1" applyFill="1" applyBorder="1" applyAlignment="1">
      <alignment horizontal="center" vertical="center" wrapText="1"/>
    </xf>
    <xf numFmtId="0" fontId="29" fillId="30" borderId="0" xfId="0" applyFont="1" applyFill="1" applyAlignment="1">
      <alignment horizontal="center" vertical="center"/>
    </xf>
    <xf numFmtId="0" fontId="29" fillId="30" borderId="0" xfId="0" applyFont="1" applyFill="1" applyAlignment="1">
      <alignment horizontal="center" vertical="center" wrapText="1"/>
    </xf>
    <xf numFmtId="166" fontId="29" fillId="30" borderId="1" xfId="0" applyNumberFormat="1" applyFont="1" applyFill="1" applyBorder="1" applyAlignment="1">
      <alignment horizontal="center" vertical="center"/>
    </xf>
    <xf numFmtId="2" fontId="29" fillId="30" borderId="1" xfId="0" applyNumberFormat="1" applyFont="1" applyFill="1" applyBorder="1" applyAlignment="1">
      <alignment horizontal="center" wrapText="1"/>
    </xf>
    <xf numFmtId="2" fontId="29" fillId="30" borderId="1" xfId="0" applyNumberFormat="1" applyFont="1" applyFill="1" applyBorder="1"/>
    <xf numFmtId="2" fontId="29" fillId="30" borderId="1" xfId="0" applyNumberFormat="1" applyFont="1" applyFill="1" applyBorder="1" applyAlignment="1">
      <alignment horizontal="center"/>
    </xf>
    <xf numFmtId="2" fontId="29" fillId="30" borderId="19" xfId="0" applyNumberFormat="1" applyFont="1" applyFill="1" applyBorder="1" applyAlignment="1">
      <alignment horizontal="center" vertical="center" wrapText="1"/>
    </xf>
    <xf numFmtId="2" fontId="29" fillId="30" borderId="22" xfId="0" applyNumberFormat="1" applyFont="1" applyFill="1" applyBorder="1" applyAlignment="1">
      <alignment horizontal="center" vertical="center" wrapText="1"/>
    </xf>
    <xf numFmtId="2" fontId="29" fillId="30" borderId="21" xfId="0" applyNumberFormat="1" applyFont="1" applyFill="1" applyBorder="1" applyAlignment="1">
      <alignment horizontal="center" vertical="center" wrapText="1"/>
    </xf>
    <xf numFmtId="2" fontId="29" fillId="30" borderId="19" xfId="0" applyNumberFormat="1" applyFont="1" applyFill="1" applyBorder="1"/>
    <xf numFmtId="2" fontId="29" fillId="30" borderId="22" xfId="0" applyNumberFormat="1" applyFont="1" applyFill="1" applyBorder="1"/>
    <xf numFmtId="2" fontId="29" fillId="30" borderId="21" xfId="0" applyNumberFormat="1" applyFont="1" applyFill="1" applyBorder="1"/>
    <xf numFmtId="2" fontId="29" fillId="30" borderId="19" xfId="0" applyNumberFormat="1" applyFont="1" applyFill="1" applyBorder="1" applyAlignment="1">
      <alignment horizontal="center" vertical="center"/>
    </xf>
    <xf numFmtId="2" fontId="29" fillId="30" borderId="22" xfId="0" applyNumberFormat="1" applyFont="1" applyFill="1" applyBorder="1" applyAlignment="1">
      <alignment horizontal="center" vertical="center"/>
    </xf>
    <xf numFmtId="2" fontId="29" fillId="30" borderId="21" xfId="0" applyNumberFormat="1" applyFont="1" applyFill="1" applyBorder="1" applyAlignment="1">
      <alignment horizontal="center" vertical="center"/>
    </xf>
    <xf numFmtId="2" fontId="29" fillId="30" borderId="19" xfId="0" applyNumberFormat="1" applyFont="1" applyFill="1" applyBorder="1" applyAlignment="1">
      <alignment horizontal="center"/>
    </xf>
    <xf numFmtId="2" fontId="29" fillId="30" borderId="22" xfId="0" applyNumberFormat="1" applyFont="1" applyFill="1" applyBorder="1" applyAlignment="1">
      <alignment horizontal="center"/>
    </xf>
    <xf numFmtId="2" fontId="29" fillId="30" borderId="21" xfId="0" applyNumberFormat="1" applyFont="1" applyFill="1" applyBorder="1" applyAlignment="1">
      <alignment horizontal="center"/>
    </xf>
    <xf numFmtId="166" fontId="29" fillId="30" borderId="0" xfId="0" applyNumberFormat="1" applyFont="1" applyFill="1"/>
    <xf numFmtId="0" fontId="29" fillId="30" borderId="0" xfId="0" applyFont="1" applyFill="1" applyAlignment="1">
      <alignment horizontal="center"/>
    </xf>
    <xf numFmtId="0" fontId="29" fillId="30" borderId="19" xfId="0" applyFont="1" applyFill="1" applyBorder="1" applyAlignment="1">
      <alignment horizontal="center" vertical="center" wrapText="1"/>
    </xf>
    <xf numFmtId="0" fontId="29" fillId="30" borderId="22" xfId="0" applyFont="1" applyFill="1" applyBorder="1" applyAlignment="1">
      <alignment horizontal="center" vertical="center" wrapText="1"/>
    </xf>
    <xf numFmtId="0" fontId="29" fillId="30" borderId="21" xfId="0" applyFont="1" applyFill="1" applyBorder="1" applyAlignment="1">
      <alignment horizontal="center" vertical="center" wrapText="1"/>
    </xf>
    <xf numFmtId="0" fontId="29" fillId="30" borderId="8" xfId="0" applyFont="1" applyFill="1" applyBorder="1" applyAlignment="1">
      <alignment horizontal="center" vertical="center" wrapText="1"/>
    </xf>
    <xf numFmtId="0" fontId="29" fillId="30" borderId="12" xfId="0" applyFont="1" applyFill="1" applyBorder="1" applyAlignment="1">
      <alignment horizontal="center" vertical="center" wrapText="1"/>
    </xf>
    <xf numFmtId="0" fontId="29" fillId="30" borderId="19" xfId="0" applyFont="1" applyFill="1" applyBorder="1" applyAlignment="1">
      <alignment vertical="center"/>
    </xf>
    <xf numFmtId="0" fontId="29" fillId="30" borderId="1" xfId="0" applyFont="1" applyFill="1" applyBorder="1" applyAlignment="1">
      <alignment wrapText="1"/>
    </xf>
    <xf numFmtId="0" fontId="56" fillId="30" borderId="0" xfId="0" applyFont="1" applyFill="1" applyAlignment="1">
      <alignment horizontal="center" vertical="center" wrapText="1"/>
    </xf>
    <xf numFmtId="0" fontId="55" fillId="30" borderId="0" xfId="0" applyFont="1" applyFill="1" applyAlignment="1">
      <alignment horizontal="center" vertical="center" wrapText="1"/>
    </xf>
    <xf numFmtId="3" fontId="55" fillId="30" borderId="0" xfId="0" applyNumberFormat="1" applyFont="1" applyFill="1" applyAlignment="1">
      <alignment horizontal="center" vertical="center" wrapText="1"/>
    </xf>
    <xf numFmtId="1" fontId="29" fillId="30" borderId="0" xfId="0" applyNumberFormat="1" applyFont="1" applyFill="1" applyAlignment="1">
      <alignment horizontal="center" vertical="top" wrapText="1"/>
    </xf>
    <xf numFmtId="0" fontId="55" fillId="30" borderId="14" xfId="0" applyFont="1" applyFill="1" applyBorder="1" applyAlignment="1">
      <alignment horizontal="center" vertical="center" wrapText="1"/>
    </xf>
    <xf numFmtId="0" fontId="29" fillId="30" borderId="14" xfId="0" applyFont="1" applyFill="1" applyBorder="1" applyAlignment="1">
      <alignment vertical="top" wrapText="1"/>
    </xf>
    <xf numFmtId="0" fontId="52" fillId="30" borderId="0" xfId="0" applyFont="1" applyFill="1" applyAlignment="1">
      <alignment horizontal="center" vertical="center" wrapText="1"/>
    </xf>
    <xf numFmtId="0" fontId="52" fillId="30" borderId="14" xfId="0" applyFont="1" applyFill="1" applyBorder="1" applyAlignment="1">
      <alignment horizontal="center" vertical="center" wrapText="1"/>
    </xf>
    <xf numFmtId="0" fontId="33" fillId="30" borderId="1" xfId="0" applyFont="1" applyFill="1" applyBorder="1" applyAlignment="1">
      <alignment horizontal="center" vertical="center"/>
    </xf>
    <xf numFmtId="0" fontId="33" fillId="30" borderId="1" xfId="0" applyFont="1" applyFill="1" applyBorder="1"/>
    <xf numFmtId="49" fontId="29" fillId="30" borderId="1" xfId="0" applyNumberFormat="1" applyFont="1" applyFill="1" applyBorder="1"/>
    <xf numFmtId="0" fontId="29" fillId="30" borderId="17" xfId="0" applyFont="1" applyFill="1" applyBorder="1" applyAlignment="1">
      <alignment horizontal="center" vertical="center" wrapText="1"/>
    </xf>
    <xf numFmtId="1" fontId="29" fillId="30" borderId="1" xfId="0" applyNumberFormat="1" applyFont="1" applyFill="1" applyBorder="1" applyAlignment="1">
      <alignment horizontal="center"/>
    </xf>
    <xf numFmtId="1" fontId="29" fillId="30" borderId="1" xfId="0" applyNumberFormat="1" applyFont="1" applyFill="1" applyBorder="1" applyAlignment="1">
      <alignment horizontal="center" vertical="top" wrapText="1"/>
    </xf>
    <xf numFmtId="0" fontId="52" fillId="30" borderId="1" xfId="0" applyFont="1" applyFill="1" applyBorder="1" applyAlignment="1">
      <alignment horizontal="center" vertical="center" wrapText="1"/>
    </xf>
  </cellXfs>
  <cellStyles count="1842">
    <cellStyle name="Bad" xfId="996" builtinId="27"/>
    <cellStyle name="Comma" xfId="1833" builtinId="3"/>
    <cellStyle name="Comma 2" xfId="1841" xr:uid="{00000000-0005-0000-0000-000002000000}"/>
    <cellStyle name="Currency" xfId="1839" builtinId="4"/>
    <cellStyle name="Explanatory Text" xfId="1556" builtinId="53"/>
    <cellStyle name="Followed Hyperlink" xfId="3" builtinId="9" hidden="1"/>
    <cellStyle name="Followed Hyperlink" xfId="5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Followed Hyperlink" xfId="1760" builtinId="9" hidden="1"/>
    <cellStyle name="Followed Hyperlink" xfId="1762" builtinId="9" hidden="1"/>
    <cellStyle name="Followed Hyperlink" xfId="1764" builtinId="9" hidden="1"/>
    <cellStyle name="Followed Hyperlink" xfId="1766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Followed Hyperlink" xfId="1784" builtinId="9" hidden="1"/>
    <cellStyle name="Followed Hyperlink" xfId="1786" builtinId="9" hidden="1"/>
    <cellStyle name="Followed Hyperlink" xfId="1788" builtinId="9" hidden="1"/>
    <cellStyle name="Followed Hyperlink" xfId="1790" builtinId="9" hidden="1"/>
    <cellStyle name="Followed Hyperlink" xfId="1792" builtinId="9" hidden="1"/>
    <cellStyle name="Followed Hyperlink" xfId="1794" builtinId="9" hidden="1"/>
    <cellStyle name="Followed Hyperlink" xfId="1796" builtinId="9" hidden="1"/>
    <cellStyle name="Followed Hyperlink" xfId="1798" builtinId="9" hidden="1"/>
    <cellStyle name="Followed Hyperlink" xfId="1800" builtinId="9" hidden="1"/>
    <cellStyle name="Followed Hyperlink" xfId="1802" builtinId="9" hidden="1"/>
    <cellStyle name="Followed Hyperlink" xfId="1804" builtinId="9" hidden="1"/>
    <cellStyle name="Followed Hyperlink" xfId="1806" builtinId="9" hidden="1"/>
    <cellStyle name="Followed Hyperlink" xfId="1808" builtinId="9" hidden="1"/>
    <cellStyle name="Followed Hyperlink" xfId="1810" builtinId="9" hidden="1"/>
    <cellStyle name="Followed Hyperlink" xfId="1812" builtinId="9" hidden="1"/>
    <cellStyle name="Followed Hyperlink" xfId="1814" builtinId="9" hidden="1"/>
    <cellStyle name="Followed Hyperlink" xfId="1816" builtinId="9" hidden="1"/>
    <cellStyle name="Followed Hyperlink" xfId="1818" builtinId="9" hidden="1"/>
    <cellStyle name="Followed Hyperlink" xfId="1820" builtinId="9" hidden="1"/>
    <cellStyle name="Followed Hyperlink" xfId="1822" builtinId="9" hidden="1"/>
    <cellStyle name="Followed Hyperlink" xfId="1824" builtinId="9" hidden="1"/>
    <cellStyle name="Followed Hyperlink" xfId="1826" builtinId="9" hidden="1"/>
    <cellStyle name="Followed Hyperlink" xfId="1828" builtinId="9" hidden="1"/>
    <cellStyle name="Followed Hyperlink" xfId="1830" builtinId="9" hidden="1"/>
    <cellStyle name="Followed Hyperlink" xfId="1832" builtinId="9" hidden="1"/>
    <cellStyle name="Followed Hyperlink" xfId="1835" builtinId="9" hidden="1"/>
    <cellStyle name="Followed Hyperlink" xfId="1837" builtinId="9" hidden="1"/>
    <cellStyle name="Good" xfId="1" builtinId="26"/>
    <cellStyle name="Hyperlink" xfId="2" builtinId="8" hidden="1"/>
    <cellStyle name="Hyperlink" xfId="4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4" builtinId="8" hidden="1"/>
    <cellStyle name="Hyperlink" xfId="1836" builtinId="8" hidden="1"/>
    <cellStyle name="Hyperlink" xfId="1838" builtinId="8"/>
    <cellStyle name="Input" xfId="1555" builtinId="20"/>
    <cellStyle name="Neutral" xfId="1553" builtinId="28"/>
    <cellStyle name="Normal" xfId="0" builtinId="0"/>
    <cellStyle name="Normal 2" xfId="6" xr:uid="{00000000-0005-0000-0000-00002C070000}"/>
    <cellStyle name="Normal 3" xfId="1557" xr:uid="{00000000-0005-0000-0000-00002D070000}"/>
    <cellStyle name="Normal 3 2" xfId="1840" xr:uid="{00000000-0005-0000-0000-00002E070000}"/>
    <cellStyle name="Normal 5" xfId="723" xr:uid="{00000000-0005-0000-0000-00002F070000}"/>
    <cellStyle name="Percent" xfId="1554" builtinId="5"/>
    <cellStyle name="Warning Text" xfId="1558" builtinId="11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rgb="FF242729"/>
        <name val="Consolas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6" tint="0.3999755851924192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6" tint="0.3999755851924192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6" tint="0.3999755851924192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4">
    <tableStyle name="MySqlDefault" pivot="0" table="0" count="2" xr9:uid="{00000000-0011-0000-FFFF-FFFF00000000}">
      <tableStyleElement type="wholeTable" dxfId="13"/>
      <tableStyleElement type="headerRow" dxfId="12"/>
    </tableStyle>
  </tableStyles>
  <colors>
    <mruColors>
      <color rgb="FFFFFF99"/>
      <color rgb="FFFF99FF"/>
      <color rgb="FF0066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Land </a:t>
            </a:r>
            <a:r>
              <a:rPr lang="en-US" baseline="0"/>
              <a:t>Requirment and Feedbasket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'Land requirements'!$C$3</c:f>
              <c:strCache>
                <c:ptCount val="1"/>
                <c:pt idx="0">
                  <c:v>Wet Season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'Land requirements'!$B$4:$B$11</c:f>
              <c:strCache>
                <c:ptCount val="8"/>
                <c:pt idx="0">
                  <c:v>Purchased</c:v>
                </c:pt>
                <c:pt idx="1">
                  <c:v>Maize</c:v>
                </c:pt>
                <c:pt idx="2">
                  <c:v>Brachiaria brizantha </c:v>
                </c:pt>
                <c:pt idx="3">
                  <c:v>Purchased</c:v>
                </c:pt>
                <c:pt idx="4">
                  <c:v>Rice</c:v>
                </c:pt>
                <c:pt idx="5">
                  <c:v>Natural pasture</c:v>
                </c:pt>
                <c:pt idx="6">
                  <c:v>Pennisetum purpureum</c:v>
                </c:pt>
                <c:pt idx="7">
                  <c:v>Total area used for feed production (ha)</c:v>
                </c:pt>
              </c:strCache>
            </c:strRef>
          </c:cat>
          <c:val>
            <c:numRef>
              <c:f>'Land requirements'!$C$4:$C$11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0.23446270017811258</c:v>
                </c:pt>
                <c:pt idx="3">
                  <c:v>0</c:v>
                </c:pt>
                <c:pt idx="4">
                  <c:v>0.89465857411061256</c:v>
                </c:pt>
                <c:pt idx="5">
                  <c:v>0</c:v>
                </c:pt>
                <c:pt idx="6">
                  <c:v>0.31460957383068688</c:v>
                </c:pt>
                <c:pt idx="7">
                  <c:v>1.443730848119412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A4-4315-92E3-4E0BD1B880FC}"/>
            </c:ext>
          </c:extLst>
        </c:ser>
        <c:ser>
          <c:idx val="1"/>
          <c:order val="1"/>
          <c:tx>
            <c:strRef>
              <c:f>'Land requirements'!$D$3</c:f>
              <c:strCache>
                <c:ptCount val="1"/>
                <c:pt idx="0">
                  <c:v>Dry Season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'Land requirements'!$B$4:$B$11</c:f>
              <c:strCache>
                <c:ptCount val="8"/>
                <c:pt idx="0">
                  <c:v>Purchased</c:v>
                </c:pt>
                <c:pt idx="1">
                  <c:v>Maize</c:v>
                </c:pt>
                <c:pt idx="2">
                  <c:v>Brachiaria brizantha </c:v>
                </c:pt>
                <c:pt idx="3">
                  <c:v>Purchased</c:v>
                </c:pt>
                <c:pt idx="4">
                  <c:v>Rice</c:v>
                </c:pt>
                <c:pt idx="5">
                  <c:v>Natural pasture</c:v>
                </c:pt>
                <c:pt idx="6">
                  <c:v>Pennisetum purpureum</c:v>
                </c:pt>
                <c:pt idx="7">
                  <c:v>Total area used for feed production (ha)</c:v>
                </c:pt>
              </c:strCache>
            </c:strRef>
          </c:cat>
          <c:val>
            <c:numRef>
              <c:f>'Land requirements'!$D$4:$D$11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0.16921128833609067</c:v>
                </c:pt>
                <c:pt idx="3">
                  <c:v>0</c:v>
                </c:pt>
                <c:pt idx="4">
                  <c:v>0.64567340490058367</c:v>
                </c:pt>
                <c:pt idx="5">
                  <c:v>0</c:v>
                </c:pt>
                <c:pt idx="6">
                  <c:v>0.22705313583063724</c:v>
                </c:pt>
                <c:pt idx="7">
                  <c:v>1.0419378290673116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A4-4315-92E3-4E0BD1B88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94189680"/>
        <c:axId val="1594199664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'Land requirements'!$E$3</c15:sqref>
                        </c15:formulaRef>
                      </c:ext>
                    </c:extLst>
                    <c:strCache>
                      <c:ptCount val="1"/>
                      <c:pt idx="0">
                        <c:v>Total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'Land requirements'!$B$4:$B$11</c15:sqref>
                        </c15:formulaRef>
                      </c:ext>
                    </c:extLst>
                    <c:strCache>
                      <c:ptCount val="8"/>
                      <c:pt idx="0">
                        <c:v>Purchased</c:v>
                      </c:pt>
                      <c:pt idx="1">
                        <c:v>Maize</c:v>
                      </c:pt>
                      <c:pt idx="2">
                        <c:v>Brachiaria brizantha </c:v>
                      </c:pt>
                      <c:pt idx="3">
                        <c:v>Purchased</c:v>
                      </c:pt>
                      <c:pt idx="4">
                        <c:v>Rice</c:v>
                      </c:pt>
                      <c:pt idx="5">
                        <c:v>Natural pasture</c:v>
                      </c:pt>
                      <c:pt idx="6">
                        <c:v>Pennisetum purpureum</c:v>
                      </c:pt>
                      <c:pt idx="7">
                        <c:v>Total area used for feed production (ha)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'Land requirements'!$E$4:$E$11</c15:sqref>
                        </c15:formulaRef>
                      </c:ext>
                    </c:extLst>
                    <c:numCache>
                      <c:formatCode>0.000</c:formatCode>
                      <c:ptCount val="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0.40367398851420322</c:v>
                      </c:pt>
                      <c:pt idx="3">
                        <c:v>0</c:v>
                      </c:pt>
                      <c:pt idx="4">
                        <c:v>1.5403319790111962</c:v>
                      </c:pt>
                      <c:pt idx="5">
                        <c:v>0</c:v>
                      </c:pt>
                      <c:pt idx="6">
                        <c:v>0.54166270966132413</c:v>
                      </c:pt>
                      <c:pt idx="7">
                        <c:v>2.4856686771867236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D0A4-4315-92E3-4E0BD1B880FC}"/>
                  </c:ext>
                </c:extLst>
              </c15:ser>
            </c15:filteredBarSeries>
          </c:ext>
        </c:extLst>
      </c:barChart>
      <c:catAx>
        <c:axId val="1594189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Feed Item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4199664"/>
        <c:crosses val="autoZero"/>
        <c:auto val="1"/>
        <c:lblAlgn val="ctr"/>
        <c:lblOffset val="100"/>
        <c:noMultiLvlLbl val="0"/>
      </c:catAx>
      <c:valAx>
        <c:axId val="159419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land (ha)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4189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Land Requirment and Feedbasket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'Land requirements'!$C$3</c:f>
              <c:strCache>
                <c:ptCount val="1"/>
                <c:pt idx="0">
                  <c:v>Wet Season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C9D-4AA2-90B5-C02A4FA3599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C9D-4AA2-90B5-C02A4FA3599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C9D-4AA2-90B5-C02A4FA3599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BC9D-4AA2-90B5-C02A4FA3599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BC9D-4AA2-90B5-C02A4FA3599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BC9D-4AA2-90B5-C02A4FA3599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BC9D-4AA2-90B5-C02A4FA3599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'Land requirements'!$B$4:$B$11</c15:sqref>
                  </c15:fullRef>
                </c:ext>
              </c:extLst>
              <c:f>'Land requirements'!$B$4:$B$10</c:f>
              <c:strCache>
                <c:ptCount val="7"/>
                <c:pt idx="0">
                  <c:v>Purchased</c:v>
                </c:pt>
                <c:pt idx="1">
                  <c:v>Maize</c:v>
                </c:pt>
                <c:pt idx="2">
                  <c:v>Brachiaria brizantha </c:v>
                </c:pt>
                <c:pt idx="3">
                  <c:v>Purchased</c:v>
                </c:pt>
                <c:pt idx="4">
                  <c:v>Rice</c:v>
                </c:pt>
                <c:pt idx="5">
                  <c:v>Natural pasture</c:v>
                </c:pt>
                <c:pt idx="6">
                  <c:v>Pennisetum purpureum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'Land requirements'!$C$4:$C$11</c15:sqref>
                  </c15:fullRef>
                </c:ext>
              </c:extLst>
              <c:f>'Land requirements'!$C$4:$C$10</c:f>
              <c:numCache>
                <c:formatCode>0.000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0.23446270017811258</c:v>
                </c:pt>
                <c:pt idx="3">
                  <c:v>0</c:v>
                </c:pt>
                <c:pt idx="4">
                  <c:v>0.89465857411061256</c:v>
                </c:pt>
                <c:pt idx="5">
                  <c:v>0</c:v>
                </c:pt>
                <c:pt idx="6">
                  <c:v>0.31460957383068688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0-2A5A-419A-B175-B353121505C3}"/>
            </c:ext>
          </c:extLst>
        </c:ser>
        <c:ser>
          <c:idx val="1"/>
          <c:order val="1"/>
          <c:tx>
            <c:strRef>
              <c:f>'Land requirements'!$D$3</c:f>
              <c:strCache>
                <c:ptCount val="1"/>
                <c:pt idx="0">
                  <c:v>Dry Season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BC9D-4AA2-90B5-C02A4FA3599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BC9D-4AA2-90B5-C02A4FA3599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BC9D-4AA2-90B5-C02A4FA3599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BC9D-4AA2-90B5-C02A4FA3599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BC9D-4AA2-90B5-C02A4FA3599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BC9D-4AA2-90B5-C02A4FA3599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BC9D-4AA2-90B5-C02A4FA3599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'Land requirements'!$B$4:$B$11</c15:sqref>
                  </c15:fullRef>
                </c:ext>
              </c:extLst>
              <c:f>'Land requirements'!$B$4:$B$10</c:f>
              <c:strCache>
                <c:ptCount val="7"/>
                <c:pt idx="0">
                  <c:v>Purchased</c:v>
                </c:pt>
                <c:pt idx="1">
                  <c:v>Maize</c:v>
                </c:pt>
                <c:pt idx="2">
                  <c:v>Brachiaria brizantha </c:v>
                </c:pt>
                <c:pt idx="3">
                  <c:v>Purchased</c:v>
                </c:pt>
                <c:pt idx="4">
                  <c:v>Rice</c:v>
                </c:pt>
                <c:pt idx="5">
                  <c:v>Natural pasture</c:v>
                </c:pt>
                <c:pt idx="6">
                  <c:v>Pennisetum purpureum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'Land requirements'!$D$4:$D$11</c15:sqref>
                  </c15:fullRef>
                </c:ext>
              </c:extLst>
              <c:f>'Land requirements'!$D$4:$D$10</c:f>
              <c:numCache>
                <c:formatCode>0.000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0.16921128833609067</c:v>
                </c:pt>
                <c:pt idx="3">
                  <c:v>0</c:v>
                </c:pt>
                <c:pt idx="4">
                  <c:v>0.64567340490058367</c:v>
                </c:pt>
                <c:pt idx="5">
                  <c:v>0</c:v>
                </c:pt>
                <c:pt idx="6">
                  <c:v>0.22705313583063724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1-2A5A-419A-B175-B353121505C3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'Land requirements'!$E$3</c15:sqref>
                        </c15:formulaRef>
                      </c:ext>
                    </c:extLst>
                    <c:strCache>
                      <c:ptCount val="1"/>
                      <c:pt idx="0">
                        <c:v>Total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1D-BC9D-4AA2-90B5-C02A4FA35996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1F-BC9D-4AA2-90B5-C02A4FA35996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21-BC9D-4AA2-90B5-C02A4FA35996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23-BC9D-4AA2-90B5-C02A4FA35996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25-BC9D-4AA2-90B5-C02A4FA35996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27-BC9D-4AA2-90B5-C02A4FA35996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29-BC9D-4AA2-90B5-C02A4FA35996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inEnd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'Land requirements'!$B$4:$B$11</c15:sqref>
                        </c15:fullRef>
                        <c15:formulaRef>
                          <c15:sqref>'Land requirements'!$B$4:$B$10</c15:sqref>
                        </c15:formulaRef>
                      </c:ext>
                    </c:extLst>
                    <c:strCache>
                      <c:ptCount val="7"/>
                      <c:pt idx="0">
                        <c:v>Purchased</c:v>
                      </c:pt>
                      <c:pt idx="1">
                        <c:v>Maize</c:v>
                      </c:pt>
                      <c:pt idx="2">
                        <c:v>Brachiaria brizantha </c:v>
                      </c:pt>
                      <c:pt idx="3">
                        <c:v>Purchased</c:v>
                      </c:pt>
                      <c:pt idx="4">
                        <c:v>Rice</c:v>
                      </c:pt>
                      <c:pt idx="5">
                        <c:v>Natural pasture</c:v>
                      </c:pt>
                      <c:pt idx="6">
                        <c:v>Pennisetum purpureum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'Land requirements'!$E$4:$E$11</c15:sqref>
                        </c15:fullRef>
                        <c15:formulaRef>
                          <c15:sqref>'Land requirements'!$E$4:$E$10</c15:sqref>
                        </c15:formulaRef>
                      </c:ext>
                    </c:extLst>
                    <c:numCache>
                      <c:formatCode>0.000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0.40367398851420322</c:v>
                      </c:pt>
                      <c:pt idx="3">
                        <c:v>0</c:v>
                      </c:pt>
                      <c:pt idx="4">
                        <c:v>1.5403319790111962</c:v>
                      </c:pt>
                      <c:pt idx="5">
                        <c:v>0</c:v>
                      </c:pt>
                      <c:pt idx="6">
                        <c:v>0.54166270966132413</c:v>
                      </c:pt>
                    </c:numCache>
                  </c:numRef>
                </c:val>
                <c:extLst>
                  <c:ext uri="{02D57815-91ED-43cb-92C2-25804820EDAC}">
                    <c15:categoryFilterExceptions/>
                  </c:ext>
                  <c:ext xmlns:c16="http://schemas.microsoft.com/office/drawing/2014/chart" uri="{C3380CC4-5D6E-409C-BE32-E72D297353CC}">
                    <c16:uniqueId val="{00000002-2A5A-419A-B175-B353121505C3}"/>
                  </c:ext>
                </c:extLst>
              </c15:ser>
            </c15:filteredPieSeries>
          </c:ext>
        </c:extLst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 balance</a:t>
            </a:r>
            <a:r>
              <a:rPr lang="en-US" baseline="0"/>
              <a:t> </a:t>
            </a:r>
          </a:p>
        </c:rich>
      </c:tx>
      <c:layout>
        <c:manualLayout>
          <c:xMode val="edge"/>
          <c:yMode val="edge"/>
          <c:x val="0.45326688594305498"/>
          <c:y val="3.5587115246957797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'Soil impacts'!$B$9:$B$15</c:f>
              <c:strCache>
                <c:ptCount val="7"/>
                <c:pt idx="0">
                  <c:v>Purchased</c:v>
                </c:pt>
                <c:pt idx="1">
                  <c:v>Maize</c:v>
                </c:pt>
                <c:pt idx="2">
                  <c:v>Brachiaria brizantha </c:v>
                </c:pt>
                <c:pt idx="3">
                  <c:v>Purchased</c:v>
                </c:pt>
                <c:pt idx="4">
                  <c:v>Rice</c:v>
                </c:pt>
                <c:pt idx="5">
                  <c:v>Natural pasture</c:v>
                </c:pt>
                <c:pt idx="6">
                  <c:v>Pennisetum purpureum</c:v>
                </c:pt>
              </c:strCache>
            </c:strRef>
          </c:cat>
          <c:val>
            <c:numRef>
              <c:f>'Soil impacts'!$E$9:$E$15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50-48D9-AE2D-F3F7EB54D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342528"/>
        <c:axId val="117343088"/>
      </c:barChart>
      <c:catAx>
        <c:axId val="117342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Crops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117343088"/>
        <c:crosses val="autoZero"/>
        <c:auto val="1"/>
        <c:lblAlgn val="ctr"/>
        <c:lblOffset val="100"/>
        <c:noMultiLvlLbl val="0"/>
      </c:catAx>
      <c:valAx>
        <c:axId val="1173430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kg N</a:t>
                </a:r>
                <a:r>
                  <a:rPr lang="en-US" baseline="0"/>
                  <a:t> </a:t>
                </a:r>
              </a:p>
            </c:rich>
          </c:tx>
          <c:layout>
            <c:manualLayout>
              <c:xMode val="edge"/>
              <c:yMode val="edge"/>
              <c:x val="3.0444558106065181E-2"/>
              <c:y val="0.44267145841608485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117342528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N inputs &amp;outputs 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'Soil impacts'!$C$7</c:f>
              <c:strCache>
                <c:ptCount val="1"/>
                <c:pt idx="0">
                  <c:v>Inputs 
(kg N/year)</c:v>
                </c:pt>
              </c:strCache>
            </c:strRef>
          </c:tx>
          <c:invertIfNegative val="0"/>
          <c:cat>
            <c:strRef>
              <c:f>'Soil impacts'!$B$9:$B$15</c:f>
              <c:strCache>
                <c:ptCount val="7"/>
                <c:pt idx="0">
                  <c:v>Purchased</c:v>
                </c:pt>
                <c:pt idx="1">
                  <c:v>Maize</c:v>
                </c:pt>
                <c:pt idx="2">
                  <c:v>Brachiaria brizantha </c:v>
                </c:pt>
                <c:pt idx="3">
                  <c:v>Purchased</c:v>
                </c:pt>
                <c:pt idx="4">
                  <c:v>Rice</c:v>
                </c:pt>
                <c:pt idx="5">
                  <c:v>Natural pasture</c:v>
                </c:pt>
                <c:pt idx="6">
                  <c:v>Pennisetum purpureum</c:v>
                </c:pt>
              </c:strCache>
            </c:strRef>
          </c:cat>
          <c:val>
            <c:numRef>
              <c:f>'Soil impacts'!$C$9:$C$15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98-4046-B24C-6A21779DD429}"/>
            </c:ext>
          </c:extLst>
        </c:ser>
        <c:ser>
          <c:idx val="1"/>
          <c:order val="1"/>
          <c:tx>
            <c:strRef>
              <c:f>'Soil impacts'!$D$7</c:f>
              <c:strCache>
                <c:ptCount val="1"/>
                <c:pt idx="0">
                  <c:v>Outputs 
(kg N/year)</c:v>
                </c:pt>
              </c:strCache>
            </c:strRef>
          </c:tx>
          <c:invertIfNegative val="0"/>
          <c:cat>
            <c:strRef>
              <c:f>'Soil impacts'!$B$9:$B$15</c:f>
              <c:strCache>
                <c:ptCount val="7"/>
                <c:pt idx="0">
                  <c:v>Purchased</c:v>
                </c:pt>
                <c:pt idx="1">
                  <c:v>Maize</c:v>
                </c:pt>
                <c:pt idx="2">
                  <c:v>Brachiaria brizantha </c:v>
                </c:pt>
                <c:pt idx="3">
                  <c:v>Purchased</c:v>
                </c:pt>
                <c:pt idx="4">
                  <c:v>Rice</c:v>
                </c:pt>
                <c:pt idx="5">
                  <c:v>Natural pasture</c:v>
                </c:pt>
                <c:pt idx="6">
                  <c:v>Pennisetum purpureum</c:v>
                </c:pt>
              </c:strCache>
            </c:strRef>
          </c:cat>
          <c:val>
            <c:numRef>
              <c:f>'Soil impacts'!$D$9:$D$15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98-4046-B24C-6A21779DD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08139504"/>
        <c:axId val="208140064"/>
      </c:barChart>
      <c:catAx>
        <c:axId val="208139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Crops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208140064"/>
        <c:crosses val="autoZero"/>
        <c:auto val="1"/>
        <c:lblAlgn val="ctr"/>
        <c:lblOffset val="100"/>
        <c:noMultiLvlLbl val="0"/>
      </c:catAx>
      <c:valAx>
        <c:axId val="208140064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kg N 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081395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water</a:t>
            </a:r>
            <a:r>
              <a:rPr lang="en-US" baseline="0"/>
              <a:t> Use per FEED Crop</a:t>
            </a:r>
            <a:endParaRPr lang="en-US"/>
          </a:p>
        </c:rich>
      </c:tx>
      <c:layout>
        <c:manualLayout>
          <c:xMode val="edge"/>
          <c:yMode val="edge"/>
          <c:x val="0.39942344706911637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83B3-49D6-B583-A092D2513A65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83B3-49D6-B583-A092D2513A65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83B3-49D6-B583-A092D2513A65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83B3-49D6-B583-A092D2513A65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83B3-49D6-B583-A092D2513A65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83B3-49D6-B583-A092D2513A65}"/>
              </c:ext>
            </c:extLst>
          </c:dPt>
          <c:dPt>
            <c:idx val="6"/>
            <c:bubble3D val="0"/>
            <c:spPr>
              <a:pattFill prst="ltUpDiag">
                <a:fgClr>
                  <a:schemeClr val="accent1">
                    <a:lumMod val="60000"/>
                  </a:schemeClr>
                </a:fgClr>
                <a:bgClr>
                  <a:schemeClr val="accent1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D-83B3-49D6-B583-A092D2513A6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'Water Impacts'!$A$10:$A$16</c:f>
              <c:strCache>
                <c:ptCount val="7"/>
                <c:pt idx="0">
                  <c:v>Rice (Oryza sativa) - bran (with germs)</c:v>
                </c:pt>
                <c:pt idx="1">
                  <c:v>Maize (Zea mays) - whole grain</c:v>
                </c:pt>
                <c:pt idx="2">
                  <c:v>Brachiaria brizantha (forage)</c:v>
                </c:pt>
                <c:pt idx="3">
                  <c:v>Concentrate (commercial)</c:v>
                </c:pt>
                <c:pt idx="4">
                  <c:v>Rice (Oryza sativa) - straw</c:v>
                </c:pt>
                <c:pt idx="5">
                  <c:v>Naturally occuring pasture - grazing</c:v>
                </c:pt>
                <c:pt idx="6">
                  <c:v>Pennisetum purpureum - forage</c:v>
                </c:pt>
              </c:strCache>
            </c:strRef>
          </c:cat>
          <c:val>
            <c:numRef>
              <c:f>'Water Impacts'!$B$10:$B$16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481.04483631275889</c:v>
                </c:pt>
                <c:pt idx="3">
                  <c:v>0</c:v>
                </c:pt>
                <c:pt idx="4">
                  <c:v>1093.4532768165129</c:v>
                </c:pt>
                <c:pt idx="5">
                  <c:v>0</c:v>
                </c:pt>
                <c:pt idx="6">
                  <c:v>645.48139567974454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D2-4B04-B31F-B28CA7AE2C8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GHG</a:t>
            </a:r>
            <a:r>
              <a:rPr lang="en-US" baseline="0"/>
              <a:t> emissions 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7640223147977"/>
          <c:y val="0.147756533743615"/>
          <c:w val="0.82941504575935399"/>
          <c:h val="0.568886656744759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'GHG emissions'!$C$28</c:f>
              <c:strCache>
                <c:ptCount val="1"/>
                <c:pt idx="0">
                  <c:v>Tier 1</c:v>
                </c:pt>
              </c:strCache>
            </c:strRef>
          </c:tx>
          <c:invertIfNegative val="0"/>
          <c:cat>
            <c:strRef>
              <c:f>'GHG emissions'!$B$30:$B$36</c:f>
              <c:strCache>
                <c:ptCount val="7"/>
                <c:pt idx="0">
                  <c:v>Soil</c:v>
                </c:pt>
                <c:pt idx="1">
                  <c:v>Off-farm Soil</c:v>
                </c:pt>
                <c:pt idx="2">
                  <c:v>Liv. Manure</c:v>
                </c:pt>
                <c:pt idx="3">
                  <c:v>Liv.enteric fermentation</c:v>
                </c:pt>
                <c:pt idx="4">
                  <c:v>Burning</c:v>
                </c:pt>
                <c:pt idx="5">
                  <c:v>Rice</c:v>
                </c:pt>
                <c:pt idx="6">
                  <c:v>Off-farm emissions </c:v>
                </c:pt>
              </c:strCache>
            </c:strRef>
          </c:cat>
          <c:val>
            <c:numRef>
              <c:f>'GHG emissions'!$C$30:$C$36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0.77065952623699419</c:v>
                </c:pt>
                <c:pt idx="3">
                  <c:v>6.8038029988538042</c:v>
                </c:pt>
                <c:pt idx="4">
                  <c:v>0</c:v>
                </c:pt>
                <c:pt idx="5">
                  <c:v>0</c:v>
                </c:pt>
                <c:pt idx="6">
                  <c:v>1.9845766434097575E-2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C7-42B3-A321-DD223099DDCF}"/>
            </c:ext>
          </c:extLst>
        </c:ser>
        <c:ser>
          <c:idx val="1"/>
          <c:order val="1"/>
          <c:tx>
            <c:strRef>
              <c:f>'GHG emissions'!$D$28</c:f>
              <c:strCache>
                <c:ptCount val="1"/>
                <c:pt idx="0">
                  <c:v>Tier 2</c:v>
                </c:pt>
              </c:strCache>
            </c:strRef>
          </c:tx>
          <c:invertIfNegative val="0"/>
          <c:cat>
            <c:strRef>
              <c:f>'GHG emissions'!$B$30:$B$36</c:f>
              <c:strCache>
                <c:ptCount val="7"/>
                <c:pt idx="0">
                  <c:v>Soil</c:v>
                </c:pt>
                <c:pt idx="1">
                  <c:v>Off-farm Soil</c:v>
                </c:pt>
                <c:pt idx="2">
                  <c:v>Liv. Manure</c:v>
                </c:pt>
                <c:pt idx="3">
                  <c:v>Liv.enteric fermentation</c:v>
                </c:pt>
                <c:pt idx="4">
                  <c:v>Burning</c:v>
                </c:pt>
                <c:pt idx="5">
                  <c:v>Rice</c:v>
                </c:pt>
                <c:pt idx="6">
                  <c:v>Off-farm emissions </c:v>
                </c:pt>
              </c:strCache>
            </c:strRef>
          </c:cat>
          <c:val>
            <c:numRef>
              <c:f>'GHG emissions'!$D$30:$D$36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0.67139203470643005</c:v>
                </c:pt>
                <c:pt idx="3">
                  <c:v>5.0004242879488983</c:v>
                </c:pt>
                <c:pt idx="4">
                  <c:v>0</c:v>
                </c:pt>
                <c:pt idx="5">
                  <c:v>0</c:v>
                </c:pt>
                <c:pt idx="6">
                  <c:v>1.9845766434097575E-2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C7-42B3-A321-DD223099DD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403488"/>
        <c:axId val="208404048"/>
      </c:barChart>
      <c:catAx>
        <c:axId val="2084034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 sz="1200"/>
            </a:pPr>
            <a:endParaRPr lang="en-US"/>
          </a:p>
        </c:txPr>
        <c:crossAx val="208404048"/>
        <c:crosses val="autoZero"/>
        <c:auto val="1"/>
        <c:lblAlgn val="ctr"/>
        <c:lblOffset val="100"/>
        <c:noMultiLvlLbl val="0"/>
      </c:catAx>
      <c:valAx>
        <c:axId val="2084040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en-US" sz="1200" b="0">
                    <a:latin typeface="+mn-lt"/>
                  </a:rPr>
                  <a:t>t CO2e/ ha </a:t>
                </a:r>
              </a:p>
              <a:p>
                <a:pPr>
                  <a:defRPr sz="1000"/>
                </a:pPr>
                <a:endParaRPr lang="en-US" sz="100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084034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3852242142819005"/>
          <c:y val="0.84636598496415405"/>
          <c:w val="7.3782954425273606E-2"/>
          <c:h val="8.0916402068881704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4" l="0.70000000000000395" r="0.70000000000000395" t="0.750000000000004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7819100291616499E-2"/>
          <c:y val="0.118465250007237"/>
          <c:w val="0.63186739079368803"/>
          <c:h val="0.82297426987692202"/>
        </c:manualLayout>
      </c:layout>
      <c:pieChart>
        <c:varyColors val="1"/>
        <c:ser>
          <c:idx val="0"/>
          <c:order val="0"/>
          <c:tx>
            <c:strRef>
              <c:f>'GHG emissions'!$B$2</c:f>
              <c:strCache>
                <c:ptCount val="1"/>
                <c:pt idx="0">
                  <c:v>TIER 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5CA-4E5C-875C-59C865A18DF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5CA-4E5C-875C-59C865A18D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5CA-4E5C-875C-59C865A18DF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5CA-4E5C-875C-59C865A18DF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5CA-4E5C-875C-59C865A18DF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5CA-4E5C-875C-59C865A18DF4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5CA-4E5C-875C-59C865A18DF4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5CA-4E5C-875C-59C865A18DF4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5CA-4E5C-875C-59C865A18DF4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5CA-4E5C-875C-59C865A18DF4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5CC3-4B6A-88EE-B367F44588B1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'GHG emissions'!$B$5:$B$15</c15:sqref>
                  </c15:fullRef>
                </c:ext>
              </c:extLst>
              <c:f>'GHG emissions'!$B$5:$B$14</c:f>
              <c:strCache>
                <c:ptCount val="10"/>
                <c:pt idx="0">
                  <c:v>Enteric fermentation-Methane </c:v>
                </c:pt>
                <c:pt idx="1">
                  <c:v>Manure-Methane </c:v>
                </c:pt>
                <c:pt idx="2">
                  <c:v>Manure-Direct N2O</c:v>
                </c:pt>
                <c:pt idx="3">
                  <c:v>Manure-Indirect N2O</c:v>
                </c:pt>
                <c:pt idx="4">
                  <c:v>Soil-Direct N2O</c:v>
                </c:pt>
                <c:pt idx="5">
                  <c:v>Soil-Indirect N2O</c:v>
                </c:pt>
                <c:pt idx="6">
                  <c:v>OFF-Farm Soil-Direct N2O</c:v>
                </c:pt>
                <c:pt idx="7">
                  <c:v>OFF-Farm Soil-Indirect N2O</c:v>
                </c:pt>
                <c:pt idx="8">
                  <c:v>Burning</c:v>
                </c:pt>
                <c:pt idx="9">
                  <c:v>Rice production-Methane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'GHG emissions'!$E$5:$E$15</c15:sqref>
                  </c15:fullRef>
                </c:ext>
              </c:extLst>
              <c:f>'GHG emissions'!$E$5:$E$14</c:f>
              <c:numCache>
                <c:formatCode>0.00</c:formatCode>
                <c:ptCount val="10"/>
                <c:pt idx="0">
                  <c:v>6803.8029988538046</c:v>
                </c:pt>
                <c:pt idx="1">
                  <c:v>125.60000569076146</c:v>
                </c:pt>
                <c:pt idx="2">
                  <c:v>459.29708376700734</c:v>
                </c:pt>
                <c:pt idx="3">
                  <c:v>185.76243677922554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6-05CA-4E5C-875C-59C865A18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716383804172998"/>
          <c:y val="0.116708985869246"/>
          <c:w val="0.29907777263593599"/>
          <c:h val="0.730769747697600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'GHG emissions'!$I$2</c:f>
              <c:strCache>
                <c:ptCount val="1"/>
                <c:pt idx="0">
                  <c:v>TIER 2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8E9-41A9-948B-81A633EE90E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8E9-41A9-948B-81A633EE90E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8E9-41A9-948B-81A633EE90E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8E9-41A9-948B-81A633EE90E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8E9-41A9-948B-81A633EE90E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8E9-41A9-948B-81A633EE90E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8E9-41A9-948B-81A633EE90E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8E9-41A9-948B-81A633EE90E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8E9-41A9-948B-81A633EE90E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C8E9-41A9-948B-81A633EE90E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FFC8-4BCC-A067-CFE544E1DA7E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'GHG emissions'!$I$5:$I$15</c15:sqref>
                  </c15:fullRef>
                </c:ext>
              </c:extLst>
              <c:f>'GHG emissions'!$I$5:$I$14</c:f>
              <c:strCache>
                <c:ptCount val="10"/>
                <c:pt idx="0">
                  <c:v>Enteric fermentation-Methane </c:v>
                </c:pt>
                <c:pt idx="1">
                  <c:v>Manure-Methane </c:v>
                </c:pt>
                <c:pt idx="2">
                  <c:v>Manure-Direct N2O</c:v>
                </c:pt>
                <c:pt idx="3">
                  <c:v>Manure-Indirect N2O</c:v>
                </c:pt>
                <c:pt idx="4">
                  <c:v>Soil-Direct N2O</c:v>
                </c:pt>
                <c:pt idx="5">
                  <c:v>Soil-Indirect N2O</c:v>
                </c:pt>
                <c:pt idx="6">
                  <c:v>OFF-Farm Soil-Direct N2O</c:v>
                </c:pt>
                <c:pt idx="7">
                  <c:v>OFF-Farm Soil-Indirect N2O</c:v>
                </c:pt>
                <c:pt idx="8">
                  <c:v>Burning</c:v>
                </c:pt>
                <c:pt idx="9">
                  <c:v>Rice production-Methane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'GHG emissions'!$L$5:$L$15</c15:sqref>
                  </c15:fullRef>
                </c:ext>
              </c:extLst>
              <c:f>'GHG emissions'!$L$5:$L$14</c:f>
              <c:numCache>
                <c:formatCode>0.00</c:formatCode>
                <c:ptCount val="10"/>
                <c:pt idx="0">
                  <c:v>5000.4242879488984</c:v>
                </c:pt>
                <c:pt idx="1">
                  <c:v>349.67903786297904</c:v>
                </c:pt>
                <c:pt idx="2">
                  <c:v>201.07062302715687</c:v>
                </c:pt>
                <c:pt idx="3">
                  <c:v>120.64237381629414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6-C8E9-41A9-948B-81A633EE90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1828272</xdr:colOff>
      <xdr:row>0</xdr:row>
      <xdr:rowOff>100541</xdr:rowOff>
    </xdr:from>
    <xdr:to>
      <xdr:col>8</xdr:col>
      <xdr:colOff>592667</xdr:colOff>
      <xdr:row>13</xdr:row>
      <xdr:rowOff>68477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52022" y="100541"/>
          <a:ext cx="4495270" cy="2653986"/>
        </a:xfrm>
        <a:prstGeom prst="rect">
          <a:avLst/>
        </a:prstGeom>
      </xdr:spPr>
    </xdr:pic>
    <xdr:clientData/>
  </xdr:twoCellAnchor>
  <xdr:twoCellAnchor editAs="oneCell">
    <xdr:from>
      <xdr:col>8</xdr:col>
      <xdr:colOff>416985</xdr:colOff>
      <xdr:row>5</xdr:row>
      <xdr:rowOff>47626</xdr:rowOff>
    </xdr:from>
    <xdr:to>
      <xdr:col>10</xdr:col>
      <xdr:colOff>1276657</xdr:colOff>
      <xdr:row>14</xdr:row>
      <xdr:rowOff>107252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371610" y="666751"/>
          <a:ext cx="3653672" cy="1913826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5</xdr:row>
      <xdr:rowOff>127000</xdr:rowOff>
    </xdr:from>
    <xdr:to>
      <xdr:col>12</xdr:col>
      <xdr:colOff>122768</xdr:colOff>
      <xdr:row>14</xdr:row>
      <xdr:rowOff>57301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456775" y="746125"/>
          <a:ext cx="1688043" cy="17876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1390650</xdr:colOff>
          <xdr:row>108</xdr:row>
          <xdr:rowOff>66675</xdr:rowOff>
        </xdr:from>
        <xdr:to>
          <xdr:col>6</xdr:col>
          <xdr:colOff>1114425</xdr:colOff>
          <xdr:row>112</xdr:row>
          <xdr:rowOff>142875</xdr:rowOff>
        </xdr:to>
        <xdr:sp macro="" textlink="">
          <xdr:nvSpPr>
            <xdr:cNvPr id="142352" name="CommandButton1" hidden="1">
              <a:extLst>
                <a:ext uri="{63B3BB69-23CF-44E3-9099-C40C66FF867C}">
                  <a14:compatExt spid="_x0000_s142352"/>
                </a:ext>
                <a:ext uri="{FF2B5EF4-FFF2-40B4-BE49-F238E27FC236}">
                  <a16:creationId xmlns:a16="http://schemas.microsoft.com/office/drawing/2014/main" id="{00000000-0008-0000-0000-000010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809625</xdr:colOff>
      <xdr:row>1</xdr:row>
      <xdr:rowOff>147637</xdr:rowOff>
    </xdr:from>
    <xdr:to>
      <xdr:col>15</xdr:col>
      <xdr:colOff>447675</xdr:colOff>
      <xdr:row>17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819150</xdr:colOff>
      <xdr:row>18</xdr:row>
      <xdr:rowOff>171450</xdr:rowOff>
    </xdr:from>
    <xdr:to>
      <xdr:col>15</xdr:col>
      <xdr:colOff>457200</xdr:colOff>
      <xdr:row>34</xdr:row>
      <xdr:rowOff>80963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876298</xdr:colOff>
      <xdr:row>17</xdr:row>
      <xdr:rowOff>4764</xdr:rowOff>
    </xdr:from>
    <xdr:to>
      <xdr:col>9</xdr:col>
      <xdr:colOff>71436</xdr:colOff>
      <xdr:row>30</xdr:row>
      <xdr:rowOff>11907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16</xdr:row>
      <xdr:rowOff>190500</xdr:rowOff>
    </xdr:from>
    <xdr:to>
      <xdr:col>2</xdr:col>
      <xdr:colOff>619124</xdr:colOff>
      <xdr:row>29</xdr:row>
      <xdr:rowOff>190500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582083</xdr:colOff>
      <xdr:row>3</xdr:row>
      <xdr:rowOff>110066</xdr:rowOff>
    </xdr:from>
    <xdr:to>
      <xdr:col>11</xdr:col>
      <xdr:colOff>338666</xdr:colOff>
      <xdr:row>17</xdr:row>
      <xdr:rowOff>27516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123982</xdr:colOff>
      <xdr:row>26</xdr:row>
      <xdr:rowOff>139234</xdr:rowOff>
    </xdr:from>
    <xdr:to>
      <xdr:col>11</xdr:col>
      <xdr:colOff>636107</xdr:colOff>
      <xdr:row>49</xdr:row>
      <xdr:rowOff>151005</xdr:rowOff>
    </xdr:to>
    <xdr:graphicFrame macro="">
      <xdr:nvGraphicFramePr>
        <xdr:cNvPr id="3" name="GHG Balance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246255</xdr:colOff>
      <xdr:row>1</xdr:row>
      <xdr:rowOff>68767</xdr:rowOff>
    </xdr:from>
    <xdr:to>
      <xdr:col>21</xdr:col>
      <xdr:colOff>428624</xdr:colOff>
      <xdr:row>20</xdr:row>
      <xdr:rowOff>583406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188177</xdr:colOff>
      <xdr:row>21</xdr:row>
      <xdr:rowOff>22303</xdr:rowOff>
    </xdr:from>
    <xdr:to>
      <xdr:col>21</xdr:col>
      <xdr:colOff>821531</xdr:colOff>
      <xdr:row>40</xdr:row>
      <xdr:rowOff>95250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70</xdr:col>
      <xdr:colOff>474890</xdr:colOff>
      <xdr:row>5</xdr:row>
      <xdr:rowOff>1091838</xdr:rowOff>
    </xdr:from>
    <xdr:to>
      <xdr:col>71</xdr:col>
      <xdr:colOff>274865</xdr:colOff>
      <xdr:row>6</xdr:row>
      <xdr:rowOff>112939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30335765" y="2091963"/>
          <a:ext cx="476250" cy="249826"/>
        </a:xfrm>
        <a:prstGeom prst="rightArrow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122465</xdr:colOff>
      <xdr:row>2</xdr:row>
      <xdr:rowOff>348888</xdr:rowOff>
    </xdr:from>
    <xdr:to>
      <xdr:col>13</xdr:col>
      <xdr:colOff>598715</xdr:colOff>
      <xdr:row>2</xdr:row>
      <xdr:rowOff>598714</xdr:rowOff>
    </xdr:to>
    <xdr:sp macro="" textlink="">
      <xdr:nvSpPr>
        <xdr:cNvPr id="2" name="Right Arrow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8164065" y="1349013"/>
          <a:ext cx="476250" cy="249826"/>
        </a:xfrm>
        <a:prstGeom prst="rightArrow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Tobackup\an2018\papers\VCs\2018_analysis\20_12_2017_T1_BA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WUR_GHG_050411_calculation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ToBackup\@CIAT\CRP%20@Livestock%20and%20Environment\@CLEANED\Kalkulator%20June%202017\T1_Nica_GENERAL_05121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OneDrive%20-%20CGIAR\CLEANED\Vivien%20data%20WK_SAC\Dropbox%20folder\CLEANED_N_maybe%20still%20wrong\B1_WesternKenya_1KN_corrected_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S"/>
      <sheetName val="Land requirements"/>
      <sheetName val="Productivity"/>
      <sheetName val="Economics "/>
      <sheetName val="Soil impacts"/>
      <sheetName val="GHG emissions"/>
      <sheetName val="SUMMARY "/>
      <sheetName val="Crop parameters"/>
      <sheetName val="Feed parameters"/>
      <sheetName val="Livestock parameters"/>
      <sheetName val="Economics_Parameters"/>
      <sheetName val="Soil erosion parameters"/>
      <sheetName val="GHG Parameters"/>
      <sheetName val="Area Parameters"/>
      <sheetName val="Feed"/>
      <sheetName val="Land Requirement "/>
      <sheetName val="Meat &amp; Milk "/>
      <sheetName val="Water"/>
      <sheetName val="Economics_TVP"/>
      <sheetName val="N balance"/>
      <sheetName val="SOC"/>
      <sheetName val="Biomass"/>
      <sheetName val="Soil erosion"/>
      <sheetName val="GHG Ent fermentation"/>
      <sheetName val="GHG Manure"/>
      <sheetName val="GHG Burning"/>
      <sheetName val="GHG Soil"/>
      <sheetName val="GHG Off-farm"/>
      <sheetName val="GHG Rice"/>
      <sheetName val="Macro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A3" t="str">
            <v>Beans</v>
          </cell>
          <cell r="B3">
            <v>0.9</v>
          </cell>
          <cell r="C3">
            <v>0.88</v>
          </cell>
          <cell r="D3">
            <v>0.79200000000000004</v>
          </cell>
          <cell r="E3">
            <v>0.5</v>
          </cell>
          <cell r="F3">
            <v>3</v>
          </cell>
          <cell r="G3">
            <v>0.88</v>
          </cell>
          <cell r="H3">
            <v>2.64</v>
          </cell>
          <cell r="I3">
            <v>66</v>
          </cell>
          <cell r="J3">
            <v>4.1000000000000002E-2</v>
          </cell>
          <cell r="K3">
            <v>2.5000000000000001E-2</v>
          </cell>
          <cell r="L3">
            <v>0.1</v>
          </cell>
          <cell r="M3">
            <v>49.236000000000004</v>
          </cell>
          <cell r="N3">
            <v>337</v>
          </cell>
          <cell r="O3">
            <v>11.75</v>
          </cell>
          <cell r="P3">
            <v>381.86968838526911</v>
          </cell>
          <cell r="Q3">
            <v>16032</v>
          </cell>
        </row>
        <row r="4">
          <cell r="A4" t="str">
            <v>Brachiaria hybrid</v>
          </cell>
          <cell r="B4">
            <v>17</v>
          </cell>
          <cell r="C4">
            <v>0.25</v>
          </cell>
          <cell r="D4">
            <v>4.25</v>
          </cell>
          <cell r="E4">
            <v>0.9</v>
          </cell>
          <cell r="F4">
            <v>1.8888888888888884</v>
          </cell>
          <cell r="H4">
            <v>0</v>
          </cell>
          <cell r="J4">
            <v>2.2400000000000003E-2</v>
          </cell>
        </row>
        <row r="5">
          <cell r="A5" t="str">
            <v>Calliandra</v>
          </cell>
          <cell r="B5">
            <v>17.777777777777779</v>
          </cell>
          <cell r="C5">
            <v>0.45</v>
          </cell>
          <cell r="D5">
            <v>8</v>
          </cell>
          <cell r="E5">
            <v>0.9</v>
          </cell>
          <cell r="M5">
            <v>0</v>
          </cell>
        </row>
        <row r="6">
          <cell r="A6" t="str">
            <v>Cotton</v>
          </cell>
        </row>
        <row r="7">
          <cell r="A7" t="str">
            <v>Cowpea</v>
          </cell>
          <cell r="B7">
            <v>3.2</v>
          </cell>
          <cell r="C7">
            <v>0.89900000000000002</v>
          </cell>
          <cell r="D7">
            <v>2.9</v>
          </cell>
          <cell r="E7">
            <v>0.21990000000000001</v>
          </cell>
          <cell r="F7">
            <v>11.352069122328331</v>
          </cell>
          <cell r="G7">
            <v>0.88050000000000006</v>
          </cell>
          <cell r="H7">
            <v>9.9954968622100964</v>
          </cell>
          <cell r="I7">
            <v>229.89642783083224</v>
          </cell>
          <cell r="J7">
            <v>3.7999999999999999E-2</v>
          </cell>
          <cell r="K7">
            <v>2.3E-2</v>
          </cell>
          <cell r="L7">
            <v>0.11700000000000001</v>
          </cell>
          <cell r="M7">
            <v>170.04821391541611</v>
          </cell>
          <cell r="N7">
            <v>336</v>
          </cell>
          <cell r="O7">
            <v>11.95</v>
          </cell>
          <cell r="P7">
            <v>381.60136286201021</v>
          </cell>
          <cell r="Q7">
            <v>16062</v>
          </cell>
        </row>
        <row r="8">
          <cell r="A8" t="str">
            <v>Fodder maize</v>
          </cell>
          <cell r="B8">
            <v>1.33</v>
          </cell>
          <cell r="C8">
            <v>0.8</v>
          </cell>
          <cell r="D8">
            <v>1.0640000000000001</v>
          </cell>
          <cell r="E8">
            <v>0.47</v>
          </cell>
          <cell r="F8">
            <v>1.4997872340425535</v>
          </cell>
          <cell r="G8">
            <v>0.89629999999999999</v>
          </cell>
          <cell r="H8">
            <v>1.3442592978723407</v>
          </cell>
          <cell r="I8">
            <v>9.409815085106386</v>
          </cell>
          <cell r="J8">
            <v>1.7000000000000001E-2</v>
          </cell>
          <cell r="K8">
            <v>7.0000000000000001E-3</v>
          </cell>
          <cell r="L8">
            <v>0.05</v>
          </cell>
          <cell r="M8">
            <v>0</v>
          </cell>
          <cell r="N8">
            <v>365</v>
          </cell>
          <cell r="O8">
            <v>10.37</v>
          </cell>
          <cell r="P8">
            <v>407.22972219123062</v>
          </cell>
          <cell r="Q8">
            <v>20314</v>
          </cell>
        </row>
        <row r="9">
          <cell r="A9" t="str">
            <v xml:space="preserve">Green leaf desmodium </v>
          </cell>
          <cell r="B9">
            <v>12.5</v>
          </cell>
          <cell r="C9">
            <v>0.32</v>
          </cell>
          <cell r="D9">
            <v>4</v>
          </cell>
          <cell r="E9">
            <v>0.9</v>
          </cell>
          <cell r="H9">
            <v>0.05</v>
          </cell>
          <cell r="J9">
            <v>4.1000000000000002E-2</v>
          </cell>
          <cell r="K9">
            <v>2.5000000000000001E-2</v>
          </cell>
          <cell r="L9">
            <v>0.1</v>
          </cell>
          <cell r="M9">
            <v>82.625</v>
          </cell>
          <cell r="N9">
            <v>337</v>
          </cell>
          <cell r="O9">
            <v>11.75</v>
          </cell>
          <cell r="P9">
            <v>381.86968838526911</v>
          </cell>
        </row>
        <row r="10">
          <cell r="A10" t="str">
            <v>Improved pastures</v>
          </cell>
          <cell r="B10">
            <v>40</v>
          </cell>
          <cell r="C10">
            <v>0.28000000000000003</v>
          </cell>
          <cell r="D10">
            <v>11.200000000000001</v>
          </cell>
          <cell r="F10">
            <v>80</v>
          </cell>
          <cell r="G10">
            <v>1</v>
          </cell>
          <cell r="H10">
            <v>80</v>
          </cell>
          <cell r="I10">
            <v>640</v>
          </cell>
          <cell r="J10">
            <v>1.6E-2</v>
          </cell>
          <cell r="K10">
            <v>8.0000000000000002E-3</v>
          </cell>
          <cell r="M10">
            <v>409.6</v>
          </cell>
          <cell r="P10">
            <v>0</v>
          </cell>
        </row>
        <row r="11">
          <cell r="A11" t="str">
            <v>Lablab bean</v>
          </cell>
          <cell r="B11">
            <v>1.843</v>
          </cell>
          <cell r="C11">
            <v>0.88</v>
          </cell>
          <cell r="D11">
            <v>1.6218399999999999</v>
          </cell>
          <cell r="E11">
            <v>0.5</v>
          </cell>
          <cell r="F11">
            <v>1.843</v>
          </cell>
          <cell r="G11">
            <v>0.89410000000000001</v>
          </cell>
          <cell r="H11">
            <v>1.6478263</v>
          </cell>
          <cell r="I11">
            <v>65.913051999999993</v>
          </cell>
          <cell r="J11">
            <v>4.0000000000000001E-3</v>
          </cell>
          <cell r="K11">
            <v>0.04</v>
          </cell>
          <cell r="M11">
            <v>36.200206000000001</v>
          </cell>
          <cell r="N11">
            <v>343</v>
          </cell>
          <cell r="O11">
            <v>10.59</v>
          </cell>
          <cell r="P11">
            <v>383.62599261827535</v>
          </cell>
          <cell r="Q11">
            <v>16101</v>
          </cell>
        </row>
        <row r="12">
          <cell r="A12" t="str">
            <v>Leucaena</v>
          </cell>
          <cell r="B12">
            <v>23.333333333333336</v>
          </cell>
          <cell r="C12">
            <v>0.3</v>
          </cell>
          <cell r="D12">
            <v>7</v>
          </cell>
          <cell r="G12">
            <v>1</v>
          </cell>
          <cell r="H12">
            <v>7</v>
          </cell>
          <cell r="I12">
            <v>238.00000000000003</v>
          </cell>
          <cell r="J12">
            <v>3.4000000000000002E-2</v>
          </cell>
          <cell r="K12">
            <v>3.4000000000000002E-2</v>
          </cell>
          <cell r="M12">
            <v>238.00000000000003</v>
          </cell>
          <cell r="P12">
            <v>0</v>
          </cell>
        </row>
        <row r="13">
          <cell r="A13" t="str">
            <v>Local mixed grasses</v>
          </cell>
          <cell r="B13">
            <v>13</v>
          </cell>
          <cell r="C13">
            <v>0.25</v>
          </cell>
          <cell r="D13">
            <v>3.25</v>
          </cell>
          <cell r="E13">
            <v>0.95</v>
          </cell>
          <cell r="F13">
            <v>0.68421052631579016</v>
          </cell>
          <cell r="G13">
            <v>8.5999999999999965E-2</v>
          </cell>
          <cell r="H13">
            <v>5.8842105263157932E-2</v>
          </cell>
          <cell r="I13">
            <v>0.82378947368421107</v>
          </cell>
          <cell r="J13">
            <v>1.4E-2</v>
          </cell>
          <cell r="K13">
            <v>1.4E-2</v>
          </cell>
          <cell r="L13">
            <v>0.1</v>
          </cell>
          <cell r="M13">
            <v>0</v>
          </cell>
          <cell r="N13">
            <v>23</v>
          </cell>
          <cell r="O13">
            <v>91.4</v>
          </cell>
          <cell r="P13">
            <v>267.44186046511646</v>
          </cell>
        </row>
        <row r="14">
          <cell r="A14" t="str">
            <v>Maize</v>
          </cell>
          <cell r="B14">
            <v>1.33</v>
          </cell>
          <cell r="C14">
            <v>0.8</v>
          </cell>
          <cell r="D14">
            <v>1.0640000000000001</v>
          </cell>
          <cell r="E14">
            <v>0.47</v>
          </cell>
          <cell r="F14">
            <v>3</v>
          </cell>
          <cell r="G14">
            <v>0.89629999999999999</v>
          </cell>
          <cell r="H14">
            <v>2.6888999999999998</v>
          </cell>
          <cell r="I14">
            <v>18.822299999999998</v>
          </cell>
          <cell r="J14">
            <v>1.7000000000000001E-2</v>
          </cell>
          <cell r="K14">
            <v>7.0000000000000001E-3</v>
          </cell>
          <cell r="L14">
            <v>0.05</v>
          </cell>
          <cell r="M14">
            <v>0</v>
          </cell>
          <cell r="N14">
            <v>365</v>
          </cell>
          <cell r="O14">
            <v>10.37</v>
          </cell>
          <cell r="P14">
            <v>407.22972219123062</v>
          </cell>
          <cell r="Q14">
            <v>20314</v>
          </cell>
        </row>
        <row r="15">
          <cell r="A15" t="str">
            <v>N/A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P15">
            <v>0</v>
          </cell>
        </row>
        <row r="16">
          <cell r="A16" t="str">
            <v>Napier</v>
          </cell>
          <cell r="B16">
            <v>35</v>
          </cell>
          <cell r="C16">
            <v>0.18</v>
          </cell>
          <cell r="D16">
            <v>6.3</v>
          </cell>
          <cell r="E16">
            <v>0.9</v>
          </cell>
          <cell r="F16">
            <v>3.8888888888888875</v>
          </cell>
          <cell r="G16">
            <v>0.85</v>
          </cell>
          <cell r="H16">
            <v>3.3055555555555545</v>
          </cell>
          <cell r="I16">
            <v>76.027777777777743</v>
          </cell>
          <cell r="J16">
            <v>2.3E-2</v>
          </cell>
          <cell r="K16">
            <v>2.3E-2</v>
          </cell>
          <cell r="L16">
            <v>2.7E-2</v>
          </cell>
          <cell r="M16">
            <v>0</v>
          </cell>
          <cell r="P16">
            <v>0</v>
          </cell>
        </row>
        <row r="17">
          <cell r="A17" t="str">
            <v>Natural pasture</v>
          </cell>
          <cell r="B17">
            <v>2</v>
          </cell>
          <cell r="C17">
            <v>0.9</v>
          </cell>
          <cell r="D17">
            <v>1.8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2.7E-2</v>
          </cell>
          <cell r="M17">
            <v>0</v>
          </cell>
          <cell r="N17">
            <v>0</v>
          </cell>
          <cell r="P17">
            <v>0</v>
          </cell>
          <cell r="Q17">
            <v>0</v>
          </cell>
        </row>
        <row r="18">
          <cell r="A18" t="str">
            <v>Purchased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</row>
        <row r="19">
          <cell r="A19" t="str">
            <v>Red Clover</v>
          </cell>
          <cell r="B19">
            <v>12</v>
          </cell>
          <cell r="C19">
            <v>0.9</v>
          </cell>
          <cell r="D19">
            <v>10.8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3.2</v>
          </cell>
          <cell r="K19">
            <v>0</v>
          </cell>
          <cell r="L19">
            <v>2.7E-2</v>
          </cell>
          <cell r="M19">
            <v>80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</row>
        <row r="20">
          <cell r="A20" t="str">
            <v>Rhodes grass</v>
          </cell>
          <cell r="B20">
            <v>6.4444444444444438</v>
          </cell>
          <cell r="C20">
            <v>0.9</v>
          </cell>
          <cell r="D20">
            <v>5.8</v>
          </cell>
          <cell r="E20">
            <v>0.9</v>
          </cell>
        </row>
        <row r="21">
          <cell r="A21" t="str">
            <v>Sesbania</v>
          </cell>
          <cell r="B21">
            <v>20.689655172413794</v>
          </cell>
          <cell r="C21">
            <v>0.28999999999999998</v>
          </cell>
          <cell r="D21">
            <v>6</v>
          </cell>
          <cell r="E21" t="str">
            <v>0.9</v>
          </cell>
        </row>
        <row r="22">
          <cell r="A22" t="str">
            <v xml:space="preserve">Silver leaf desmodium </v>
          </cell>
          <cell r="B22">
            <v>12</v>
          </cell>
          <cell r="C22">
            <v>0.26</v>
          </cell>
          <cell r="D22">
            <v>3.12</v>
          </cell>
          <cell r="E22">
            <v>0.9</v>
          </cell>
          <cell r="J22">
            <v>4.1000000000000002E-2</v>
          </cell>
          <cell r="K22">
            <v>2.5000000000000001E-2</v>
          </cell>
          <cell r="L22">
            <v>0.1</v>
          </cell>
          <cell r="M22">
            <v>63.96</v>
          </cell>
          <cell r="N22">
            <v>337</v>
          </cell>
          <cell r="O22">
            <v>11.75</v>
          </cell>
          <cell r="P22">
            <v>381.86968838526911</v>
          </cell>
        </row>
        <row r="23">
          <cell r="A23" t="str">
            <v>Soyabean</v>
          </cell>
          <cell r="B23">
            <v>0.98</v>
          </cell>
          <cell r="C23">
            <v>0.91549999999999998</v>
          </cell>
          <cell r="D23">
            <v>0.89718999999999993</v>
          </cell>
          <cell r="E23">
            <v>0.4</v>
          </cell>
          <cell r="F23">
            <v>1.4699999999999998</v>
          </cell>
          <cell r="G23">
            <v>0.91549999999999998</v>
          </cell>
          <cell r="H23">
            <v>1.3457849999999998</v>
          </cell>
          <cell r="I23">
            <v>17.495204999999999</v>
          </cell>
          <cell r="J23">
            <v>6.2E-2</v>
          </cell>
          <cell r="K23">
            <v>1.2999999999999999E-2</v>
          </cell>
          <cell r="L23">
            <v>0.1</v>
          </cell>
          <cell r="M23">
            <v>36.560492499999995</v>
          </cell>
          <cell r="N23">
            <v>446</v>
          </cell>
          <cell r="O23">
            <v>8.4499999999999993</v>
          </cell>
          <cell r="P23">
            <v>487.16548334243583</v>
          </cell>
          <cell r="Q23">
            <v>16108</v>
          </cell>
        </row>
        <row r="24">
          <cell r="A24" t="str">
            <v xml:space="preserve">Sugarcane </v>
          </cell>
          <cell r="B24">
            <v>10.8</v>
          </cell>
          <cell r="C24">
            <v>0.32000000000000006</v>
          </cell>
          <cell r="D24">
            <v>3.4560000000000008</v>
          </cell>
          <cell r="E24">
            <v>0.71399999999999997</v>
          </cell>
          <cell r="F24">
            <v>4.3260504201680687</v>
          </cell>
          <cell r="G24">
            <v>0.31999999999999995</v>
          </cell>
          <cell r="H24">
            <v>1.3843361344537817</v>
          </cell>
          <cell r="I24">
            <v>1.3843361344537817</v>
          </cell>
          <cell r="J24">
            <v>1E-3</v>
          </cell>
          <cell r="K24">
            <v>1E-3</v>
          </cell>
          <cell r="L24">
            <v>0.17100000000000001</v>
          </cell>
          <cell r="M24">
            <v>0</v>
          </cell>
          <cell r="O24">
            <v>68</v>
          </cell>
          <cell r="P24">
            <v>0</v>
          </cell>
        </row>
        <row r="25">
          <cell r="A25" t="str">
            <v>Sweet potato</v>
          </cell>
          <cell r="B25">
            <v>8.5</v>
          </cell>
          <cell r="C25">
            <v>0.22719999999999996</v>
          </cell>
          <cell r="D25">
            <v>1.9311999999999996</v>
          </cell>
          <cell r="E25">
            <v>0.55000000000000004</v>
          </cell>
          <cell r="F25">
            <v>6.9545454545454533</v>
          </cell>
          <cell r="G25">
            <v>0.22719999999999996</v>
          </cell>
          <cell r="H25">
            <v>1.5800727272727266</v>
          </cell>
          <cell r="I25">
            <v>3.1601454545454533</v>
          </cell>
          <cell r="J25">
            <v>5.0000000000000001E-3</v>
          </cell>
          <cell r="K25">
            <v>2E-3</v>
          </cell>
          <cell r="L25">
            <v>0.05</v>
          </cell>
          <cell r="M25">
            <v>0</v>
          </cell>
          <cell r="N25">
            <v>86</v>
          </cell>
          <cell r="O25">
            <v>77.28</v>
          </cell>
          <cell r="P25">
            <v>378.52112676056339</v>
          </cell>
          <cell r="Q25">
            <v>11507</v>
          </cell>
        </row>
        <row r="26">
          <cell r="A26" t="str">
            <v>Traditional pastures</v>
          </cell>
          <cell r="B26">
            <v>15</v>
          </cell>
          <cell r="C26">
            <v>0.28000000000000003</v>
          </cell>
          <cell r="D26">
            <v>4.2</v>
          </cell>
          <cell r="E26">
            <v>0</v>
          </cell>
          <cell r="F26">
            <v>30</v>
          </cell>
          <cell r="G26">
            <v>1</v>
          </cell>
          <cell r="H26">
            <v>30</v>
          </cell>
          <cell r="I26">
            <v>210</v>
          </cell>
          <cell r="J26">
            <v>1.2999999999999999E-2</v>
          </cell>
          <cell r="K26">
            <v>7.0000000000000001E-3</v>
          </cell>
          <cell r="L26">
            <v>2.7E-2</v>
          </cell>
          <cell r="M26">
            <v>132.30000000000001</v>
          </cell>
          <cell r="P26">
            <v>0</v>
          </cell>
        </row>
        <row r="27">
          <cell r="A27" t="str">
            <v xml:space="preserve">Wild desmodium </v>
          </cell>
          <cell r="B27">
            <v>20</v>
          </cell>
          <cell r="C27">
            <v>0.3</v>
          </cell>
          <cell r="D27">
            <v>6</v>
          </cell>
          <cell r="E27">
            <v>0.9</v>
          </cell>
        </row>
      </sheetData>
      <sheetData sheetId="8" refreshError="1"/>
      <sheetData sheetId="9" refreshError="1"/>
      <sheetData sheetId="10" refreshError="1"/>
      <sheetData sheetId="11">
        <row r="3">
          <cell r="F3" t="str">
            <v>Flat (0-5%)</v>
          </cell>
        </row>
        <row r="4">
          <cell r="F4" t="str">
            <v>Hilly (5-20%)</v>
          </cell>
        </row>
        <row r="5">
          <cell r="F5" t="str">
            <v>Steep (20-30%)</v>
          </cell>
        </row>
        <row r="6">
          <cell r="F6" t="str">
            <v>Extremely steep (30%+)</v>
          </cell>
        </row>
        <row r="7">
          <cell r="F7" t="str">
            <v>Non-agricultural (all slope categories)</v>
          </cell>
        </row>
        <row r="13">
          <cell r="B13" t="str">
            <v>Andosol</v>
          </cell>
        </row>
        <row r="14">
          <cell r="B14" t="str">
            <v>Cambisol</v>
          </cell>
        </row>
        <row r="15">
          <cell r="B15" t="str">
            <v>Lixisol</v>
          </cell>
        </row>
        <row r="16">
          <cell r="B16" t="str">
            <v>Fluvisol</v>
          </cell>
        </row>
        <row r="17">
          <cell r="B17" t="str">
            <v>Vertisol</v>
          </cell>
        </row>
        <row r="18">
          <cell r="B18" t="str">
            <v>Phaeozem</v>
          </cell>
        </row>
        <row r="19">
          <cell r="B19" t="str">
            <v>Nitosol</v>
          </cell>
        </row>
        <row r="20">
          <cell r="B20" t="str">
            <v>Xerosol</v>
          </cell>
        </row>
        <row r="23">
          <cell r="B23" t="str">
            <v>Dense forest</v>
          </cell>
        </row>
        <row r="24">
          <cell r="B24" t="str">
            <v>Other forest</v>
          </cell>
        </row>
        <row r="25">
          <cell r="B25" t="str">
            <v>Badlands hard</v>
          </cell>
        </row>
        <row r="26">
          <cell r="B26" t="str">
            <v>Badlands soft</v>
          </cell>
        </row>
        <row r="27">
          <cell r="B27" t="str">
            <v>Sorghum</v>
          </cell>
        </row>
        <row r="28">
          <cell r="B28" t="str">
            <v>Maize</v>
          </cell>
        </row>
        <row r="29">
          <cell r="B29" t="str">
            <v>Cereals</v>
          </cell>
        </row>
        <row r="30">
          <cell r="B30" t="str">
            <v>Pulses</v>
          </cell>
        </row>
        <row r="31">
          <cell r="B31" t="str">
            <v>Dense grass</v>
          </cell>
        </row>
        <row r="32">
          <cell r="B32" t="str">
            <v>Degraded grass</v>
          </cell>
        </row>
        <row r="33">
          <cell r="B33" t="str">
            <v>Fallow hard</v>
          </cell>
        </row>
        <row r="34">
          <cell r="B34" t="str">
            <v>Fallow plouged</v>
          </cell>
        </row>
        <row r="35">
          <cell r="B35" t="str">
            <v>Ethiopian teff</v>
          </cell>
        </row>
        <row r="36">
          <cell r="B36" t="str">
            <v>Continuous fallow</v>
          </cell>
        </row>
        <row r="44">
          <cell r="C44">
            <v>1</v>
          </cell>
          <cell r="D44">
            <v>3</v>
          </cell>
          <cell r="E44">
            <v>5</v>
          </cell>
          <cell r="F44">
            <v>15</v>
          </cell>
          <cell r="G44">
            <v>30</v>
          </cell>
          <cell r="H44">
            <v>90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Tier 1"/>
      <sheetName val="Tier 2"/>
      <sheetName val="Tier 3"/>
      <sheetName val="Animal"/>
      <sheetName val="Manure"/>
      <sheetName val="SoilT1"/>
      <sheetName val="SoilT2"/>
      <sheetName val="Calc"/>
      <sheetName val="EF_T1"/>
      <sheetName val="EF_T3"/>
      <sheetName val="LossFr"/>
      <sheetName val="Sheet1"/>
      <sheetName val="Parameters"/>
    </sheetNames>
    <sheetDataSet>
      <sheetData sheetId="0">
        <row r="21">
          <cell r="D21">
            <v>23.12</v>
          </cell>
        </row>
        <row r="30">
          <cell r="D30">
            <v>38.4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S"/>
      <sheetName val="Land requirements"/>
      <sheetName val="Productivity"/>
      <sheetName val="Economics "/>
      <sheetName val="Soil impacts"/>
      <sheetName val="GHG emissions"/>
      <sheetName val="SUMMARY "/>
      <sheetName val="Crop parameters"/>
      <sheetName val="Feed parameters"/>
      <sheetName val="Livestock parameters"/>
      <sheetName val="Economics_Parameters"/>
      <sheetName val="Soil erosion parameters"/>
      <sheetName val="GHG Parameters"/>
      <sheetName val="Feed"/>
      <sheetName val="Land Requirement "/>
      <sheetName val="Meat &amp; Milk "/>
      <sheetName val="Economics_Payback "/>
      <sheetName val="N balance"/>
      <sheetName val="SOC"/>
      <sheetName val="Biomass"/>
      <sheetName val="Soil erosion"/>
      <sheetName val="GHG Ent fermentation"/>
      <sheetName val="GHG Manure"/>
      <sheetName val="GHG Burning"/>
      <sheetName val="GHG Soil"/>
      <sheetName val="GHG Off-farm"/>
      <sheetName val="GHG Rice"/>
      <sheetName val="Macro1"/>
      <sheetName val="T1_Nica_GENERAL_051217"/>
    </sheetNames>
    <sheetDataSet>
      <sheetData sheetId="0" refreshError="1"/>
      <sheetData sheetId="1" refreshError="1"/>
      <sheetData sheetId="2">
        <row r="13">
          <cell r="B13">
            <v>1063.0625</v>
          </cell>
        </row>
      </sheetData>
      <sheetData sheetId="3" refreshError="1"/>
      <sheetData sheetId="4" refreshError="1"/>
      <sheetData sheetId="5">
        <row r="39">
          <cell r="D39">
            <v>92.120846060654216</v>
          </cell>
        </row>
      </sheetData>
      <sheetData sheetId="6">
        <row r="4">
          <cell r="C4">
            <v>14.573303401727555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9">
          <cell r="D9">
            <v>0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HG Parameter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EED_P" displayName="FEED_P" ref="A2:I113" totalsRowShown="0" headerRowDxfId="11" dataDxfId="9" headerRowBorderDxfId="10">
  <autoFilter ref="A2:I113" xr:uid="{00000000-0009-0000-0100-000001000000}"/>
  <sortState xmlns:xlrd2="http://schemas.microsoft.com/office/spreadsheetml/2017/richdata2" ref="A3:I113">
    <sortCondition ref="A2:A113"/>
  </sortState>
  <tableColumns count="9">
    <tableColumn id="1" xr3:uid="{00000000-0010-0000-0000-000001000000}" name="Feed" dataDxfId="8"/>
    <tableColumn id="2" xr3:uid="{00000000-0010-0000-0000-000002000000}" name="DM content (%)" dataDxfId="7"/>
    <tableColumn id="3" xr3:uid="{00000000-0010-0000-0000-000003000000}" name="ME content (MJ/kg DM)" dataDxfId="6"/>
    <tableColumn id="4" xr3:uid="{00000000-0010-0000-0000-000004000000}" name="ME (MJ/kg fresh)" dataDxfId="5"/>
    <tableColumn id="5" xr3:uid="{00000000-0010-0000-0000-000005000000}" name="CP content (% DM)" dataDxfId="4"/>
    <tableColumn id="6" xr3:uid="{00000000-0010-0000-0000-000006000000}" name="CP content (% fresh)" dataDxfId="3">
      <calculatedColumnFormula>#REF!*#REF!+#REF!*#REF!</calculatedColumnFormula>
    </tableColumn>
    <tableColumn id="7" xr3:uid="{00000000-0010-0000-0000-000007000000}" name="DE (fraction)" dataDxfId="2"/>
    <tableColumn id="8" xr3:uid="{00000000-0010-0000-0000-000008000000}" name="Origin of feed Purchased (off farm or outside landscape) = 0, Produced =1 in situ" dataDxfId="1"/>
    <tableColumn id="9" xr3:uid="{00000000-0010-0000-0000-000009000000}" name="Associated crop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://www.sciencedirect.com/science/article/pii/S0889157504000146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</sheetPr>
  <dimension ref="A1:FI217"/>
  <sheetViews>
    <sheetView showGridLines="0" topLeftCell="D68" zoomScale="112" zoomScaleNormal="112" workbookViewId="0">
      <selection activeCell="I73" sqref="I73"/>
    </sheetView>
  </sheetViews>
  <sheetFormatPr defaultColWidth="10.875" defaultRowHeight="15.75"/>
  <cols>
    <col min="1" max="1" width="7" style="411" customWidth="1"/>
    <col min="2" max="2" width="42.375" style="413" customWidth="1"/>
    <col min="3" max="3" width="53.25" style="413" customWidth="1"/>
    <col min="4" max="4" width="27.875" style="411" customWidth="1"/>
    <col min="5" max="5" width="29.75" style="411" customWidth="1"/>
    <col min="6" max="6" width="30.75" style="411" customWidth="1"/>
    <col min="7" max="7" width="25.75" style="411" customWidth="1"/>
    <col min="8" max="8" width="18.625" style="411" customWidth="1"/>
    <col min="9" max="9" width="20.625" style="411" customWidth="1"/>
    <col min="10" max="10" width="16.125" style="411" customWidth="1"/>
    <col min="11" max="11" width="18.5" style="411" customWidth="1"/>
    <col min="12" max="12" width="24.375" style="411" customWidth="1"/>
    <col min="13" max="13" width="15" style="411" customWidth="1"/>
    <col min="14" max="14" width="17.5" style="411" customWidth="1"/>
    <col min="15" max="15" width="31.125" style="411" customWidth="1"/>
    <col min="16" max="16" width="15.5" style="411" customWidth="1"/>
    <col min="17" max="17" width="38" style="411" customWidth="1"/>
    <col min="18" max="18" width="30.375" style="411" customWidth="1"/>
    <col min="19" max="27" width="15.5" style="411" customWidth="1"/>
    <col min="28" max="16384" width="10.875" style="411"/>
  </cols>
  <sheetData>
    <row r="1" spans="1:9">
      <c r="B1" s="414" t="s">
        <v>1225</v>
      </c>
      <c r="C1" s="414"/>
      <c r="D1" s="410"/>
      <c r="E1" s="410"/>
      <c r="G1" s="72"/>
      <c r="H1" s="72"/>
      <c r="I1" s="72"/>
    </row>
    <row r="2" spans="1:9" ht="16.5" thickBot="1">
      <c r="A2" s="659"/>
      <c r="B2" s="117"/>
      <c r="C2" s="117"/>
      <c r="G2" s="72"/>
      <c r="H2" s="72"/>
      <c r="I2" s="72"/>
    </row>
    <row r="3" spans="1:9" ht="16.5" thickBot="1">
      <c r="A3" s="659"/>
      <c r="B3" s="117"/>
      <c r="C3" s="117"/>
      <c r="D3" s="1319" t="s">
        <v>69</v>
      </c>
      <c r="E3" s="1341" t="s">
        <v>1644</v>
      </c>
      <c r="G3" s="72"/>
      <c r="H3" s="72"/>
      <c r="I3" s="72"/>
    </row>
    <row r="4" spans="1:9" ht="16.5" thickBot="1">
      <c r="A4" s="659"/>
      <c r="B4" s="117"/>
      <c r="C4" s="117"/>
      <c r="G4" s="72"/>
      <c r="H4" s="72"/>
      <c r="I4" s="72"/>
    </row>
    <row r="5" spans="1:9">
      <c r="A5" s="659"/>
      <c r="B5" s="1388" t="s">
        <v>1227</v>
      </c>
      <c r="C5" s="1294" t="s">
        <v>1226</v>
      </c>
      <c r="D5" s="1291" t="s">
        <v>77</v>
      </c>
      <c r="E5" s="426" t="s">
        <v>1142</v>
      </c>
      <c r="G5" s="72"/>
      <c r="H5" s="72"/>
      <c r="I5" s="72"/>
    </row>
    <row r="6" spans="1:9">
      <c r="A6" s="659"/>
      <c r="B6" s="1389"/>
      <c r="C6" s="1289" t="s">
        <v>1228</v>
      </c>
      <c r="D6" s="1292" t="s">
        <v>636</v>
      </c>
      <c r="E6" s="343" t="s">
        <v>1496</v>
      </c>
      <c r="G6" s="72"/>
      <c r="H6" s="72"/>
      <c r="I6" s="72"/>
    </row>
    <row r="7" spans="1:9" ht="16.5" thickBot="1">
      <c r="A7" s="659"/>
      <c r="B7" s="1390"/>
      <c r="C7" s="1293" t="s">
        <v>1229</v>
      </c>
      <c r="D7" s="681" t="s">
        <v>636</v>
      </c>
      <c r="E7" s="1304" t="s">
        <v>1497</v>
      </c>
      <c r="G7" s="72"/>
      <c r="H7" s="72"/>
      <c r="I7" s="72"/>
    </row>
    <row r="8" spans="1:9">
      <c r="B8" s="411"/>
      <c r="C8" s="1303"/>
      <c r="D8" s="434">
        <f>'Land requirements'!E11</f>
        <v>2.4856686771867236</v>
      </c>
      <c r="G8" s="72"/>
      <c r="H8" s="72"/>
      <c r="I8" s="72"/>
    </row>
    <row r="9" spans="1:9" ht="16.5" thickBot="1">
      <c r="B9" s="30"/>
      <c r="C9" s="1287"/>
      <c r="D9" s="262"/>
      <c r="I9" s="1303"/>
    </row>
    <row r="10" spans="1:9">
      <c r="B10" s="1388" t="s">
        <v>905</v>
      </c>
      <c r="C10" s="1294" t="s">
        <v>1823</v>
      </c>
      <c r="D10" s="1299" t="s">
        <v>1825</v>
      </c>
      <c r="E10" s="1316">
        <v>42370</v>
      </c>
      <c r="H10" s="1318"/>
      <c r="I10" s="1303"/>
    </row>
    <row r="11" spans="1:9" ht="16.5" thickBot="1">
      <c r="B11" s="1390"/>
      <c r="C11" s="1293" t="s">
        <v>1824</v>
      </c>
      <c r="D11" s="240" t="s">
        <v>1829</v>
      </c>
      <c r="E11" s="1317">
        <v>42582</v>
      </c>
      <c r="I11" s="1303"/>
    </row>
    <row r="12" spans="1:9" ht="16.5" thickBot="1">
      <c r="B12" s="30"/>
      <c r="C12" s="228"/>
      <c r="D12" s="420"/>
    </row>
    <row r="13" spans="1:9" ht="16.5" thickBot="1">
      <c r="B13" s="30"/>
      <c r="C13" s="1320" t="s">
        <v>1826</v>
      </c>
      <c r="D13" s="419" t="s">
        <v>1827</v>
      </c>
      <c r="E13" s="1303"/>
      <c r="G13" s="1303"/>
    </row>
    <row r="14" spans="1:9">
      <c r="B14" s="580" t="s">
        <v>1136</v>
      </c>
      <c r="C14" s="1329">
        <f>DATEDIF(E10,E11,"m")</f>
        <v>6</v>
      </c>
      <c r="D14" s="1330">
        <f>DATEDIF(E10,E11,"d")</f>
        <v>212</v>
      </c>
      <c r="E14" s="1303"/>
      <c r="G14" s="1303"/>
    </row>
    <row r="15" spans="1:9" ht="16.5" thickBot="1">
      <c r="B15" s="1321" t="s">
        <v>1828</v>
      </c>
      <c r="C15" s="1331">
        <f>12-C14</f>
        <v>6</v>
      </c>
      <c r="D15" s="1332">
        <f>365-D14</f>
        <v>153</v>
      </c>
      <c r="E15" s="1303"/>
      <c r="G15" s="1303"/>
    </row>
    <row r="16" spans="1:9">
      <c r="B16" s="780"/>
      <c r="C16" s="1333">
        <f>SUM(C14:C15)</f>
        <v>12</v>
      </c>
      <c r="D16" s="1333">
        <f>SUM(D14:D15)</f>
        <v>365</v>
      </c>
      <c r="E16" s="30"/>
      <c r="F16" s="154"/>
      <c r="G16" s="154"/>
      <c r="H16" s="169"/>
      <c r="I16" s="169"/>
    </row>
    <row r="17" spans="1:17">
      <c r="B17" s="780"/>
      <c r="C17" s="781"/>
      <c r="D17" s="782"/>
      <c r="E17" s="30"/>
      <c r="F17" s="154"/>
      <c r="G17" s="154"/>
      <c r="H17" s="169"/>
      <c r="I17" s="169"/>
    </row>
    <row r="18" spans="1:17">
      <c r="B18" s="414" t="s">
        <v>826</v>
      </c>
      <c r="C18" s="410"/>
      <c r="D18" s="410"/>
      <c r="E18" s="415"/>
      <c r="F18" s="410"/>
      <c r="G18" s="410"/>
      <c r="H18" s="410"/>
      <c r="I18" s="410"/>
      <c r="J18" s="410"/>
      <c r="K18" s="410"/>
      <c r="L18" s="410"/>
      <c r="M18" s="410"/>
      <c r="N18" s="410"/>
      <c r="O18" s="410"/>
      <c r="P18" s="410"/>
      <c r="Q18" s="410"/>
    </row>
    <row r="19" spans="1:17" ht="16.5" thickBot="1"/>
    <row r="20" spans="1:17" s="413" customFormat="1" ht="79.5" customHeight="1">
      <c r="B20" s="1391" t="s">
        <v>1051</v>
      </c>
      <c r="C20" s="421"/>
      <c r="D20" s="693" t="s">
        <v>1188</v>
      </c>
      <c r="E20" s="914" t="s">
        <v>1494</v>
      </c>
      <c r="F20" s="1259" t="s">
        <v>1495</v>
      </c>
      <c r="G20" s="1264"/>
      <c r="H20" s="1265" t="s">
        <v>1046</v>
      </c>
      <c r="I20" s="972" t="s">
        <v>1569</v>
      </c>
      <c r="J20" s="1363" t="s">
        <v>1047</v>
      </c>
      <c r="K20" s="694" t="s">
        <v>1048</v>
      </c>
      <c r="L20" s="694" t="s">
        <v>1598</v>
      </c>
      <c r="M20" s="1056" t="s">
        <v>1049</v>
      </c>
      <c r="N20" s="973" t="s">
        <v>1570</v>
      </c>
      <c r="O20" s="586" t="s">
        <v>1132</v>
      </c>
      <c r="P20" s="423"/>
      <c r="Q20" s="695" t="s">
        <v>1050</v>
      </c>
    </row>
    <row r="21" spans="1:17">
      <c r="A21" s="424"/>
      <c r="B21" s="1392"/>
      <c r="C21" s="425" t="s">
        <v>1820</v>
      </c>
      <c r="D21" s="345">
        <v>1</v>
      </c>
      <c r="E21" s="915">
        <v>1000</v>
      </c>
      <c r="F21" s="1260">
        <v>0</v>
      </c>
      <c r="G21" s="1139"/>
      <c r="H21" s="347">
        <v>0.85</v>
      </c>
      <c r="I21" s="348">
        <v>0</v>
      </c>
      <c r="J21" s="346">
        <v>0.15</v>
      </c>
      <c r="K21" s="346">
        <v>0</v>
      </c>
      <c r="L21" s="346">
        <v>1</v>
      </c>
      <c r="M21" s="347">
        <v>0.9</v>
      </c>
      <c r="N21" s="348">
        <v>0.9</v>
      </c>
      <c r="O21" s="346">
        <v>0</v>
      </c>
      <c r="P21" s="1305"/>
      <c r="Q21" s="1364">
        <v>0.9</v>
      </c>
    </row>
    <row r="22" spans="1:17">
      <c r="B22" s="1392"/>
      <c r="C22" s="425" t="s">
        <v>1821</v>
      </c>
      <c r="D22" s="345">
        <v>1</v>
      </c>
      <c r="E22" s="915">
        <v>1500</v>
      </c>
      <c r="F22" s="1260">
        <v>0</v>
      </c>
      <c r="G22" s="1139"/>
      <c r="H22" s="347">
        <v>0.85</v>
      </c>
      <c r="I22" s="348">
        <v>0</v>
      </c>
      <c r="J22" s="346">
        <v>0.15</v>
      </c>
      <c r="K22" s="346">
        <v>0</v>
      </c>
      <c r="L22" s="346">
        <v>1</v>
      </c>
      <c r="M22" s="347">
        <v>0.9</v>
      </c>
      <c r="N22" s="348">
        <v>0</v>
      </c>
      <c r="O22" s="346">
        <v>0</v>
      </c>
      <c r="P22" s="1305"/>
      <c r="Q22" s="1364">
        <v>0.9</v>
      </c>
    </row>
    <row r="23" spans="1:17">
      <c r="B23" s="1392"/>
      <c r="C23" s="425" t="s">
        <v>1067</v>
      </c>
      <c r="D23" s="345">
        <v>1</v>
      </c>
      <c r="E23" s="345">
        <v>0</v>
      </c>
      <c r="F23" s="1261">
        <v>0</v>
      </c>
      <c r="G23" s="1139"/>
      <c r="H23" s="347">
        <v>1</v>
      </c>
      <c r="I23" s="348">
        <v>0</v>
      </c>
      <c r="J23" s="346">
        <v>0.15</v>
      </c>
      <c r="K23" s="346">
        <v>0</v>
      </c>
      <c r="L23" s="346">
        <v>1</v>
      </c>
      <c r="M23" s="347">
        <v>0.9</v>
      </c>
      <c r="N23" s="348">
        <v>0</v>
      </c>
      <c r="O23" s="346">
        <v>0</v>
      </c>
      <c r="P23" s="1305"/>
      <c r="Q23" s="1364">
        <v>0.9</v>
      </c>
    </row>
    <row r="24" spans="1:17">
      <c r="B24" s="1392"/>
      <c r="C24" s="425" t="s">
        <v>628</v>
      </c>
      <c r="D24" s="345">
        <v>1</v>
      </c>
      <c r="E24" s="345">
        <v>0</v>
      </c>
      <c r="F24" s="1260">
        <v>111</v>
      </c>
      <c r="G24" s="1139"/>
      <c r="H24" s="347">
        <v>0.85</v>
      </c>
      <c r="I24" s="348">
        <v>0</v>
      </c>
      <c r="J24" s="346">
        <v>0.15</v>
      </c>
      <c r="K24" s="346">
        <v>0</v>
      </c>
      <c r="L24" s="346">
        <v>1</v>
      </c>
      <c r="M24" s="347">
        <v>0.9</v>
      </c>
      <c r="N24" s="348">
        <v>0.9</v>
      </c>
      <c r="O24" s="346">
        <v>0</v>
      </c>
      <c r="P24" s="1305"/>
      <c r="Q24" s="1364">
        <v>0.9</v>
      </c>
    </row>
    <row r="25" spans="1:17">
      <c r="B25" s="1392"/>
      <c r="C25" s="425" t="s">
        <v>1822</v>
      </c>
      <c r="D25" s="345">
        <v>1</v>
      </c>
      <c r="E25" s="345">
        <v>1500</v>
      </c>
      <c r="F25" s="1260">
        <v>0</v>
      </c>
      <c r="G25" s="1139"/>
      <c r="H25" s="347">
        <v>0.85</v>
      </c>
      <c r="I25" s="348">
        <v>0</v>
      </c>
      <c r="J25" s="346">
        <v>0.15</v>
      </c>
      <c r="K25" s="346">
        <v>0</v>
      </c>
      <c r="L25" s="346">
        <v>1</v>
      </c>
      <c r="M25" s="347">
        <v>0.9</v>
      </c>
      <c r="N25" s="348">
        <v>0.9</v>
      </c>
      <c r="O25" s="346">
        <v>0</v>
      </c>
      <c r="P25" s="1305"/>
      <c r="Q25" s="1364">
        <v>0.9</v>
      </c>
    </row>
    <row r="26" spans="1:17">
      <c r="B26" s="1392"/>
      <c r="C26" s="425" t="s">
        <v>1777</v>
      </c>
      <c r="D26" s="345">
        <v>1</v>
      </c>
      <c r="E26" s="345">
        <v>0</v>
      </c>
      <c r="F26" s="1260">
        <v>0</v>
      </c>
      <c r="G26" s="1139"/>
      <c r="H26" s="347">
        <v>0.85</v>
      </c>
      <c r="I26" s="348">
        <v>0</v>
      </c>
      <c r="J26" s="346">
        <v>0.15</v>
      </c>
      <c r="K26" s="346">
        <v>0</v>
      </c>
      <c r="L26" s="346">
        <v>1</v>
      </c>
      <c r="M26" s="347">
        <v>0.9</v>
      </c>
      <c r="N26" s="348">
        <v>0.9</v>
      </c>
      <c r="O26" s="346">
        <v>0</v>
      </c>
      <c r="P26" s="1305"/>
      <c r="Q26" s="1364">
        <v>0.9</v>
      </c>
    </row>
    <row r="27" spans="1:17">
      <c r="B27" s="1392"/>
      <c r="C27" s="425" t="s">
        <v>1674</v>
      </c>
      <c r="D27" s="345">
        <v>1</v>
      </c>
      <c r="E27" s="345">
        <v>0</v>
      </c>
      <c r="F27" s="1260">
        <v>0</v>
      </c>
      <c r="G27" s="1139"/>
      <c r="H27" s="347">
        <v>0.85</v>
      </c>
      <c r="I27" s="348">
        <v>0</v>
      </c>
      <c r="J27" s="346">
        <v>0.15</v>
      </c>
      <c r="K27" s="346">
        <v>0</v>
      </c>
      <c r="L27" s="346">
        <v>1</v>
      </c>
      <c r="M27" s="347">
        <v>0.9</v>
      </c>
      <c r="N27" s="348">
        <v>0.9</v>
      </c>
      <c r="O27" s="346">
        <v>0</v>
      </c>
      <c r="P27" s="1305"/>
      <c r="Q27" s="1364">
        <v>0.9</v>
      </c>
    </row>
    <row r="28" spans="1:17">
      <c r="B28" s="1392"/>
      <c r="C28" s="425" t="s">
        <v>628</v>
      </c>
      <c r="D28" s="345">
        <v>3</v>
      </c>
      <c r="E28" s="345">
        <v>0</v>
      </c>
      <c r="F28" s="1260">
        <v>0</v>
      </c>
      <c r="G28" s="1139"/>
      <c r="H28" s="347">
        <v>0.85</v>
      </c>
      <c r="I28" s="348">
        <v>0</v>
      </c>
      <c r="J28" s="346">
        <v>0.15</v>
      </c>
      <c r="K28" s="346">
        <v>0</v>
      </c>
      <c r="L28" s="346">
        <v>1</v>
      </c>
      <c r="M28" s="347">
        <v>0.9</v>
      </c>
      <c r="N28" s="348">
        <v>0.9</v>
      </c>
      <c r="O28" s="346">
        <v>0</v>
      </c>
      <c r="P28" s="1305"/>
      <c r="Q28" s="1364">
        <v>0.9</v>
      </c>
    </row>
    <row r="29" spans="1:17">
      <c r="B29" s="1392"/>
      <c r="C29" s="425" t="s">
        <v>1848</v>
      </c>
      <c r="D29" s="1129">
        <v>2</v>
      </c>
      <c r="E29" s="1129">
        <v>4000</v>
      </c>
      <c r="F29" s="1140">
        <v>0</v>
      </c>
      <c r="G29" s="1139"/>
      <c r="H29" s="347">
        <v>0.85</v>
      </c>
      <c r="I29" s="348">
        <v>0</v>
      </c>
      <c r="J29" s="346">
        <v>0.15</v>
      </c>
      <c r="K29" s="346">
        <v>0</v>
      </c>
      <c r="L29" s="1131">
        <v>1</v>
      </c>
      <c r="M29" s="347">
        <v>0.9</v>
      </c>
      <c r="N29" s="1130">
        <v>0.9</v>
      </c>
      <c r="O29" s="1131">
        <v>0</v>
      </c>
      <c r="P29" s="1305"/>
      <c r="Q29" s="1365">
        <v>0.9</v>
      </c>
    </row>
    <row r="30" spans="1:17">
      <c r="B30" s="1306"/>
      <c r="C30" s="425"/>
      <c r="D30" s="1129">
        <v>0</v>
      </c>
      <c r="E30" s="1129">
        <v>0</v>
      </c>
      <c r="F30" s="1140">
        <v>0</v>
      </c>
      <c r="G30" s="1139"/>
      <c r="H30" s="347">
        <v>0.85</v>
      </c>
      <c r="I30" s="348">
        <v>0</v>
      </c>
      <c r="J30" s="346">
        <v>0.15</v>
      </c>
      <c r="K30" s="346">
        <v>0</v>
      </c>
      <c r="L30" s="1131">
        <v>1</v>
      </c>
      <c r="M30" s="347">
        <v>0.9</v>
      </c>
      <c r="N30" s="1130">
        <v>0.9</v>
      </c>
      <c r="O30" s="1131">
        <v>0</v>
      </c>
      <c r="P30" s="1305"/>
      <c r="Q30" s="1365">
        <v>0</v>
      </c>
    </row>
    <row r="31" spans="1:17">
      <c r="B31" s="1306"/>
      <c r="C31" s="425"/>
      <c r="D31" s="1129">
        <v>0</v>
      </c>
      <c r="E31" s="1129">
        <v>0</v>
      </c>
      <c r="F31" s="1140">
        <v>0</v>
      </c>
      <c r="G31" s="1139"/>
      <c r="H31" s="347">
        <v>0.85</v>
      </c>
      <c r="I31" s="348">
        <v>0</v>
      </c>
      <c r="J31" s="346">
        <v>0.15</v>
      </c>
      <c r="K31" s="346">
        <v>0</v>
      </c>
      <c r="L31" s="1131">
        <v>1</v>
      </c>
      <c r="M31" s="347">
        <v>0.9</v>
      </c>
      <c r="N31" s="1130">
        <v>0.9</v>
      </c>
      <c r="O31" s="1131">
        <v>0</v>
      </c>
      <c r="P31" s="1305"/>
      <c r="Q31" s="1365">
        <v>0</v>
      </c>
    </row>
    <row r="32" spans="1:17">
      <c r="B32" s="1306"/>
      <c r="C32" s="425"/>
      <c r="D32" s="1129">
        <v>0</v>
      </c>
      <c r="E32" s="1129">
        <v>0</v>
      </c>
      <c r="F32" s="1140">
        <v>0</v>
      </c>
      <c r="G32" s="1139"/>
      <c r="H32" s="347">
        <v>0.85</v>
      </c>
      <c r="I32" s="348">
        <v>0</v>
      </c>
      <c r="J32" s="346">
        <v>0.15</v>
      </c>
      <c r="K32" s="346">
        <v>0</v>
      </c>
      <c r="L32" s="1131">
        <v>1</v>
      </c>
      <c r="M32" s="347">
        <v>0.9</v>
      </c>
      <c r="N32" s="1130">
        <v>0.9</v>
      </c>
      <c r="O32" s="1131">
        <v>0</v>
      </c>
      <c r="P32" s="1305"/>
      <c r="Q32" s="1365">
        <v>0</v>
      </c>
    </row>
    <row r="33" spans="1:17">
      <c r="B33" s="1306"/>
      <c r="C33" s="425"/>
      <c r="D33" s="1129">
        <v>0</v>
      </c>
      <c r="E33" s="1129">
        <v>0</v>
      </c>
      <c r="F33" s="1140">
        <v>0</v>
      </c>
      <c r="G33" s="1139"/>
      <c r="H33" s="347">
        <v>0.85</v>
      </c>
      <c r="I33" s="348">
        <v>0</v>
      </c>
      <c r="J33" s="346">
        <v>0.15</v>
      </c>
      <c r="K33" s="346">
        <v>0</v>
      </c>
      <c r="L33" s="1131">
        <v>1</v>
      </c>
      <c r="M33" s="347">
        <v>0.9</v>
      </c>
      <c r="N33" s="1130">
        <v>0.9</v>
      </c>
      <c r="O33" s="1131">
        <v>0</v>
      </c>
      <c r="P33" s="1305"/>
      <c r="Q33" s="1365">
        <v>0</v>
      </c>
    </row>
    <row r="34" spans="1:17" ht="16.5" thickBot="1">
      <c r="B34" s="1307"/>
      <c r="C34" s="857"/>
      <c r="D34" s="1308">
        <v>0</v>
      </c>
      <c r="E34" s="1308">
        <v>0</v>
      </c>
      <c r="F34" s="1141">
        <v>0</v>
      </c>
      <c r="G34" s="1309"/>
      <c r="H34" s="1310">
        <v>0.85</v>
      </c>
      <c r="I34" s="961">
        <v>0</v>
      </c>
      <c r="J34" s="965">
        <v>0.15</v>
      </c>
      <c r="K34" s="965">
        <v>0</v>
      </c>
      <c r="L34" s="965">
        <v>1</v>
      </c>
      <c r="M34" s="1310">
        <v>0.9</v>
      </c>
      <c r="N34" s="961">
        <v>0.9</v>
      </c>
      <c r="O34" s="965">
        <v>0</v>
      </c>
      <c r="P34" s="1311"/>
      <c r="Q34" s="1366">
        <v>0.9</v>
      </c>
    </row>
    <row r="35" spans="1:17" ht="16.5" thickBot="1"/>
    <row r="36" spans="1:17" ht="46.5" customHeight="1">
      <c r="B36" s="1393" t="s">
        <v>1602</v>
      </c>
      <c r="C36" s="1262"/>
      <c r="D36" s="232" t="s">
        <v>1603</v>
      </c>
      <c r="E36" s="154"/>
      <c r="F36" s="154"/>
      <c r="G36" s="154"/>
      <c r="H36" s="154"/>
      <c r="I36" s="154"/>
      <c r="J36" s="154"/>
    </row>
    <row r="37" spans="1:17" ht="19.5" customHeight="1">
      <c r="A37" s="424"/>
      <c r="B37" s="1394"/>
      <c r="C37" s="13" t="s">
        <v>1053</v>
      </c>
      <c r="D37" s="1260" t="s">
        <v>453</v>
      </c>
      <c r="E37" s="1057"/>
      <c r="F37" s="1057"/>
      <c r="G37" s="1057"/>
      <c r="H37" s="1057"/>
      <c r="I37" s="1057"/>
      <c r="J37" s="1057"/>
    </row>
    <row r="38" spans="1:17">
      <c r="B38" s="1394"/>
      <c r="C38" s="13" t="s">
        <v>1054</v>
      </c>
      <c r="D38" s="1260" t="s">
        <v>121</v>
      </c>
      <c r="E38" s="1057"/>
      <c r="F38" s="1057"/>
      <c r="G38" s="1057"/>
      <c r="H38" s="1057"/>
      <c r="I38" s="1057"/>
      <c r="J38" s="1057"/>
    </row>
    <row r="39" spans="1:17" ht="16.5" customHeight="1" thickBot="1">
      <c r="B39" s="1395"/>
      <c r="C39" s="1263" t="s">
        <v>1055</v>
      </c>
      <c r="D39" s="1141" t="s">
        <v>449</v>
      </c>
      <c r="E39" s="1057"/>
      <c r="F39" s="1057"/>
      <c r="G39" s="1057"/>
      <c r="H39" s="1057"/>
      <c r="I39" s="1057"/>
      <c r="J39" s="1057"/>
    </row>
    <row r="40" spans="1:17" ht="16.5" thickBot="1">
      <c r="B40" s="696"/>
      <c r="C40" s="696"/>
      <c r="D40" s="696"/>
      <c r="E40" s="697"/>
    </row>
    <row r="41" spans="1:17" ht="15.75" customHeight="1">
      <c r="B41" s="1406" t="s">
        <v>1052</v>
      </c>
      <c r="C41" s="412"/>
      <c r="D41" s="426" t="s">
        <v>1057</v>
      </c>
    </row>
    <row r="42" spans="1:17">
      <c r="A42" s="698"/>
      <c r="B42" s="1407"/>
      <c r="C42" s="971" t="s">
        <v>128</v>
      </c>
      <c r="D42" s="700">
        <v>0</v>
      </c>
      <c r="E42" s="698"/>
    </row>
    <row r="43" spans="1:17" ht="30.75" customHeight="1">
      <c r="A43" s="698"/>
      <c r="B43" s="1407"/>
      <c r="C43" s="971" t="s">
        <v>1568</v>
      </c>
      <c r="D43" s="700">
        <v>0</v>
      </c>
      <c r="E43" s="698"/>
    </row>
    <row r="44" spans="1:17">
      <c r="A44" s="698"/>
      <c r="B44" s="1407"/>
      <c r="C44" s="699" t="s">
        <v>129</v>
      </c>
      <c r="D44" s="700">
        <v>0</v>
      </c>
      <c r="E44" s="698"/>
    </row>
    <row r="45" spans="1:17">
      <c r="A45" s="698"/>
      <c r="B45" s="1407"/>
      <c r="C45" s="699" t="s">
        <v>130</v>
      </c>
      <c r="D45" s="700">
        <v>0</v>
      </c>
      <c r="E45" s="698"/>
    </row>
    <row r="46" spans="1:17" ht="16.5" thickBot="1">
      <c r="A46" s="698"/>
      <c r="B46" s="1408"/>
      <c r="C46" s="701" t="s">
        <v>131</v>
      </c>
      <c r="D46" s="702">
        <v>0</v>
      </c>
      <c r="E46" s="698"/>
    </row>
    <row r="47" spans="1:17" ht="16.5" thickBot="1">
      <c r="A47" s="698"/>
      <c r="B47" s="697"/>
      <c r="C47" s="697"/>
      <c r="D47" s="703"/>
      <c r="E47" s="698"/>
      <c r="F47" s="428"/>
    </row>
    <row r="48" spans="1:17" ht="15" customHeight="1" thickBot="1">
      <c r="B48" s="72"/>
      <c r="C48" s="72"/>
      <c r="D48" s="841" t="s">
        <v>1348</v>
      </c>
      <c r="E48" s="419" t="s">
        <v>1440</v>
      </c>
      <c r="F48" s="428"/>
    </row>
    <row r="49" spans="1:37" ht="15.75" customHeight="1">
      <c r="B49" s="1403" t="s">
        <v>1439</v>
      </c>
      <c r="C49" s="429" t="s">
        <v>1484</v>
      </c>
      <c r="D49" s="344">
        <v>3</v>
      </c>
      <c r="E49" s="344">
        <v>3</v>
      </c>
      <c r="F49" s="454"/>
    </row>
    <row r="50" spans="1:37">
      <c r="B50" s="1404"/>
      <c r="C50" s="430" t="s">
        <v>1092</v>
      </c>
      <c r="D50" s="657">
        <v>3</v>
      </c>
      <c r="E50" s="657">
        <v>3</v>
      </c>
      <c r="F50" s="454"/>
    </row>
    <row r="51" spans="1:37">
      <c r="B51" s="1404"/>
      <c r="C51" s="430" t="s">
        <v>1093</v>
      </c>
      <c r="D51" s="657">
        <v>5</v>
      </c>
      <c r="E51" s="657">
        <v>5</v>
      </c>
      <c r="F51" s="454"/>
    </row>
    <row r="52" spans="1:37">
      <c r="B52" s="1404"/>
      <c r="C52" s="430" t="s">
        <v>1189</v>
      </c>
      <c r="D52" s="657">
        <v>2</v>
      </c>
      <c r="E52" s="657">
        <v>2</v>
      </c>
      <c r="F52" s="454"/>
    </row>
    <row r="53" spans="1:37" ht="16.5" thickBot="1">
      <c r="B53" s="1405"/>
      <c r="C53" s="431" t="s">
        <v>127</v>
      </c>
      <c r="D53" s="432">
        <f>(1-((100-D49)/100*(100-D50)/100*(100-D51)/100*(100-D52)/100))*100</f>
        <v>12.402209999999991</v>
      </c>
      <c r="E53" s="432">
        <f>(1-((100-E49)/100*(100-E50)/100*(100-E51)/100*(100-E52)/100))*100</f>
        <v>12.402209999999991</v>
      </c>
      <c r="F53" s="454"/>
    </row>
    <row r="54" spans="1:37">
      <c r="A54" s="698"/>
      <c r="B54" s="697"/>
      <c r="C54" s="697"/>
      <c r="D54" s="698"/>
      <c r="E54" s="703"/>
      <c r="F54" s="453"/>
      <c r="N54" s="296"/>
    </row>
    <row r="55" spans="1:37">
      <c r="B55" s="414" t="s">
        <v>1068</v>
      </c>
      <c r="C55" s="410"/>
      <c r="D55" s="410"/>
      <c r="E55" s="415"/>
      <c r="F55" s="410"/>
      <c r="G55" s="410"/>
      <c r="H55" s="410"/>
      <c r="I55" s="410"/>
      <c r="J55" s="410"/>
      <c r="K55" s="410"/>
      <c r="L55" s="410"/>
      <c r="M55" s="410"/>
      <c r="N55" s="410"/>
      <c r="O55" s="410"/>
      <c r="P55" s="410"/>
      <c r="Q55" s="414"/>
      <c r="R55" s="410"/>
      <c r="S55" s="410"/>
      <c r="T55" s="415"/>
      <c r="U55" s="410"/>
      <c r="V55" s="410"/>
      <c r="W55" s="410"/>
      <c r="X55" s="410"/>
      <c r="Y55" s="410"/>
      <c r="Z55" s="410"/>
      <c r="AA55" s="410"/>
      <c r="AB55" s="410"/>
      <c r="AC55" s="410"/>
      <c r="AD55" s="410"/>
      <c r="AE55" s="410"/>
    </row>
    <row r="56" spans="1:37" ht="16.5" thickBot="1">
      <c r="B56" s="411"/>
      <c r="D56" s="934"/>
      <c r="E56" s="296"/>
      <c r="O56" s="12"/>
      <c r="P56" s="934"/>
      <c r="Y56" s="12"/>
      <c r="Z56" s="12"/>
      <c r="AA56" s="12"/>
    </row>
    <row r="57" spans="1:37" ht="16.5" thickBot="1">
      <c r="B57" s="1320" t="s">
        <v>1830</v>
      </c>
      <c r="D57" s="934"/>
      <c r="E57" s="296"/>
      <c r="O57" s="12"/>
      <c r="P57" s="934"/>
      <c r="R57" s="1320" t="s">
        <v>1830</v>
      </c>
      <c r="Y57" s="12"/>
      <c r="Z57" s="12"/>
      <c r="AA57" s="12"/>
    </row>
    <row r="58" spans="1:37" ht="16.5" thickBot="1">
      <c r="B58" s="411"/>
      <c r="D58" s="934"/>
      <c r="E58" s="296"/>
      <c r="O58" s="12"/>
      <c r="P58" s="934"/>
      <c r="Y58" s="12"/>
      <c r="Z58" s="12"/>
      <c r="AA58" s="12"/>
    </row>
    <row r="59" spans="1:37" ht="48" thickBot="1">
      <c r="B59" s="985"/>
      <c r="C59" s="986" t="str">
        <f>C21</f>
        <v>Cows (local)</v>
      </c>
      <c r="D59" s="986" t="str">
        <f>C22</f>
        <v>Cows (improved)</v>
      </c>
      <c r="E59" s="986" t="str">
        <f>C23</f>
        <v>Adult cattle - male</v>
      </c>
      <c r="F59" s="986" t="str">
        <f>C24</f>
        <v>Calves</v>
      </c>
      <c r="G59" s="986" t="str">
        <f>C25</f>
        <v>Buffalo (dairy)</v>
      </c>
      <c r="H59" s="986" t="str">
        <f>C26</f>
        <v>Sheep/Goats - Ewes/Does</v>
      </c>
      <c r="I59" s="986" t="str">
        <f>C27</f>
        <v>Pigs - lactating/pregnant sows</v>
      </c>
      <c r="J59" s="986" t="str">
        <f>C28</f>
        <v>Calves</v>
      </c>
      <c r="K59" s="1132" t="str">
        <f>C29</f>
        <v>Cows (high productive)</v>
      </c>
      <c r="L59" s="1132">
        <f>C30</f>
        <v>0</v>
      </c>
      <c r="M59" s="1132">
        <f>C31</f>
        <v>0</v>
      </c>
      <c r="N59" s="1132">
        <f>C32</f>
        <v>0</v>
      </c>
      <c r="O59" s="1132">
        <f>C33</f>
        <v>0</v>
      </c>
      <c r="P59" s="987">
        <f>C34</f>
        <v>0</v>
      </c>
      <c r="Q59" s="30"/>
      <c r="R59" s="988" t="str">
        <f>C59</f>
        <v>Cows (local)</v>
      </c>
      <c r="S59" s="986" t="str">
        <f>D59</f>
        <v>Cows (improved)</v>
      </c>
      <c r="T59" s="986" t="str">
        <f t="shared" ref="T59:Z59" si="0">E59</f>
        <v>Adult cattle - male</v>
      </c>
      <c r="U59" s="986" t="str">
        <f t="shared" si="0"/>
        <v>Calves</v>
      </c>
      <c r="V59" s="986" t="str">
        <f t="shared" si="0"/>
        <v>Buffalo (dairy)</v>
      </c>
      <c r="W59" s="986" t="str">
        <f t="shared" si="0"/>
        <v>Sheep/Goats - Ewes/Does</v>
      </c>
      <c r="X59" s="986" t="str">
        <f t="shared" si="0"/>
        <v>Pigs - lactating/pregnant sows</v>
      </c>
      <c r="Y59" s="986" t="str">
        <f t="shared" si="0"/>
        <v>Calves</v>
      </c>
      <c r="Z59" s="1132" t="str">
        <f t="shared" si="0"/>
        <v>Cows (high productive)</v>
      </c>
      <c r="AA59" s="1132">
        <f t="shared" ref="AA59:AB59" si="1">L59</f>
        <v>0</v>
      </c>
      <c r="AB59" s="1132">
        <f t="shared" si="1"/>
        <v>0</v>
      </c>
      <c r="AC59" s="987">
        <f>N59</f>
        <v>0</v>
      </c>
      <c r="AD59" s="987">
        <f>O59</f>
        <v>0</v>
      </c>
      <c r="AE59" s="987">
        <f>P59</f>
        <v>0</v>
      </c>
      <c r="AI59" s="954"/>
      <c r="AJ59" s="954"/>
      <c r="AK59" s="954"/>
    </row>
    <row r="60" spans="1:37" ht="34.5" customHeight="1">
      <c r="B60" s="983" t="s">
        <v>1636</v>
      </c>
      <c r="C60" s="984">
        <v>0.05</v>
      </c>
      <c r="D60" s="984">
        <v>0.05</v>
      </c>
      <c r="E60" s="984">
        <v>0.05</v>
      </c>
      <c r="F60" s="984">
        <v>0.05</v>
      </c>
      <c r="G60" s="984">
        <v>0.05</v>
      </c>
      <c r="H60" s="984">
        <v>0.05</v>
      </c>
      <c r="I60" s="984">
        <v>0.05</v>
      </c>
      <c r="J60" s="984">
        <v>0.05</v>
      </c>
      <c r="K60" s="984">
        <v>0.05</v>
      </c>
      <c r="L60" s="984">
        <v>0.05</v>
      </c>
      <c r="M60" s="984">
        <v>0.05</v>
      </c>
      <c r="N60" s="984">
        <v>0.05</v>
      </c>
      <c r="O60" s="984">
        <v>0.05</v>
      </c>
      <c r="P60" s="984">
        <v>0.05</v>
      </c>
      <c r="Q60" s="1322" t="str">
        <f t="shared" ref="Q60:Q66" si="2">B60</f>
        <v>Rice (Oryza sativa) - bran (with germs)</v>
      </c>
      <c r="R60" s="1323">
        <v>0.05</v>
      </c>
      <c r="S60" s="984">
        <v>0.05</v>
      </c>
      <c r="T60" s="984">
        <v>0.05</v>
      </c>
      <c r="U60" s="984">
        <v>0.05</v>
      </c>
      <c r="V60" s="984">
        <v>0.05</v>
      </c>
      <c r="W60" s="984">
        <v>0.05</v>
      </c>
      <c r="X60" s="984">
        <v>0.05</v>
      </c>
      <c r="Y60" s="984">
        <v>0.05</v>
      </c>
      <c r="Z60" s="984">
        <v>0.05</v>
      </c>
      <c r="AA60" s="984">
        <v>0.05</v>
      </c>
      <c r="AB60" s="984">
        <v>0.05</v>
      </c>
      <c r="AC60" s="984">
        <v>0.05</v>
      </c>
      <c r="AD60" s="984">
        <v>0.05</v>
      </c>
      <c r="AE60" s="1324">
        <v>0.05</v>
      </c>
    </row>
    <row r="61" spans="1:37" ht="34.5" customHeight="1">
      <c r="B61" s="983" t="s">
        <v>1508</v>
      </c>
      <c r="C61" s="349">
        <v>0</v>
      </c>
      <c r="D61" s="349">
        <v>0</v>
      </c>
      <c r="E61" s="349">
        <v>0</v>
      </c>
      <c r="F61" s="349">
        <v>0</v>
      </c>
      <c r="G61" s="349">
        <v>0</v>
      </c>
      <c r="H61" s="349">
        <v>0</v>
      </c>
      <c r="I61" s="349">
        <v>0</v>
      </c>
      <c r="J61" s="349">
        <v>0</v>
      </c>
      <c r="K61" s="349">
        <v>0</v>
      </c>
      <c r="L61" s="349">
        <v>0</v>
      </c>
      <c r="M61" s="349">
        <v>0</v>
      </c>
      <c r="N61" s="349">
        <v>0</v>
      </c>
      <c r="O61" s="349">
        <v>0</v>
      </c>
      <c r="P61" s="349">
        <v>0</v>
      </c>
      <c r="Q61" s="1322" t="str">
        <f t="shared" si="2"/>
        <v>Maize (Zea mays) - whole grain</v>
      </c>
      <c r="R61" s="1325">
        <v>0</v>
      </c>
      <c r="S61" s="349">
        <v>0</v>
      </c>
      <c r="T61" s="349">
        <v>0</v>
      </c>
      <c r="U61" s="349">
        <v>0</v>
      </c>
      <c r="V61" s="349">
        <v>0</v>
      </c>
      <c r="W61" s="349">
        <v>0</v>
      </c>
      <c r="X61" s="349">
        <v>0</v>
      </c>
      <c r="Y61" s="349">
        <v>0</v>
      </c>
      <c r="Z61" s="349">
        <v>0</v>
      </c>
      <c r="AA61" s="349">
        <v>0</v>
      </c>
      <c r="AB61" s="349">
        <v>0</v>
      </c>
      <c r="AC61" s="349">
        <v>0</v>
      </c>
      <c r="AD61" s="349">
        <v>0</v>
      </c>
      <c r="AE61" s="1326">
        <v>0</v>
      </c>
    </row>
    <row r="62" spans="1:37" ht="34.5" customHeight="1">
      <c r="B62" s="983" t="s">
        <v>1618</v>
      </c>
      <c r="C62" s="349">
        <v>0.37</v>
      </c>
      <c r="D62" s="349">
        <v>0.37</v>
      </c>
      <c r="E62" s="349">
        <v>0.37</v>
      </c>
      <c r="F62" s="349">
        <v>0.37</v>
      </c>
      <c r="G62" s="349">
        <v>0.37</v>
      </c>
      <c r="H62" s="349">
        <v>0.37</v>
      </c>
      <c r="I62" s="349">
        <v>0.37</v>
      </c>
      <c r="J62" s="349">
        <v>0.37</v>
      </c>
      <c r="K62" s="349">
        <v>0.37</v>
      </c>
      <c r="L62" s="349">
        <v>0.37</v>
      </c>
      <c r="M62" s="349">
        <v>0.37</v>
      </c>
      <c r="N62" s="349">
        <v>0.37</v>
      </c>
      <c r="O62" s="349">
        <v>0.37</v>
      </c>
      <c r="P62" s="349">
        <v>0.37</v>
      </c>
      <c r="Q62" s="1322" t="str">
        <f t="shared" si="2"/>
        <v>Brachiaria brizantha (forage)</v>
      </c>
      <c r="R62" s="1325">
        <v>0.37</v>
      </c>
      <c r="S62" s="349">
        <v>0.37</v>
      </c>
      <c r="T62" s="349">
        <v>0.37</v>
      </c>
      <c r="U62" s="349">
        <v>0.37</v>
      </c>
      <c r="V62" s="349">
        <v>0.37</v>
      </c>
      <c r="W62" s="349">
        <v>0.37</v>
      </c>
      <c r="X62" s="349">
        <v>0.37</v>
      </c>
      <c r="Y62" s="349">
        <v>0.37</v>
      </c>
      <c r="Z62" s="349">
        <v>0.37</v>
      </c>
      <c r="AA62" s="349">
        <v>0.37</v>
      </c>
      <c r="AB62" s="349">
        <v>0.37</v>
      </c>
      <c r="AC62" s="349">
        <v>0.37</v>
      </c>
      <c r="AD62" s="349">
        <v>0.37</v>
      </c>
      <c r="AE62" s="1326">
        <v>0.37</v>
      </c>
    </row>
    <row r="63" spans="1:37" ht="34.5" customHeight="1">
      <c r="B63" s="983" t="s">
        <v>1623</v>
      </c>
      <c r="C63" s="349">
        <v>0</v>
      </c>
      <c r="D63" s="349">
        <v>0</v>
      </c>
      <c r="E63" s="349">
        <v>0</v>
      </c>
      <c r="F63" s="349">
        <v>0</v>
      </c>
      <c r="G63" s="349">
        <v>0</v>
      </c>
      <c r="H63" s="349">
        <v>0</v>
      </c>
      <c r="I63" s="349">
        <v>0</v>
      </c>
      <c r="J63" s="349">
        <v>0</v>
      </c>
      <c r="K63" s="349">
        <v>0</v>
      </c>
      <c r="L63" s="349">
        <v>0</v>
      </c>
      <c r="M63" s="349">
        <v>0</v>
      </c>
      <c r="N63" s="349">
        <v>0</v>
      </c>
      <c r="O63" s="349">
        <v>0</v>
      </c>
      <c r="P63" s="349">
        <v>0</v>
      </c>
      <c r="Q63" s="1322" t="str">
        <f t="shared" si="2"/>
        <v>Concentrate (commercial)</v>
      </c>
      <c r="R63" s="1325">
        <v>0</v>
      </c>
      <c r="S63" s="349">
        <v>0</v>
      </c>
      <c r="T63" s="349">
        <v>0</v>
      </c>
      <c r="U63" s="349">
        <v>0</v>
      </c>
      <c r="V63" s="349">
        <v>0</v>
      </c>
      <c r="W63" s="349">
        <v>0</v>
      </c>
      <c r="X63" s="349">
        <v>0</v>
      </c>
      <c r="Y63" s="349">
        <v>0</v>
      </c>
      <c r="Z63" s="349">
        <v>0</v>
      </c>
      <c r="AA63" s="349">
        <v>0</v>
      </c>
      <c r="AB63" s="349">
        <v>0</v>
      </c>
      <c r="AC63" s="349">
        <v>0</v>
      </c>
      <c r="AD63" s="349">
        <v>0</v>
      </c>
      <c r="AE63" s="1326">
        <v>0</v>
      </c>
    </row>
    <row r="64" spans="1:37" ht="34.5" customHeight="1">
      <c r="B64" s="983" t="s">
        <v>1638</v>
      </c>
      <c r="C64" s="349">
        <v>0.1</v>
      </c>
      <c r="D64" s="349">
        <v>0.1</v>
      </c>
      <c r="E64" s="349">
        <v>0.1</v>
      </c>
      <c r="F64" s="349">
        <v>0.1</v>
      </c>
      <c r="G64" s="349">
        <v>0.1</v>
      </c>
      <c r="H64" s="349">
        <v>0.1</v>
      </c>
      <c r="I64" s="349">
        <v>0.1</v>
      </c>
      <c r="J64" s="349">
        <v>0.1</v>
      </c>
      <c r="K64" s="349">
        <v>0.1</v>
      </c>
      <c r="L64" s="349">
        <v>0.1</v>
      </c>
      <c r="M64" s="349">
        <v>0.1</v>
      </c>
      <c r="N64" s="349">
        <v>0.1</v>
      </c>
      <c r="O64" s="349">
        <v>0.1</v>
      </c>
      <c r="P64" s="349">
        <v>0.1</v>
      </c>
      <c r="Q64" s="1322" t="str">
        <f t="shared" si="2"/>
        <v>Rice (Oryza sativa) - straw</v>
      </c>
      <c r="R64" s="1325">
        <v>0.1</v>
      </c>
      <c r="S64" s="349">
        <v>0.1</v>
      </c>
      <c r="T64" s="349">
        <v>0.1</v>
      </c>
      <c r="U64" s="349">
        <v>0.1</v>
      </c>
      <c r="V64" s="349">
        <v>0.1</v>
      </c>
      <c r="W64" s="349">
        <v>0.1</v>
      </c>
      <c r="X64" s="349">
        <v>0.1</v>
      </c>
      <c r="Y64" s="349">
        <v>0.1</v>
      </c>
      <c r="Z64" s="349">
        <v>0.1</v>
      </c>
      <c r="AA64" s="349">
        <v>0.1</v>
      </c>
      <c r="AB64" s="349">
        <v>0.1</v>
      </c>
      <c r="AC64" s="349">
        <v>0.1</v>
      </c>
      <c r="AD64" s="349">
        <v>0.1</v>
      </c>
      <c r="AE64" s="1326">
        <v>0.1</v>
      </c>
    </row>
    <row r="65" spans="1:165" ht="34.5" customHeight="1">
      <c r="B65" s="983" t="s">
        <v>1512</v>
      </c>
      <c r="C65" s="349">
        <v>0.15</v>
      </c>
      <c r="D65" s="349">
        <v>0.15</v>
      </c>
      <c r="E65" s="349">
        <v>0.15</v>
      </c>
      <c r="F65" s="349">
        <v>0.15</v>
      </c>
      <c r="G65" s="349">
        <v>0.15</v>
      </c>
      <c r="H65" s="349">
        <v>0.15</v>
      </c>
      <c r="I65" s="349">
        <v>0.15</v>
      </c>
      <c r="J65" s="349">
        <v>0.15</v>
      </c>
      <c r="K65" s="349">
        <v>0.15</v>
      </c>
      <c r="L65" s="349">
        <v>0.15</v>
      </c>
      <c r="M65" s="349">
        <v>0.15</v>
      </c>
      <c r="N65" s="349">
        <v>0.15</v>
      </c>
      <c r="O65" s="349">
        <v>0.15</v>
      </c>
      <c r="P65" s="349">
        <v>0.15</v>
      </c>
      <c r="Q65" s="1322" t="str">
        <f t="shared" si="2"/>
        <v>Naturally occuring pasture - grazing</v>
      </c>
      <c r="R65" s="1325">
        <v>0.15</v>
      </c>
      <c r="S65" s="349">
        <v>0.15</v>
      </c>
      <c r="T65" s="349">
        <v>0.15</v>
      </c>
      <c r="U65" s="349">
        <v>0.15</v>
      </c>
      <c r="V65" s="349">
        <v>0.15</v>
      </c>
      <c r="W65" s="349">
        <v>0.15</v>
      </c>
      <c r="X65" s="349">
        <v>0.15</v>
      </c>
      <c r="Y65" s="349">
        <v>0.15</v>
      </c>
      <c r="Z65" s="349">
        <v>0.15</v>
      </c>
      <c r="AA65" s="349">
        <v>0.15</v>
      </c>
      <c r="AB65" s="349">
        <v>0.15</v>
      </c>
      <c r="AC65" s="349">
        <v>0.15</v>
      </c>
      <c r="AD65" s="349">
        <v>0.15</v>
      </c>
      <c r="AE65" s="1326">
        <v>0.15</v>
      </c>
    </row>
    <row r="66" spans="1:165" ht="34.5" customHeight="1" thickBot="1">
      <c r="B66" s="983" t="s">
        <v>1724</v>
      </c>
      <c r="C66" s="982">
        <v>0.33</v>
      </c>
      <c r="D66" s="982">
        <v>0.33</v>
      </c>
      <c r="E66" s="982">
        <v>0.33</v>
      </c>
      <c r="F66" s="982">
        <v>0.33</v>
      </c>
      <c r="G66" s="982">
        <v>0.33</v>
      </c>
      <c r="H66" s="982">
        <v>0.33</v>
      </c>
      <c r="I66" s="982">
        <v>0.33</v>
      </c>
      <c r="J66" s="982">
        <v>0.33</v>
      </c>
      <c r="K66" s="982">
        <v>0.33</v>
      </c>
      <c r="L66" s="982">
        <v>0.33</v>
      </c>
      <c r="M66" s="982">
        <v>0.33</v>
      </c>
      <c r="N66" s="982">
        <v>0.33</v>
      </c>
      <c r="O66" s="982">
        <v>0.33</v>
      </c>
      <c r="P66" s="982">
        <v>0.33</v>
      </c>
      <c r="Q66" s="1322" t="str">
        <f t="shared" si="2"/>
        <v>Pennisetum purpureum - forage</v>
      </c>
      <c r="R66" s="1327">
        <v>0.33</v>
      </c>
      <c r="S66" s="982">
        <v>0.33</v>
      </c>
      <c r="T66" s="982">
        <v>0.33</v>
      </c>
      <c r="U66" s="982">
        <v>0.33</v>
      </c>
      <c r="V66" s="982">
        <v>0.33</v>
      </c>
      <c r="W66" s="982">
        <v>0.33</v>
      </c>
      <c r="X66" s="982">
        <v>0.33</v>
      </c>
      <c r="Y66" s="982">
        <v>0.33</v>
      </c>
      <c r="Z66" s="982">
        <v>0.33</v>
      </c>
      <c r="AA66" s="982">
        <v>0.33</v>
      </c>
      <c r="AB66" s="982">
        <v>0.33</v>
      </c>
      <c r="AC66" s="982">
        <v>0.33</v>
      </c>
      <c r="AD66" s="982">
        <v>0.33</v>
      </c>
      <c r="AE66" s="1328">
        <v>0.33</v>
      </c>
      <c r="AI66" s="953"/>
      <c r="AJ66" s="953"/>
      <c r="AK66" s="953"/>
      <c r="AL66" s="953"/>
      <c r="AM66" s="953"/>
      <c r="AN66" s="953"/>
      <c r="AO66" s="953"/>
    </row>
    <row r="67" spans="1:165">
      <c r="B67" s="411"/>
      <c r="C67" s="970">
        <f>SUM(C60:C66)</f>
        <v>1</v>
      </c>
      <c r="D67" s="970">
        <f t="shared" ref="D67:M67" si="3">SUM(D60:D66)</f>
        <v>1</v>
      </c>
      <c r="E67" s="970">
        <f t="shared" si="3"/>
        <v>1</v>
      </c>
      <c r="F67" s="970">
        <f t="shared" si="3"/>
        <v>1</v>
      </c>
      <c r="G67" s="970">
        <f t="shared" si="3"/>
        <v>1</v>
      </c>
      <c r="H67" s="970">
        <f t="shared" si="3"/>
        <v>1</v>
      </c>
      <c r="I67" s="970">
        <f t="shared" si="3"/>
        <v>1</v>
      </c>
      <c r="J67" s="970">
        <f t="shared" si="3"/>
        <v>1</v>
      </c>
      <c r="K67" s="970">
        <f t="shared" si="3"/>
        <v>1</v>
      </c>
      <c r="L67" s="970">
        <f t="shared" si="3"/>
        <v>1</v>
      </c>
      <c r="M67" s="970">
        <f t="shared" si="3"/>
        <v>1</v>
      </c>
      <c r="N67" s="970">
        <f t="shared" ref="N67:AE67" si="4">SUM(N60:N66)</f>
        <v>1</v>
      </c>
      <c r="O67" s="970">
        <f t="shared" si="4"/>
        <v>1</v>
      </c>
      <c r="P67" s="970">
        <f t="shared" si="4"/>
        <v>1</v>
      </c>
      <c r="Q67" s="970"/>
      <c r="R67" s="970">
        <f t="shared" si="4"/>
        <v>1</v>
      </c>
      <c r="S67" s="970">
        <f t="shared" si="4"/>
        <v>1</v>
      </c>
      <c r="T67" s="970">
        <f t="shared" si="4"/>
        <v>1</v>
      </c>
      <c r="U67" s="970">
        <f t="shared" si="4"/>
        <v>1</v>
      </c>
      <c r="V67" s="970">
        <f t="shared" si="4"/>
        <v>1</v>
      </c>
      <c r="W67" s="970">
        <f t="shared" si="4"/>
        <v>1</v>
      </c>
      <c r="X67" s="970">
        <f t="shared" si="4"/>
        <v>1</v>
      </c>
      <c r="Y67" s="970">
        <f t="shared" si="4"/>
        <v>1</v>
      </c>
      <c r="Z67" s="970">
        <f t="shared" si="4"/>
        <v>1</v>
      </c>
      <c r="AA67" s="970">
        <f t="shared" si="4"/>
        <v>1</v>
      </c>
      <c r="AB67" s="970">
        <f t="shared" si="4"/>
        <v>1</v>
      </c>
      <c r="AC67" s="970">
        <f t="shared" si="4"/>
        <v>1</v>
      </c>
      <c r="AD67" s="970">
        <f t="shared" si="4"/>
        <v>1</v>
      </c>
      <c r="AE67" s="970">
        <f t="shared" si="4"/>
        <v>1</v>
      </c>
    </row>
    <row r="68" spans="1:165">
      <c r="B68" s="411"/>
      <c r="C68" s="411"/>
      <c r="L68" s="12"/>
      <c r="M68" s="12"/>
      <c r="N68" s="12"/>
      <c r="Q68" s="413"/>
      <c r="T68" s="436"/>
      <c r="U68" s="436"/>
      <c r="V68" s="1046"/>
      <c r="W68" s="1046"/>
      <c r="X68" s="1046"/>
      <c r="Y68" s="436"/>
      <c r="Z68" s="436"/>
      <c r="AA68" s="703"/>
      <c r="AB68" s="952"/>
      <c r="AP68" s="413"/>
    </row>
    <row r="69" spans="1:165">
      <c r="B69" s="414" t="s">
        <v>1109</v>
      </c>
      <c r="C69" s="410"/>
      <c r="D69" s="410"/>
      <c r="E69" s="410"/>
      <c r="F69" s="410"/>
      <c r="G69" s="410"/>
      <c r="H69" s="410"/>
      <c r="I69" s="410"/>
      <c r="J69" s="414"/>
      <c r="K69" s="410"/>
      <c r="L69" s="410"/>
      <c r="M69" s="434"/>
      <c r="N69" s="434"/>
      <c r="O69" s="434"/>
      <c r="P69" s="434"/>
      <c r="Q69" s="434"/>
      <c r="R69" s="434"/>
      <c r="S69" s="434"/>
      <c r="T69" s="436"/>
      <c r="U69" s="436"/>
      <c r="V69" s="436"/>
      <c r="W69" s="436"/>
      <c r="X69" s="436"/>
      <c r="Y69" s="436"/>
      <c r="Z69" s="436"/>
      <c r="AA69" s="703"/>
      <c r="AB69" s="952"/>
      <c r="AC69" s="413"/>
      <c r="AP69" s="413"/>
      <c r="BC69" s="413"/>
    </row>
    <row r="70" spans="1:165">
      <c r="B70" s="117"/>
      <c r="C70" s="411"/>
      <c r="E70" s="296"/>
      <c r="T70" s="436"/>
      <c r="U70" s="436"/>
      <c r="V70" s="436"/>
      <c r="W70" s="436"/>
      <c r="X70" s="436"/>
      <c r="Y70" s="436"/>
      <c r="Z70" s="436"/>
      <c r="AA70" s="703"/>
      <c r="AB70" s="952"/>
      <c r="AP70" s="413"/>
    </row>
    <row r="71" spans="1:165" ht="16.5" thickBot="1">
      <c r="C71" s="411"/>
      <c r="E71" s="296"/>
      <c r="J71" s="434"/>
      <c r="K71" s="434"/>
      <c r="L71" s="434"/>
      <c r="M71" s="434"/>
      <c r="N71" s="434"/>
      <c r="O71" s="434"/>
      <c r="P71" s="434"/>
      <c r="Q71" s="434"/>
      <c r="R71" s="434"/>
      <c r="S71" s="434"/>
      <c r="T71" s="436"/>
      <c r="U71" s="436"/>
      <c r="V71" s="703"/>
      <c r="W71" s="703"/>
      <c r="X71" s="436"/>
      <c r="Y71" s="436"/>
      <c r="Z71" s="703"/>
      <c r="AA71" s="703"/>
      <c r="AB71" s="413"/>
      <c r="AO71" s="413"/>
    </row>
    <row r="72" spans="1:165" ht="31.5">
      <c r="B72" s="1399" t="s">
        <v>1601</v>
      </c>
      <c r="C72" s="421" t="s">
        <v>1088</v>
      </c>
      <c r="D72" s="435" t="s">
        <v>1089</v>
      </c>
      <c r="E72" s="435" t="s">
        <v>625</v>
      </c>
      <c r="F72" s="435" t="s">
        <v>1290</v>
      </c>
      <c r="G72" s="435" t="s">
        <v>1208</v>
      </c>
      <c r="H72" s="1298"/>
      <c r="I72" s="1291" t="s">
        <v>860</v>
      </c>
      <c r="J72" s="1312" t="s">
        <v>829</v>
      </c>
      <c r="K72" s="1294" t="s">
        <v>980</v>
      </c>
      <c r="L72" s="1315" t="s">
        <v>1741</v>
      </c>
      <c r="M72" s="436"/>
      <c r="N72" s="436"/>
      <c r="O72" s="436"/>
      <c r="P72" s="436"/>
      <c r="Q72" s="436"/>
      <c r="R72" s="436"/>
      <c r="S72" s="436"/>
      <c r="T72" s="436"/>
      <c r="U72" s="703"/>
      <c r="V72" s="703"/>
      <c r="W72" s="703"/>
      <c r="X72" s="703"/>
      <c r="Y72" s="436"/>
      <c r="Z72" s="703"/>
      <c r="AA72" s="703"/>
      <c r="AO72" s="413"/>
    </row>
    <row r="73" spans="1:165" s="442" customFormat="1" ht="15.75" customHeight="1">
      <c r="A73" s="439"/>
      <c r="B73" s="1400"/>
      <c r="C73" s="958" t="str">
        <f t="shared" ref="C73:C79" si="5">B60</f>
        <v>Rice (Oryza sativa) - bran (with germs)</v>
      </c>
      <c r="D73" s="593" t="str">
        <f>VLOOKUP(C73,FEED_P[],9,FALSE)</f>
        <v>Purchased</v>
      </c>
      <c r="E73" s="704" t="s">
        <v>1096</v>
      </c>
      <c r="F73" s="348">
        <v>0</v>
      </c>
      <c r="G73" s="704">
        <v>0</v>
      </c>
      <c r="H73" s="1072"/>
      <c r="I73" s="705" t="s">
        <v>868</v>
      </c>
      <c r="J73" s="1313" t="s">
        <v>971</v>
      </c>
      <c r="K73" s="706">
        <v>15</v>
      </c>
      <c r="L73" s="1215" t="s">
        <v>736</v>
      </c>
      <c r="M73" s="436"/>
      <c r="N73" s="436"/>
      <c r="O73" s="436"/>
      <c r="P73" s="436"/>
      <c r="Q73" s="436"/>
      <c r="R73" s="436"/>
      <c r="S73" s="436"/>
      <c r="T73" s="436"/>
      <c r="U73" s="703"/>
      <c r="V73" s="703"/>
      <c r="W73" s="703"/>
      <c r="X73" s="703"/>
      <c r="Y73" s="703"/>
      <c r="Z73" s="703"/>
      <c r="AA73" s="411"/>
      <c r="AB73" s="411"/>
      <c r="AC73" s="411"/>
      <c r="AD73" s="411"/>
      <c r="AE73" s="411"/>
      <c r="AF73" s="411"/>
      <c r="AG73" s="411"/>
      <c r="AH73" s="411"/>
      <c r="AI73" s="411"/>
      <c r="AJ73" s="411"/>
      <c r="AK73" s="411"/>
      <c r="AL73" s="411"/>
      <c r="AM73" s="411"/>
      <c r="AN73" s="411"/>
      <c r="AO73" s="413"/>
      <c r="AP73" s="411"/>
      <c r="AQ73" s="411"/>
      <c r="AR73" s="411"/>
      <c r="AS73" s="411"/>
      <c r="AT73" s="411"/>
      <c r="AU73" s="411"/>
      <c r="AV73" s="411"/>
      <c r="AW73" s="411"/>
      <c r="AX73" s="411"/>
      <c r="AY73" s="411"/>
      <c r="AZ73" s="411"/>
      <c r="BA73" s="411"/>
      <c r="BB73" s="411"/>
      <c r="BC73" s="411"/>
      <c r="BD73" s="411"/>
      <c r="BE73" s="411"/>
      <c r="BF73" s="411"/>
      <c r="BG73" s="411"/>
      <c r="BH73" s="411"/>
      <c r="BI73" s="411"/>
      <c r="BJ73" s="411"/>
      <c r="BK73" s="411"/>
      <c r="BL73" s="411"/>
      <c r="BM73" s="411"/>
      <c r="BN73" s="411"/>
      <c r="BO73" s="411"/>
      <c r="BP73" s="411"/>
      <c r="BQ73" s="411"/>
      <c r="BR73" s="411"/>
      <c r="BS73" s="411"/>
      <c r="BT73" s="411"/>
      <c r="BU73" s="411"/>
      <c r="BV73" s="411"/>
      <c r="BW73" s="411"/>
      <c r="BX73" s="411"/>
      <c r="BY73" s="411"/>
      <c r="BZ73" s="411"/>
      <c r="CA73" s="411"/>
      <c r="CB73" s="411"/>
      <c r="CC73" s="411"/>
      <c r="CD73" s="411"/>
      <c r="CE73" s="411"/>
      <c r="CF73" s="411"/>
      <c r="CG73" s="411"/>
      <c r="CH73" s="411"/>
      <c r="CI73" s="411"/>
      <c r="CJ73" s="411"/>
      <c r="CK73" s="411"/>
      <c r="CL73" s="411"/>
      <c r="CM73" s="411"/>
      <c r="CN73" s="411"/>
      <c r="CO73" s="411"/>
      <c r="CP73" s="411"/>
      <c r="CQ73" s="411"/>
      <c r="CR73" s="411"/>
      <c r="CS73" s="411"/>
      <c r="CT73" s="411"/>
      <c r="CU73" s="411"/>
      <c r="CV73" s="411"/>
      <c r="CW73" s="411"/>
      <c r="CX73" s="411"/>
      <c r="CY73" s="411"/>
      <c r="CZ73" s="411"/>
      <c r="DA73" s="411"/>
      <c r="DB73" s="411"/>
      <c r="DC73" s="411"/>
      <c r="DD73" s="411"/>
      <c r="DE73" s="411"/>
      <c r="DF73" s="411"/>
      <c r="DG73" s="411"/>
      <c r="DH73" s="411"/>
      <c r="DI73" s="411"/>
      <c r="DJ73" s="411"/>
      <c r="DK73" s="411"/>
      <c r="DL73" s="411"/>
      <c r="DM73" s="411"/>
      <c r="DN73" s="411"/>
      <c r="DO73" s="411"/>
      <c r="DP73" s="411"/>
      <c r="DQ73" s="411"/>
      <c r="DR73" s="411"/>
      <c r="DS73" s="411"/>
      <c r="DT73" s="411"/>
      <c r="DU73" s="411"/>
      <c r="DV73" s="411"/>
      <c r="DW73" s="411"/>
      <c r="DX73" s="411"/>
      <c r="DY73" s="411"/>
      <c r="DZ73" s="411"/>
      <c r="EA73" s="411"/>
      <c r="EB73" s="411"/>
      <c r="EC73" s="411"/>
      <c r="ED73" s="411"/>
      <c r="EE73" s="411"/>
      <c r="EF73" s="411"/>
      <c r="EG73" s="411"/>
      <c r="EH73" s="411"/>
      <c r="EI73" s="411"/>
      <c r="EJ73" s="411"/>
      <c r="EK73" s="411"/>
      <c r="EL73" s="411"/>
      <c r="EM73" s="411"/>
      <c r="EN73" s="411"/>
      <c r="EO73" s="411"/>
      <c r="EP73" s="411"/>
      <c r="EQ73" s="411"/>
      <c r="ER73" s="411"/>
      <c r="ES73" s="411"/>
      <c r="ET73" s="411"/>
      <c r="EU73" s="411"/>
      <c r="EV73" s="411"/>
      <c r="EW73" s="411"/>
      <c r="EX73" s="411"/>
      <c r="EY73" s="411"/>
      <c r="EZ73" s="411"/>
      <c r="FA73" s="411"/>
      <c r="FB73" s="411"/>
      <c r="FC73" s="411"/>
      <c r="FD73" s="411"/>
      <c r="FE73" s="411"/>
      <c r="FF73" s="411"/>
      <c r="FG73" s="411"/>
      <c r="FH73" s="411"/>
      <c r="FI73" s="411"/>
    </row>
    <row r="74" spans="1:165" s="442" customFormat="1" ht="15.75" customHeight="1">
      <c r="A74" s="698"/>
      <c r="B74" s="1400"/>
      <c r="C74" s="958" t="str">
        <f t="shared" si="5"/>
        <v>Maize (Zea mays) - whole grain</v>
      </c>
      <c r="D74" s="593" t="str">
        <f>VLOOKUP(C74,FEED_P[],9,FALSE)</f>
        <v>Maize</v>
      </c>
      <c r="E74" s="704" t="s">
        <v>1112</v>
      </c>
      <c r="F74" s="348">
        <v>0</v>
      </c>
      <c r="G74" s="704">
        <v>0</v>
      </c>
      <c r="H74" s="1072"/>
      <c r="I74" s="705" t="s">
        <v>882</v>
      </c>
      <c r="J74" s="1313" t="s">
        <v>971</v>
      </c>
      <c r="K74" s="706">
        <v>15</v>
      </c>
      <c r="L74" s="1215" t="s">
        <v>736</v>
      </c>
      <c r="M74" s="436"/>
      <c r="N74" s="436"/>
      <c r="O74" s="436"/>
      <c r="P74" s="436"/>
      <c r="Q74" s="436"/>
      <c r="R74" s="436"/>
      <c r="S74" s="436"/>
      <c r="T74" s="703"/>
      <c r="U74" s="703"/>
      <c r="V74" s="703"/>
      <c r="W74" s="703"/>
      <c r="X74" s="703"/>
      <c r="Y74" s="703"/>
      <c r="Z74" s="703"/>
      <c r="AA74" s="446"/>
      <c r="AB74" s="411"/>
      <c r="AC74" s="411"/>
      <c r="AD74" s="411"/>
      <c r="AE74" s="411"/>
      <c r="AF74" s="411"/>
      <c r="AG74" s="411"/>
      <c r="AH74" s="411"/>
      <c r="AI74" s="411"/>
      <c r="AJ74" s="411"/>
      <c r="AK74" s="411"/>
      <c r="AL74" s="411"/>
      <c r="AM74" s="411"/>
      <c r="AN74" s="411"/>
      <c r="AO74" s="413"/>
      <c r="AP74" s="411"/>
      <c r="AQ74" s="411"/>
      <c r="AR74" s="411"/>
      <c r="AS74" s="411"/>
      <c r="AT74" s="411"/>
      <c r="AU74" s="411"/>
      <c r="AV74" s="411"/>
      <c r="AW74" s="411"/>
      <c r="AX74" s="411"/>
      <c r="AY74" s="411"/>
      <c r="AZ74" s="411"/>
      <c r="BA74" s="411"/>
      <c r="BB74" s="411"/>
      <c r="BC74" s="411"/>
      <c r="BD74" s="411"/>
      <c r="BE74" s="411"/>
      <c r="BF74" s="411"/>
      <c r="BG74" s="411"/>
      <c r="BH74" s="411"/>
      <c r="BI74" s="411"/>
      <c r="BJ74" s="411"/>
      <c r="BK74" s="411"/>
      <c r="BL74" s="411"/>
      <c r="BM74" s="411"/>
      <c r="BN74" s="411"/>
      <c r="BO74" s="411"/>
      <c r="BP74" s="411"/>
      <c r="BQ74" s="411"/>
      <c r="BR74" s="411"/>
      <c r="BS74" s="411"/>
      <c r="BT74" s="411"/>
      <c r="BU74" s="411"/>
      <c r="BV74" s="411"/>
      <c r="BW74" s="411"/>
      <c r="BX74" s="411"/>
      <c r="BY74" s="411"/>
      <c r="BZ74" s="411"/>
      <c r="CA74" s="411"/>
      <c r="CB74" s="411"/>
      <c r="CC74" s="411"/>
      <c r="CD74" s="411"/>
      <c r="CE74" s="411"/>
      <c r="CF74" s="411"/>
      <c r="CG74" s="411"/>
      <c r="CH74" s="411"/>
      <c r="CI74" s="411"/>
      <c r="CJ74" s="411"/>
      <c r="CK74" s="411"/>
      <c r="CL74" s="411"/>
      <c r="CM74" s="411"/>
      <c r="CN74" s="411"/>
      <c r="CO74" s="411"/>
      <c r="CP74" s="411"/>
      <c r="CQ74" s="411"/>
      <c r="CR74" s="411"/>
      <c r="CS74" s="411"/>
      <c r="CT74" s="411"/>
      <c r="CU74" s="411"/>
      <c r="CV74" s="411"/>
      <c r="CW74" s="411"/>
      <c r="CX74" s="411"/>
      <c r="CY74" s="411"/>
      <c r="CZ74" s="411"/>
      <c r="DA74" s="411"/>
      <c r="DB74" s="411"/>
      <c r="DC74" s="411"/>
      <c r="DD74" s="411"/>
      <c r="DE74" s="411"/>
      <c r="DF74" s="411"/>
      <c r="DG74" s="411"/>
      <c r="DH74" s="411"/>
      <c r="DI74" s="411"/>
      <c r="DJ74" s="411"/>
      <c r="DK74" s="411"/>
      <c r="DL74" s="411"/>
      <c r="DM74" s="411"/>
      <c r="DN74" s="411"/>
      <c r="DO74" s="411"/>
      <c r="DP74" s="411"/>
      <c r="DQ74" s="411"/>
      <c r="DR74" s="411"/>
      <c r="DS74" s="411"/>
      <c r="DT74" s="411"/>
      <c r="DU74" s="411"/>
      <c r="DV74" s="411"/>
      <c r="DW74" s="411"/>
      <c r="DX74" s="411"/>
      <c r="DY74" s="411"/>
      <c r="DZ74" s="411"/>
      <c r="EA74" s="411"/>
      <c r="EB74" s="411"/>
      <c r="EC74" s="411"/>
      <c r="ED74" s="411"/>
      <c r="EE74" s="411"/>
      <c r="EF74" s="411"/>
      <c r="EG74" s="411"/>
      <c r="EH74" s="411"/>
      <c r="EI74" s="411"/>
      <c r="EJ74" s="411"/>
      <c r="EK74" s="411"/>
      <c r="EL74" s="411"/>
      <c r="EM74" s="411"/>
      <c r="EN74" s="411"/>
      <c r="EO74" s="411"/>
      <c r="EP74" s="411"/>
      <c r="EQ74" s="411"/>
      <c r="ER74" s="411"/>
      <c r="ES74" s="411"/>
      <c r="ET74" s="411"/>
      <c r="EU74" s="411"/>
      <c r="EV74" s="411"/>
      <c r="EW74" s="411"/>
      <c r="EX74" s="411"/>
      <c r="EY74" s="411"/>
      <c r="EZ74" s="411"/>
      <c r="FA74" s="411"/>
      <c r="FB74" s="411"/>
      <c r="FC74" s="411"/>
      <c r="FD74" s="411"/>
      <c r="FE74" s="411"/>
      <c r="FF74" s="411"/>
      <c r="FG74" s="411"/>
      <c r="FH74" s="411"/>
      <c r="FI74" s="411"/>
    </row>
    <row r="75" spans="1:165" s="442" customFormat="1" ht="15.75" customHeight="1">
      <c r="A75" s="698"/>
      <c r="B75" s="1400"/>
      <c r="C75" s="958" t="str">
        <f t="shared" si="5"/>
        <v>Brachiaria brizantha (forage)</v>
      </c>
      <c r="D75" s="593" t="str">
        <f>VLOOKUP(C75,FEED_P[],9,FALSE)</f>
        <v xml:space="preserve">Brachiaria brizantha </v>
      </c>
      <c r="E75" s="704" t="s">
        <v>1095</v>
      </c>
      <c r="F75" s="348">
        <v>0</v>
      </c>
      <c r="G75" s="704">
        <v>0</v>
      </c>
      <c r="H75" s="1072"/>
      <c r="I75" s="705" t="s">
        <v>882</v>
      </c>
      <c r="J75" s="1313" t="s">
        <v>971</v>
      </c>
      <c r="K75" s="706">
        <v>15</v>
      </c>
      <c r="L75" s="1215" t="s">
        <v>735</v>
      </c>
      <c r="M75" s="436"/>
      <c r="N75" s="436"/>
      <c r="O75" s="436"/>
      <c r="P75" s="436"/>
      <c r="Q75" s="436"/>
      <c r="R75" s="436"/>
      <c r="S75" s="436"/>
      <c r="T75" s="703"/>
      <c r="U75" s="703"/>
      <c r="V75" s="703"/>
      <c r="W75" s="703"/>
      <c r="X75" s="703"/>
      <c r="Y75" s="703"/>
      <c r="Z75" s="703"/>
      <c r="AA75" s="434"/>
      <c r="AB75" s="411"/>
      <c r="AC75" s="411"/>
      <c r="AD75" s="411"/>
      <c r="AE75" s="411"/>
      <c r="AF75" s="411"/>
      <c r="AG75" s="411"/>
      <c r="AH75" s="411"/>
      <c r="AI75" s="413"/>
      <c r="AJ75" s="411"/>
      <c r="AK75" s="411"/>
      <c r="AL75" s="411"/>
      <c r="AM75" s="411"/>
      <c r="AN75" s="411"/>
      <c r="AO75" s="413"/>
      <c r="AP75" s="411"/>
      <c r="AQ75" s="411"/>
      <c r="AR75" s="411"/>
      <c r="AS75" s="411"/>
      <c r="AT75" s="411"/>
      <c r="AU75" s="411"/>
      <c r="AV75" s="411"/>
      <c r="AW75" s="411"/>
      <c r="AX75" s="411"/>
      <c r="AY75" s="411"/>
      <c r="AZ75" s="411"/>
      <c r="BA75" s="411"/>
      <c r="BB75" s="411"/>
      <c r="BC75" s="411"/>
      <c r="BD75" s="411"/>
      <c r="BE75" s="411"/>
      <c r="BF75" s="411"/>
      <c r="BG75" s="411"/>
      <c r="BH75" s="411"/>
      <c r="BI75" s="411"/>
      <c r="BJ75" s="411"/>
      <c r="BK75" s="411"/>
      <c r="BL75" s="411"/>
      <c r="BM75" s="411"/>
      <c r="BN75" s="411"/>
      <c r="BO75" s="411"/>
      <c r="BP75" s="411"/>
      <c r="BQ75" s="411"/>
      <c r="BR75" s="411"/>
      <c r="BS75" s="411"/>
      <c r="BT75" s="411"/>
      <c r="BU75" s="411"/>
      <c r="BV75" s="411"/>
      <c r="BW75" s="411"/>
      <c r="BX75" s="411"/>
      <c r="BY75" s="411"/>
      <c r="BZ75" s="411"/>
      <c r="CA75" s="411"/>
      <c r="CB75" s="411"/>
      <c r="CC75" s="411"/>
      <c r="CD75" s="411"/>
      <c r="CE75" s="411"/>
      <c r="CF75" s="411"/>
      <c r="CG75" s="411"/>
      <c r="CH75" s="411"/>
      <c r="CI75" s="411"/>
      <c r="CJ75" s="411"/>
      <c r="CK75" s="411"/>
      <c r="CL75" s="411"/>
      <c r="CM75" s="411"/>
      <c r="CN75" s="411"/>
      <c r="CO75" s="411"/>
      <c r="CP75" s="411"/>
      <c r="CQ75" s="411"/>
      <c r="CR75" s="411"/>
      <c r="CS75" s="411"/>
      <c r="CT75" s="411"/>
      <c r="CU75" s="411"/>
      <c r="CV75" s="411"/>
      <c r="CW75" s="411"/>
      <c r="CX75" s="411"/>
      <c r="CY75" s="411"/>
      <c r="CZ75" s="411"/>
      <c r="DA75" s="411"/>
      <c r="DB75" s="411"/>
      <c r="DC75" s="411"/>
      <c r="DD75" s="411"/>
      <c r="DE75" s="411"/>
      <c r="DF75" s="411"/>
      <c r="DG75" s="411"/>
      <c r="DH75" s="411"/>
      <c r="DI75" s="411"/>
      <c r="DJ75" s="411"/>
      <c r="DK75" s="411"/>
      <c r="DL75" s="411"/>
      <c r="DM75" s="411"/>
      <c r="DN75" s="411"/>
      <c r="DO75" s="411"/>
      <c r="DP75" s="411"/>
      <c r="DQ75" s="411"/>
      <c r="DR75" s="411"/>
      <c r="DS75" s="411"/>
      <c r="DT75" s="411"/>
      <c r="DU75" s="411"/>
      <c r="DV75" s="411"/>
      <c r="DW75" s="411"/>
      <c r="DX75" s="411"/>
      <c r="DY75" s="411"/>
      <c r="DZ75" s="411"/>
      <c r="EA75" s="411"/>
      <c r="EB75" s="411"/>
      <c r="EC75" s="411"/>
      <c r="ED75" s="411"/>
      <c r="EE75" s="411"/>
      <c r="EF75" s="411"/>
      <c r="EG75" s="411"/>
      <c r="EH75" s="411"/>
      <c r="EI75" s="411"/>
      <c r="EJ75" s="411"/>
      <c r="EK75" s="411"/>
      <c r="EL75" s="411"/>
      <c r="EM75" s="411"/>
      <c r="EN75" s="411"/>
      <c r="EO75" s="411"/>
      <c r="EP75" s="411"/>
      <c r="EQ75" s="411"/>
      <c r="ER75" s="411"/>
      <c r="ES75" s="411"/>
      <c r="ET75" s="411"/>
      <c r="EU75" s="411"/>
      <c r="EV75" s="411"/>
      <c r="EW75" s="411"/>
      <c r="EX75" s="411"/>
      <c r="EY75" s="411"/>
      <c r="EZ75" s="411"/>
      <c r="FA75" s="411"/>
      <c r="FB75" s="411"/>
      <c r="FC75" s="411"/>
      <c r="FD75" s="411"/>
      <c r="FE75" s="411"/>
      <c r="FF75" s="411"/>
      <c r="FG75" s="411"/>
      <c r="FH75" s="411"/>
      <c r="FI75" s="411"/>
    </row>
    <row r="76" spans="1:165" s="442" customFormat="1" ht="15.75" customHeight="1">
      <c r="A76" s="698"/>
      <c r="B76" s="1400"/>
      <c r="C76" s="958" t="str">
        <f t="shared" si="5"/>
        <v>Concentrate (commercial)</v>
      </c>
      <c r="D76" s="593" t="str">
        <f>VLOOKUP(C76,FEED_P[],9,FALSE)</f>
        <v>Purchased</v>
      </c>
      <c r="E76" s="704" t="s">
        <v>1112</v>
      </c>
      <c r="F76" s="348">
        <v>0</v>
      </c>
      <c r="G76" s="704">
        <v>0</v>
      </c>
      <c r="H76" s="1072"/>
      <c r="I76" s="705" t="s">
        <v>882</v>
      </c>
      <c r="J76" s="1313" t="s">
        <v>971</v>
      </c>
      <c r="K76" s="706">
        <v>15</v>
      </c>
      <c r="L76" s="1215"/>
      <c r="M76" s="436"/>
      <c r="N76" s="436"/>
      <c r="O76" s="436"/>
      <c r="P76" s="436"/>
      <c r="Q76" s="436"/>
      <c r="R76" s="436"/>
      <c r="S76" s="436"/>
      <c r="T76" s="703"/>
      <c r="U76" s="703"/>
      <c r="V76" s="411"/>
      <c r="W76" s="703"/>
      <c r="X76" s="703"/>
      <c r="Y76" s="703"/>
      <c r="Z76" s="411"/>
      <c r="AA76" s="434"/>
      <c r="AB76" s="411"/>
      <c r="AC76" s="411"/>
      <c r="AD76" s="411"/>
      <c r="AE76" s="411"/>
      <c r="AF76" s="411"/>
      <c r="AG76" s="411"/>
      <c r="AH76" s="411"/>
      <c r="AI76" s="411"/>
      <c r="AJ76" s="411"/>
      <c r="AK76" s="411"/>
      <c r="AL76" s="411"/>
      <c r="AM76" s="411"/>
      <c r="AN76" s="411"/>
      <c r="AO76" s="413"/>
      <c r="AP76" s="411"/>
      <c r="AQ76" s="411"/>
      <c r="AR76" s="411"/>
      <c r="AS76" s="411"/>
      <c r="AT76" s="411"/>
      <c r="AU76" s="411"/>
      <c r="AV76" s="411"/>
      <c r="AW76" s="411"/>
      <c r="AX76" s="411"/>
      <c r="AY76" s="411"/>
      <c r="AZ76" s="411"/>
      <c r="BA76" s="411"/>
      <c r="BB76" s="411"/>
      <c r="BC76" s="411"/>
      <c r="BD76" s="411"/>
      <c r="BE76" s="411"/>
      <c r="BF76" s="411"/>
      <c r="BG76" s="411"/>
      <c r="BH76" s="411"/>
      <c r="BI76" s="411"/>
      <c r="BJ76" s="411"/>
      <c r="BK76" s="411"/>
      <c r="BL76" s="411"/>
      <c r="BM76" s="411"/>
      <c r="BN76" s="411"/>
      <c r="BO76" s="411"/>
      <c r="BP76" s="411"/>
      <c r="BQ76" s="411"/>
      <c r="BR76" s="411"/>
      <c r="BS76" s="411"/>
      <c r="BT76" s="411"/>
      <c r="BU76" s="411"/>
      <c r="BV76" s="411"/>
      <c r="BW76" s="411"/>
      <c r="BX76" s="411"/>
      <c r="BY76" s="411"/>
      <c r="BZ76" s="411"/>
      <c r="CA76" s="411"/>
      <c r="CB76" s="411"/>
      <c r="CC76" s="411"/>
      <c r="CD76" s="411"/>
      <c r="CE76" s="411"/>
      <c r="CF76" s="411"/>
      <c r="CG76" s="411"/>
      <c r="CH76" s="411"/>
      <c r="CI76" s="411"/>
      <c r="CJ76" s="411"/>
      <c r="CK76" s="411"/>
      <c r="CL76" s="411"/>
      <c r="CM76" s="411"/>
      <c r="CN76" s="411"/>
      <c r="CO76" s="411"/>
      <c r="CP76" s="411"/>
      <c r="CQ76" s="411"/>
      <c r="CR76" s="411"/>
      <c r="CS76" s="411"/>
      <c r="CT76" s="411"/>
      <c r="CU76" s="411"/>
      <c r="CV76" s="411"/>
      <c r="CW76" s="411"/>
      <c r="CX76" s="411"/>
      <c r="CY76" s="411"/>
      <c r="CZ76" s="411"/>
      <c r="DA76" s="411"/>
      <c r="DB76" s="411"/>
      <c r="DC76" s="411"/>
      <c r="DD76" s="411"/>
      <c r="DE76" s="411"/>
      <c r="DF76" s="411"/>
      <c r="DG76" s="411"/>
      <c r="DH76" s="411"/>
      <c r="DI76" s="411"/>
      <c r="DJ76" s="411"/>
      <c r="DK76" s="411"/>
      <c r="DL76" s="411"/>
      <c r="DM76" s="411"/>
      <c r="DN76" s="411"/>
      <c r="DO76" s="411"/>
      <c r="DP76" s="411"/>
      <c r="DQ76" s="411"/>
      <c r="DR76" s="411"/>
      <c r="DS76" s="411"/>
      <c r="DT76" s="411"/>
      <c r="DU76" s="411"/>
      <c r="DV76" s="411"/>
      <c r="DW76" s="411"/>
      <c r="DX76" s="411"/>
      <c r="DY76" s="411"/>
      <c r="DZ76" s="411"/>
      <c r="EA76" s="411"/>
      <c r="EB76" s="411"/>
      <c r="EC76" s="411"/>
      <c r="ED76" s="411"/>
      <c r="EE76" s="411"/>
      <c r="EF76" s="411"/>
      <c r="EG76" s="411"/>
      <c r="EH76" s="411"/>
      <c r="EI76" s="411"/>
      <c r="EJ76" s="411"/>
      <c r="EK76" s="411"/>
      <c r="EL76" s="411"/>
      <c r="EM76" s="411"/>
      <c r="EN76" s="411"/>
      <c r="EO76" s="411"/>
      <c r="EP76" s="411"/>
      <c r="EQ76" s="411"/>
      <c r="ER76" s="411"/>
      <c r="ES76" s="411"/>
      <c r="ET76" s="411"/>
      <c r="EU76" s="411"/>
      <c r="EV76" s="411"/>
      <c r="EW76" s="411"/>
      <c r="EX76" s="411"/>
      <c r="EY76" s="411"/>
      <c r="EZ76" s="411"/>
      <c r="FA76" s="411"/>
      <c r="FB76" s="411"/>
      <c r="FC76" s="411"/>
      <c r="FD76" s="411"/>
      <c r="FE76" s="411"/>
      <c r="FF76" s="411"/>
      <c r="FG76" s="411"/>
      <c r="FH76" s="411"/>
      <c r="FI76" s="411"/>
    </row>
    <row r="77" spans="1:165" s="442" customFormat="1" ht="15.75" customHeight="1">
      <c r="A77" s="698"/>
      <c r="B77" s="1400"/>
      <c r="C77" s="958" t="str">
        <f t="shared" si="5"/>
        <v>Rice (Oryza sativa) - straw</v>
      </c>
      <c r="D77" s="593" t="str">
        <f>VLOOKUP(C77,FEED_P[],9,FALSE)</f>
        <v>Rice</v>
      </c>
      <c r="E77" s="704" t="s">
        <v>1096</v>
      </c>
      <c r="F77" s="348">
        <v>0</v>
      </c>
      <c r="G77" s="704">
        <v>0</v>
      </c>
      <c r="H77" s="1072"/>
      <c r="I77" s="705" t="s">
        <v>869</v>
      </c>
      <c r="J77" s="1313" t="s">
        <v>971</v>
      </c>
      <c r="K77" s="706">
        <v>15</v>
      </c>
      <c r="L77" s="1215"/>
      <c r="M77" s="436"/>
      <c r="N77" s="436"/>
      <c r="O77" s="436"/>
      <c r="P77" s="436"/>
      <c r="Q77" s="436"/>
      <c r="R77" s="436"/>
      <c r="S77" s="436"/>
      <c r="T77" s="703"/>
      <c r="U77" s="703"/>
      <c r="V77" s="437"/>
      <c r="W77" s="411"/>
      <c r="X77" s="703"/>
      <c r="Y77" s="703"/>
      <c r="Z77" s="437"/>
      <c r="AA77" s="434"/>
      <c r="AB77" s="411"/>
      <c r="AC77" s="411"/>
      <c r="AD77" s="411"/>
      <c r="AE77" s="411"/>
      <c r="AF77" s="411"/>
      <c r="AG77" s="411"/>
      <c r="AH77" s="411"/>
      <c r="AI77" s="411"/>
      <c r="AJ77" s="411"/>
      <c r="AK77" s="411"/>
      <c r="AL77" s="411"/>
      <c r="AM77" s="411"/>
      <c r="AN77" s="411"/>
      <c r="AO77" s="413"/>
      <c r="AP77" s="411"/>
      <c r="AQ77" s="411"/>
      <c r="AR77" s="411"/>
      <c r="AS77" s="411"/>
      <c r="AT77" s="411"/>
      <c r="AU77" s="411"/>
      <c r="AV77" s="411"/>
      <c r="AW77" s="411"/>
      <c r="AX77" s="411"/>
      <c r="AY77" s="411"/>
      <c r="AZ77" s="411"/>
      <c r="BA77" s="411"/>
      <c r="BB77" s="411"/>
      <c r="BC77" s="411"/>
      <c r="BD77" s="411"/>
      <c r="BE77" s="411"/>
      <c r="BF77" s="411"/>
      <c r="BG77" s="411"/>
      <c r="BH77" s="411"/>
      <c r="BI77" s="411"/>
      <c r="BJ77" s="411"/>
      <c r="BK77" s="411"/>
      <c r="BL77" s="411"/>
      <c r="BM77" s="411"/>
      <c r="BN77" s="411"/>
      <c r="BO77" s="411"/>
      <c r="BP77" s="411"/>
      <c r="BQ77" s="411"/>
      <c r="BR77" s="411"/>
      <c r="BS77" s="411"/>
      <c r="BT77" s="411"/>
      <c r="BU77" s="411"/>
      <c r="BV77" s="411"/>
      <c r="BW77" s="411"/>
      <c r="BX77" s="411"/>
      <c r="BY77" s="411"/>
      <c r="BZ77" s="411"/>
      <c r="CA77" s="411"/>
      <c r="CB77" s="411"/>
      <c r="CC77" s="411"/>
      <c r="CD77" s="411"/>
      <c r="CE77" s="411"/>
      <c r="CF77" s="411"/>
      <c r="CG77" s="411"/>
      <c r="CH77" s="411"/>
      <c r="CI77" s="411"/>
      <c r="CJ77" s="411"/>
      <c r="CK77" s="411"/>
      <c r="CL77" s="411"/>
      <c r="CM77" s="411"/>
      <c r="CN77" s="411"/>
      <c r="CO77" s="411"/>
      <c r="CP77" s="411"/>
      <c r="CQ77" s="411"/>
      <c r="CR77" s="411"/>
      <c r="CS77" s="411"/>
      <c r="CT77" s="411"/>
      <c r="CU77" s="411"/>
      <c r="CV77" s="411"/>
      <c r="CW77" s="411"/>
      <c r="CX77" s="411"/>
      <c r="CY77" s="411"/>
      <c r="CZ77" s="411"/>
      <c r="DA77" s="411"/>
      <c r="DB77" s="411"/>
      <c r="DC77" s="411"/>
      <c r="DD77" s="411"/>
      <c r="DE77" s="411"/>
      <c r="DF77" s="411"/>
      <c r="DG77" s="411"/>
      <c r="DH77" s="411"/>
      <c r="DI77" s="411"/>
      <c r="DJ77" s="411"/>
      <c r="DK77" s="411"/>
      <c r="DL77" s="411"/>
      <c r="DM77" s="411"/>
      <c r="DN77" s="411"/>
      <c r="DO77" s="411"/>
      <c r="DP77" s="411"/>
      <c r="DQ77" s="411"/>
      <c r="DR77" s="411"/>
      <c r="DS77" s="411"/>
      <c r="DT77" s="411"/>
      <c r="DU77" s="411"/>
      <c r="DV77" s="411"/>
      <c r="DW77" s="411"/>
      <c r="DX77" s="411"/>
      <c r="DY77" s="411"/>
      <c r="DZ77" s="411"/>
      <c r="EA77" s="411"/>
      <c r="EB77" s="411"/>
      <c r="EC77" s="411"/>
      <c r="ED77" s="411"/>
      <c r="EE77" s="411"/>
      <c r="EF77" s="411"/>
      <c r="EG77" s="411"/>
      <c r="EH77" s="411"/>
      <c r="EI77" s="411"/>
      <c r="EJ77" s="411"/>
      <c r="EK77" s="411"/>
      <c r="EL77" s="411"/>
      <c r="EM77" s="411"/>
      <c r="EN77" s="411"/>
      <c r="EO77" s="411"/>
      <c r="EP77" s="411"/>
      <c r="EQ77" s="411"/>
      <c r="ER77" s="411"/>
      <c r="ES77" s="411"/>
      <c r="ET77" s="411"/>
      <c r="EU77" s="411"/>
      <c r="EV77" s="411"/>
      <c r="EW77" s="411"/>
      <c r="EX77" s="411"/>
      <c r="EY77" s="411"/>
      <c r="EZ77" s="411"/>
      <c r="FA77" s="411"/>
      <c r="FB77" s="411"/>
      <c r="FC77" s="411"/>
      <c r="FD77" s="411"/>
      <c r="FE77" s="411"/>
      <c r="FF77" s="411"/>
      <c r="FG77" s="411"/>
      <c r="FH77" s="411"/>
      <c r="FI77" s="411"/>
    </row>
    <row r="78" spans="1:165" s="442" customFormat="1" ht="16.5" customHeight="1">
      <c r="A78" s="698"/>
      <c r="B78" s="1400"/>
      <c r="C78" s="958" t="str">
        <f t="shared" si="5"/>
        <v>Naturally occuring pasture - grazing</v>
      </c>
      <c r="D78" s="593" t="str">
        <f>VLOOKUP(C78,FEED_P[],9,FALSE)</f>
        <v>Natural pasture</v>
      </c>
      <c r="E78" s="704" t="s">
        <v>1095</v>
      </c>
      <c r="F78" s="348">
        <v>0</v>
      </c>
      <c r="G78" s="704">
        <v>0</v>
      </c>
      <c r="H78" s="1072"/>
      <c r="I78" s="705" t="s">
        <v>882</v>
      </c>
      <c r="J78" s="1313" t="s">
        <v>971</v>
      </c>
      <c r="K78" s="706">
        <v>15</v>
      </c>
      <c r="L78" s="1215"/>
      <c r="M78" s="436"/>
      <c r="N78" s="436"/>
      <c r="O78" s="436"/>
      <c r="P78" s="436"/>
      <c r="Q78" s="436"/>
      <c r="R78" s="436"/>
      <c r="S78" s="436"/>
      <c r="T78" s="703"/>
      <c r="U78" s="411"/>
      <c r="V78" s="438"/>
      <c r="W78" s="437"/>
      <c r="X78" s="411"/>
      <c r="Y78" s="703"/>
      <c r="Z78" s="438"/>
      <c r="AA78" s="434"/>
      <c r="AB78" s="411"/>
      <c r="AC78" s="411"/>
      <c r="AD78" s="411"/>
      <c r="AE78" s="411"/>
      <c r="AF78" s="411"/>
      <c r="AG78" s="411"/>
      <c r="AH78" s="411"/>
      <c r="AI78" s="411"/>
      <c r="AJ78" s="411"/>
      <c r="AK78" s="411"/>
      <c r="AL78" s="411"/>
      <c r="AM78" s="411"/>
      <c r="AN78" s="411"/>
      <c r="AO78" s="411"/>
      <c r="AP78" s="411"/>
      <c r="AQ78" s="411"/>
      <c r="AR78" s="411"/>
      <c r="AS78" s="411"/>
      <c r="AT78" s="411"/>
      <c r="AU78" s="411"/>
      <c r="AV78" s="411"/>
      <c r="AW78" s="411"/>
      <c r="AX78" s="411"/>
      <c r="AY78" s="411"/>
      <c r="AZ78" s="411"/>
      <c r="BA78" s="411"/>
      <c r="BB78" s="411"/>
      <c r="BC78" s="411"/>
      <c r="BD78" s="411"/>
      <c r="BE78" s="411"/>
      <c r="BF78" s="411"/>
      <c r="BG78" s="411"/>
      <c r="BH78" s="411"/>
      <c r="BI78" s="411"/>
      <c r="BJ78" s="411"/>
      <c r="BK78" s="411"/>
      <c r="BL78" s="411"/>
      <c r="BM78" s="411"/>
      <c r="BN78" s="411"/>
      <c r="BO78" s="411"/>
      <c r="BP78" s="411"/>
      <c r="BQ78" s="411"/>
      <c r="BR78" s="411"/>
      <c r="BS78" s="411"/>
      <c r="BT78" s="411"/>
      <c r="BU78" s="411"/>
      <c r="BV78" s="411"/>
      <c r="BW78" s="411"/>
      <c r="BX78" s="411"/>
      <c r="BY78" s="411"/>
      <c r="BZ78" s="411"/>
      <c r="CA78" s="411"/>
      <c r="CB78" s="411"/>
      <c r="CC78" s="411"/>
      <c r="CD78" s="411"/>
      <c r="CE78" s="411"/>
      <c r="CF78" s="411"/>
      <c r="CG78" s="411"/>
      <c r="CH78" s="411"/>
      <c r="CI78" s="411"/>
      <c r="CJ78" s="411"/>
      <c r="CK78" s="411"/>
      <c r="CL78" s="411"/>
      <c r="CM78" s="411"/>
      <c r="CN78" s="411"/>
      <c r="CO78" s="411"/>
      <c r="CP78" s="411"/>
      <c r="CQ78" s="411"/>
      <c r="CR78" s="411"/>
      <c r="CS78" s="411"/>
      <c r="CT78" s="411"/>
      <c r="CU78" s="411"/>
      <c r="CV78" s="411"/>
      <c r="CW78" s="411"/>
      <c r="CX78" s="411"/>
      <c r="CY78" s="411"/>
      <c r="CZ78" s="411"/>
      <c r="DA78" s="411"/>
      <c r="DB78" s="411"/>
      <c r="DC78" s="411"/>
      <c r="DD78" s="411"/>
      <c r="DE78" s="411"/>
      <c r="DF78" s="411"/>
      <c r="DG78" s="411"/>
      <c r="DH78" s="411"/>
      <c r="DI78" s="411"/>
      <c r="DJ78" s="411"/>
      <c r="DK78" s="411"/>
      <c r="DL78" s="411"/>
      <c r="DM78" s="411"/>
      <c r="DN78" s="411"/>
      <c r="DO78" s="411"/>
      <c r="DP78" s="411"/>
      <c r="DQ78" s="411"/>
      <c r="DR78" s="411"/>
      <c r="DS78" s="411"/>
      <c r="DT78" s="411"/>
      <c r="DU78" s="411"/>
      <c r="DV78" s="411"/>
      <c r="DW78" s="411"/>
      <c r="DX78" s="411"/>
      <c r="DY78" s="411"/>
      <c r="DZ78" s="411"/>
      <c r="EA78" s="411"/>
      <c r="EB78" s="411"/>
      <c r="EC78" s="411"/>
      <c r="ED78" s="411"/>
      <c r="EE78" s="411"/>
      <c r="EF78" s="411"/>
      <c r="EG78" s="411"/>
      <c r="EH78" s="411"/>
      <c r="EI78" s="411"/>
      <c r="EJ78" s="411"/>
      <c r="EK78" s="411"/>
      <c r="EL78" s="411"/>
      <c r="EM78" s="411"/>
      <c r="EN78" s="411"/>
      <c r="EO78" s="411"/>
      <c r="EP78" s="411"/>
      <c r="EQ78" s="411"/>
      <c r="ER78" s="411"/>
      <c r="ES78" s="411"/>
      <c r="ET78" s="411"/>
      <c r="EU78" s="411"/>
      <c r="EV78" s="411"/>
      <c r="EW78" s="411"/>
      <c r="EX78" s="411"/>
      <c r="EY78" s="411"/>
      <c r="EZ78" s="411"/>
      <c r="FA78" s="411"/>
      <c r="FB78" s="411"/>
      <c r="FC78" s="411"/>
      <c r="FD78" s="411"/>
      <c r="FE78" s="411"/>
      <c r="FF78" s="411"/>
      <c r="FG78" s="411"/>
      <c r="FH78" s="411"/>
      <c r="FI78" s="411"/>
    </row>
    <row r="79" spans="1:165" ht="16.5" thickBot="1">
      <c r="A79" s="707"/>
      <c r="B79" s="1400"/>
      <c r="C79" s="959" t="str">
        <f t="shared" si="5"/>
        <v>Pennisetum purpureum - forage</v>
      </c>
      <c r="D79" s="240" t="str">
        <f>VLOOKUP(C79,FEED_P[],9,FALSE)</f>
        <v>Pennisetum purpureum</v>
      </c>
      <c r="E79" s="960" t="s">
        <v>1095</v>
      </c>
      <c r="F79" s="961">
        <v>0</v>
      </c>
      <c r="G79" s="960">
        <v>0</v>
      </c>
      <c r="H79" s="1073"/>
      <c r="I79" s="962" t="s">
        <v>869</v>
      </c>
      <c r="J79" s="1314" t="s">
        <v>971</v>
      </c>
      <c r="K79" s="963">
        <v>15</v>
      </c>
      <c r="L79" s="1353"/>
      <c r="M79" s="436"/>
      <c r="N79" s="436"/>
      <c r="O79" s="436"/>
      <c r="P79" s="436"/>
      <c r="Q79" s="436"/>
      <c r="R79" s="436"/>
      <c r="S79" s="436"/>
      <c r="T79" s="703"/>
      <c r="U79" s="437"/>
      <c r="V79" s="438"/>
      <c r="W79" s="438"/>
      <c r="X79" s="437"/>
      <c r="Z79" s="438"/>
      <c r="AA79" s="434"/>
      <c r="AG79" s="413"/>
      <c r="AN79" s="413"/>
    </row>
    <row r="80" spans="1:165" s="442" customFormat="1" ht="15.75" hidden="1" customHeight="1">
      <c r="A80" s="936"/>
      <c r="B80" s="1400"/>
      <c r="C80" s="956"/>
      <c r="D80" s="957" t="s">
        <v>786</v>
      </c>
      <c r="E80" s="940"/>
      <c r="F80" s="940"/>
      <c r="G80" s="940"/>
      <c r="H80" s="941"/>
      <c r="I80" s="942"/>
      <c r="J80"/>
      <c r="K80" s="949" t="s">
        <v>786</v>
      </c>
      <c r="L80" s="947"/>
      <c r="M80" s="947"/>
      <c r="N80" s="948"/>
      <c r="O80" s="948"/>
      <c r="P80" s="411"/>
      <c r="Q80" s="411"/>
      <c r="R80" s="411"/>
      <c r="S80" s="411"/>
      <c r="T80" s="411"/>
      <c r="U80" s="411"/>
      <c r="V80" s="411"/>
      <c r="W80" s="411"/>
      <c r="X80" s="411"/>
      <c r="Y80" s="411"/>
      <c r="Z80" s="411"/>
      <c r="AA80" s="411"/>
      <c r="AB80" s="411"/>
      <c r="AC80" s="411"/>
      <c r="AD80" s="411"/>
      <c r="AE80" s="411"/>
      <c r="AF80" s="411"/>
      <c r="AG80" s="411"/>
      <c r="AH80" s="411"/>
      <c r="AI80" s="411"/>
      <c r="AJ80" s="411"/>
      <c r="AK80" s="411"/>
      <c r="AL80" s="411"/>
      <c r="AM80" s="411"/>
      <c r="AN80" s="411"/>
      <c r="AO80" s="411"/>
      <c r="AP80" s="411"/>
      <c r="AQ80" s="411"/>
      <c r="AR80" s="411"/>
      <c r="AS80" s="411"/>
      <c r="AT80" s="411"/>
      <c r="AU80" s="411"/>
      <c r="AV80" s="411"/>
      <c r="AW80" s="411"/>
      <c r="AX80" s="411"/>
      <c r="AY80" s="411"/>
      <c r="AZ80" s="411"/>
      <c r="BA80" s="411"/>
      <c r="BB80" s="411"/>
      <c r="BC80" s="411"/>
      <c r="BD80" s="411"/>
      <c r="BE80" s="411"/>
      <c r="BF80" s="411"/>
      <c r="BG80" s="411"/>
      <c r="BH80" s="411"/>
      <c r="BI80" s="411"/>
      <c r="BJ80" s="411"/>
      <c r="BK80" s="411"/>
      <c r="BL80" s="411"/>
      <c r="BM80" s="411"/>
      <c r="BN80" s="411"/>
      <c r="BO80" s="411"/>
      <c r="BP80" s="411"/>
      <c r="BQ80" s="411"/>
      <c r="BR80" s="411"/>
      <c r="BS80" s="411"/>
      <c r="BT80" s="411"/>
      <c r="BU80" s="411"/>
      <c r="BV80" s="411"/>
      <c r="BW80" s="411"/>
      <c r="BX80" s="411"/>
      <c r="BY80" s="411"/>
      <c r="BZ80" s="411"/>
      <c r="CA80" s="411"/>
      <c r="CB80" s="411"/>
      <c r="CC80" s="411"/>
      <c r="CD80" s="411"/>
      <c r="CE80" s="411"/>
      <c r="CF80" s="411"/>
      <c r="CG80" s="411"/>
      <c r="CH80" s="411"/>
      <c r="CI80" s="411"/>
      <c r="CJ80" s="411"/>
      <c r="CK80" s="411"/>
      <c r="CL80" s="411"/>
      <c r="CM80" s="411"/>
      <c r="CN80" s="411"/>
      <c r="CO80" s="411"/>
      <c r="CP80" s="411"/>
      <c r="CQ80" s="411"/>
      <c r="CR80" s="411"/>
      <c r="CS80" s="411"/>
      <c r="CT80" s="411"/>
      <c r="CU80" s="411"/>
      <c r="CV80" s="411"/>
      <c r="CW80" s="411"/>
      <c r="CX80" s="411"/>
      <c r="CY80" s="411"/>
      <c r="CZ80" s="411"/>
      <c r="DA80" s="411"/>
      <c r="DB80" s="411"/>
      <c r="DC80" s="411"/>
      <c r="DD80" s="411"/>
      <c r="DE80" s="411"/>
      <c r="DF80" s="411"/>
      <c r="DG80" s="411"/>
      <c r="DH80" s="411"/>
      <c r="DI80" s="411"/>
      <c r="DJ80" s="411"/>
      <c r="DK80" s="411"/>
      <c r="DL80" s="411"/>
      <c r="DM80" s="411"/>
      <c r="DN80" s="411"/>
      <c r="DO80" s="411"/>
      <c r="DP80" s="411"/>
      <c r="DQ80" s="411"/>
      <c r="DR80" s="411"/>
      <c r="DS80" s="411"/>
      <c r="DT80" s="411"/>
      <c r="DU80" s="411"/>
      <c r="DV80" s="411"/>
      <c r="DW80" s="411"/>
      <c r="DX80" s="411"/>
      <c r="DY80" s="411"/>
      <c r="DZ80" s="411"/>
      <c r="EA80" s="411"/>
      <c r="EB80" s="411"/>
      <c r="EC80" s="411"/>
      <c r="ED80" s="411"/>
      <c r="EE80" s="411"/>
      <c r="EF80" s="411"/>
      <c r="EG80" s="411"/>
      <c r="EH80" s="411"/>
      <c r="EI80" s="411"/>
      <c r="EJ80" s="411"/>
      <c r="EK80" s="411"/>
      <c r="EL80" s="411"/>
      <c r="EM80" s="411"/>
      <c r="EN80" s="411"/>
      <c r="EO80" s="411"/>
      <c r="EP80" s="411"/>
      <c r="EQ80" s="411"/>
      <c r="ER80" s="411"/>
      <c r="ES80" s="411"/>
      <c r="ET80" s="411"/>
      <c r="EU80" s="411"/>
      <c r="EV80" s="411"/>
      <c r="EW80" s="411"/>
      <c r="EX80" s="411"/>
      <c r="EY80" s="411"/>
      <c r="EZ80" s="411"/>
      <c r="FA80" s="411"/>
      <c r="FB80" s="411"/>
      <c r="FC80" s="411"/>
      <c r="FD80" s="411"/>
      <c r="FE80" s="411"/>
      <c r="FF80" s="411"/>
      <c r="FG80" s="411"/>
      <c r="FH80" s="411"/>
      <c r="FI80" s="411"/>
    </row>
    <row r="81" spans="1:165" s="442" customFormat="1" ht="15.75" hidden="1" customHeight="1">
      <c r="A81" s="936"/>
      <c r="B81" s="1400"/>
      <c r="C81" s="440"/>
      <c r="D81" s="441" t="s">
        <v>786</v>
      </c>
      <c r="E81" s="937"/>
      <c r="F81" s="937"/>
      <c r="G81" s="937"/>
      <c r="H81" s="938"/>
      <c r="I81" s="939"/>
      <c r="J81"/>
      <c r="K81" s="950" t="s">
        <v>786</v>
      </c>
      <c r="L81" s="947"/>
      <c r="M81" s="947"/>
      <c r="N81" s="948"/>
      <c r="O81" s="948"/>
      <c r="P81" s="411"/>
      <c r="Q81" s="411"/>
      <c r="R81" s="411"/>
      <c r="S81" s="411"/>
      <c r="T81" s="411"/>
      <c r="U81" s="411"/>
      <c r="V81" s="411"/>
      <c r="W81" s="411"/>
      <c r="X81" s="411"/>
      <c r="Y81" s="411"/>
      <c r="Z81" s="411"/>
      <c r="AA81" s="411"/>
      <c r="AB81" s="411"/>
      <c r="AC81" s="411"/>
      <c r="AD81" s="411"/>
      <c r="AE81" s="411"/>
      <c r="AF81" s="411"/>
      <c r="AG81" s="411"/>
      <c r="AH81" s="411"/>
      <c r="AI81" s="411"/>
      <c r="AJ81" s="411"/>
      <c r="AK81" s="411"/>
      <c r="AL81" s="411"/>
      <c r="AM81" s="411"/>
      <c r="AN81" s="411"/>
      <c r="AO81" s="411"/>
      <c r="AP81" s="411"/>
      <c r="AQ81" s="411"/>
      <c r="AR81" s="411"/>
      <c r="AS81" s="411"/>
      <c r="AT81" s="411"/>
      <c r="AU81" s="411"/>
      <c r="AV81" s="411"/>
      <c r="AW81" s="411"/>
      <c r="AX81" s="411"/>
      <c r="AY81" s="411"/>
      <c r="AZ81" s="411"/>
      <c r="BA81" s="411"/>
      <c r="BB81" s="411"/>
      <c r="BC81" s="411"/>
      <c r="BD81" s="411"/>
      <c r="BE81" s="411"/>
      <c r="BF81" s="411"/>
      <c r="BG81" s="411"/>
      <c r="BH81" s="411"/>
      <c r="BI81" s="411"/>
      <c r="BJ81" s="411"/>
      <c r="BK81" s="411"/>
      <c r="BL81" s="411"/>
      <c r="BM81" s="411"/>
      <c r="BN81" s="411"/>
      <c r="BO81" s="411"/>
      <c r="BP81" s="411"/>
      <c r="BQ81" s="411"/>
      <c r="BR81" s="411"/>
      <c r="BS81" s="411"/>
      <c r="BT81" s="411"/>
      <c r="BU81" s="411"/>
      <c r="BV81" s="411"/>
      <c r="BW81" s="411"/>
      <c r="BX81" s="411"/>
      <c r="BY81" s="411"/>
      <c r="BZ81" s="411"/>
      <c r="CA81" s="411"/>
      <c r="CB81" s="411"/>
      <c r="CC81" s="411"/>
      <c r="CD81" s="411"/>
      <c r="CE81" s="411"/>
      <c r="CF81" s="411"/>
      <c r="CG81" s="411"/>
      <c r="CH81" s="411"/>
      <c r="CI81" s="411"/>
      <c r="CJ81" s="411"/>
      <c r="CK81" s="411"/>
      <c r="CL81" s="411"/>
      <c r="CM81" s="411"/>
      <c r="CN81" s="411"/>
      <c r="CO81" s="411"/>
      <c r="CP81" s="411"/>
      <c r="CQ81" s="411"/>
      <c r="CR81" s="411"/>
      <c r="CS81" s="411"/>
      <c r="CT81" s="411"/>
      <c r="CU81" s="411"/>
      <c r="CV81" s="411"/>
      <c r="CW81" s="411"/>
      <c r="CX81" s="411"/>
      <c r="CY81" s="411"/>
      <c r="CZ81" s="411"/>
      <c r="DA81" s="411"/>
      <c r="DB81" s="411"/>
      <c r="DC81" s="411"/>
      <c r="DD81" s="411"/>
      <c r="DE81" s="411"/>
      <c r="DF81" s="411"/>
      <c r="DG81" s="411"/>
      <c r="DH81" s="411"/>
      <c r="DI81" s="411"/>
      <c r="DJ81" s="411"/>
      <c r="DK81" s="411"/>
      <c r="DL81" s="411"/>
      <c r="DM81" s="411"/>
      <c r="DN81" s="411"/>
      <c r="DO81" s="411"/>
      <c r="DP81" s="411"/>
      <c r="DQ81" s="411"/>
      <c r="DR81" s="411"/>
      <c r="DS81" s="411"/>
      <c r="DT81" s="411"/>
      <c r="DU81" s="411"/>
      <c r="DV81" s="411"/>
      <c r="DW81" s="411"/>
      <c r="DX81" s="411"/>
      <c r="DY81" s="411"/>
      <c r="DZ81" s="411"/>
      <c r="EA81" s="411"/>
      <c r="EB81" s="411"/>
      <c r="EC81" s="411"/>
      <c r="ED81" s="411"/>
      <c r="EE81" s="411"/>
      <c r="EF81" s="411"/>
      <c r="EG81" s="411"/>
      <c r="EH81" s="411"/>
      <c r="EI81" s="411"/>
      <c r="EJ81" s="411"/>
      <c r="EK81" s="411"/>
      <c r="EL81" s="411"/>
      <c r="EM81" s="411"/>
      <c r="EN81" s="411"/>
      <c r="EO81" s="411"/>
      <c r="EP81" s="411"/>
      <c r="EQ81" s="411"/>
      <c r="ER81" s="411"/>
      <c r="ES81" s="411"/>
      <c r="ET81" s="411"/>
      <c r="EU81" s="411"/>
      <c r="EV81" s="411"/>
      <c r="EW81" s="411"/>
      <c r="EX81" s="411"/>
      <c r="EY81" s="411"/>
      <c r="EZ81" s="411"/>
      <c r="FA81" s="411"/>
      <c r="FB81" s="411"/>
      <c r="FC81" s="411"/>
      <c r="FD81" s="411"/>
      <c r="FE81" s="411"/>
      <c r="FF81" s="411"/>
      <c r="FG81" s="411"/>
      <c r="FH81" s="411"/>
      <c r="FI81" s="411"/>
    </row>
    <row r="82" spans="1:165" s="442" customFormat="1" ht="15.75" hidden="1" customHeight="1">
      <c r="A82" s="936"/>
      <c r="B82" s="1400"/>
      <c r="C82" s="440"/>
      <c r="D82" s="441" t="s">
        <v>786</v>
      </c>
      <c r="E82" s="937"/>
      <c r="F82" s="937"/>
      <c r="G82" s="937"/>
      <c r="H82" s="938"/>
      <c r="I82" s="939"/>
      <c r="J82"/>
      <c r="K82" s="950" t="s">
        <v>786</v>
      </c>
      <c r="L82" s="947"/>
      <c r="M82" s="947"/>
      <c r="N82" s="948"/>
      <c r="O82" s="948"/>
      <c r="P82" s="411"/>
      <c r="Q82" s="411"/>
      <c r="R82" s="411"/>
      <c r="S82" s="411"/>
      <c r="T82" s="411"/>
      <c r="U82" s="411"/>
      <c r="V82" s="411"/>
      <c r="W82" s="411"/>
      <c r="X82" s="411"/>
      <c r="Y82" s="411"/>
      <c r="Z82" s="411"/>
      <c r="AA82" s="411"/>
      <c r="AB82" s="411"/>
      <c r="AC82" s="411"/>
      <c r="AD82" s="411"/>
      <c r="AE82" s="411"/>
      <c r="AF82" s="411"/>
      <c r="AG82" s="411"/>
      <c r="AH82" s="411"/>
      <c r="AI82" s="411"/>
      <c r="AJ82" s="411"/>
      <c r="AK82" s="411"/>
      <c r="AL82" s="411"/>
      <c r="AM82" s="411"/>
      <c r="AN82" s="411"/>
      <c r="AO82" s="411"/>
      <c r="AP82" s="411"/>
      <c r="AQ82" s="411"/>
      <c r="AR82" s="411"/>
      <c r="AS82" s="411"/>
      <c r="AT82" s="411"/>
      <c r="AU82" s="411"/>
      <c r="AV82" s="411"/>
      <c r="AW82" s="411"/>
      <c r="AX82" s="411"/>
      <c r="AY82" s="411"/>
      <c r="AZ82" s="411"/>
      <c r="BA82" s="411"/>
      <c r="BB82" s="411"/>
      <c r="BC82" s="411"/>
      <c r="BD82" s="411"/>
      <c r="BE82" s="411"/>
      <c r="BF82" s="411"/>
      <c r="BG82" s="411"/>
      <c r="BH82" s="411"/>
      <c r="BI82" s="411"/>
      <c r="BJ82" s="411"/>
      <c r="BK82" s="411"/>
      <c r="BL82" s="411"/>
      <c r="BM82" s="411"/>
      <c r="BN82" s="411"/>
      <c r="BO82" s="411"/>
      <c r="BP82" s="411"/>
      <c r="BQ82" s="411"/>
      <c r="BR82" s="411"/>
      <c r="BS82" s="411"/>
      <c r="BT82" s="411"/>
      <c r="BU82" s="411"/>
      <c r="BV82" s="411"/>
      <c r="BW82" s="411"/>
      <c r="BX82" s="411"/>
      <c r="BY82" s="411"/>
      <c r="BZ82" s="411"/>
      <c r="CA82" s="411"/>
      <c r="CB82" s="411"/>
      <c r="CC82" s="411"/>
      <c r="CD82" s="411"/>
      <c r="CE82" s="411"/>
      <c r="CF82" s="411"/>
      <c r="CG82" s="411"/>
      <c r="CH82" s="411"/>
      <c r="CI82" s="411"/>
      <c r="CJ82" s="411"/>
      <c r="CK82" s="411"/>
      <c r="CL82" s="411"/>
      <c r="CM82" s="411"/>
      <c r="CN82" s="411"/>
      <c r="CO82" s="411"/>
      <c r="CP82" s="411"/>
      <c r="CQ82" s="411"/>
      <c r="CR82" s="411"/>
      <c r="CS82" s="411"/>
      <c r="CT82" s="411"/>
      <c r="CU82" s="411"/>
      <c r="CV82" s="411"/>
      <c r="CW82" s="411"/>
      <c r="CX82" s="411"/>
      <c r="CY82" s="411"/>
      <c r="CZ82" s="411"/>
      <c r="DA82" s="411"/>
      <c r="DB82" s="411"/>
      <c r="DC82" s="411"/>
      <c r="DD82" s="411"/>
      <c r="DE82" s="411"/>
      <c r="DF82" s="411"/>
      <c r="DG82" s="411"/>
      <c r="DH82" s="411"/>
      <c r="DI82" s="411"/>
      <c r="DJ82" s="411"/>
      <c r="DK82" s="411"/>
      <c r="DL82" s="411"/>
      <c r="DM82" s="411"/>
      <c r="DN82" s="411"/>
      <c r="DO82" s="411"/>
      <c r="DP82" s="411"/>
      <c r="DQ82" s="411"/>
      <c r="DR82" s="411"/>
      <c r="DS82" s="411"/>
      <c r="DT82" s="411"/>
      <c r="DU82" s="411"/>
      <c r="DV82" s="411"/>
      <c r="DW82" s="411"/>
      <c r="DX82" s="411"/>
      <c r="DY82" s="411"/>
      <c r="DZ82" s="411"/>
      <c r="EA82" s="411"/>
      <c r="EB82" s="411"/>
      <c r="EC82" s="411"/>
      <c r="ED82" s="411"/>
      <c r="EE82" s="411"/>
      <c r="EF82" s="411"/>
      <c r="EG82" s="411"/>
      <c r="EH82" s="411"/>
      <c r="EI82" s="411"/>
      <c r="EJ82" s="411"/>
      <c r="EK82" s="411"/>
      <c r="EL82" s="411"/>
      <c r="EM82" s="411"/>
      <c r="EN82" s="411"/>
      <c r="EO82" s="411"/>
      <c r="EP82" s="411"/>
      <c r="EQ82" s="411"/>
      <c r="ER82" s="411"/>
      <c r="ES82" s="411"/>
      <c r="ET82" s="411"/>
      <c r="EU82" s="411"/>
      <c r="EV82" s="411"/>
      <c r="EW82" s="411"/>
      <c r="EX82" s="411"/>
      <c r="EY82" s="411"/>
      <c r="EZ82" s="411"/>
      <c r="FA82" s="411"/>
      <c r="FB82" s="411"/>
      <c r="FC82" s="411"/>
      <c r="FD82" s="411"/>
      <c r="FE82" s="411"/>
      <c r="FF82" s="411"/>
      <c r="FG82" s="411"/>
      <c r="FH82" s="411"/>
      <c r="FI82" s="411"/>
    </row>
    <row r="83" spans="1:165" s="442" customFormat="1" ht="15.75" hidden="1" customHeight="1">
      <c r="A83" s="936"/>
      <c r="B83" s="1400"/>
      <c r="C83" s="440"/>
      <c r="D83" s="441" t="s">
        <v>786</v>
      </c>
      <c r="E83" s="937"/>
      <c r="F83" s="937"/>
      <c r="G83" s="937"/>
      <c r="H83" s="938"/>
      <c r="I83" s="939"/>
      <c r="J83"/>
      <c r="K83" s="950" t="s">
        <v>786</v>
      </c>
      <c r="L83" s="947"/>
      <c r="M83" s="947"/>
      <c r="N83" s="948"/>
      <c r="O83" s="948"/>
      <c r="P83" s="411"/>
      <c r="Q83" s="411"/>
      <c r="R83" s="411"/>
      <c r="S83" s="411"/>
      <c r="T83" s="411"/>
      <c r="U83" s="411"/>
      <c r="V83" s="411"/>
      <c r="W83" s="411"/>
      <c r="X83" s="411"/>
      <c r="Y83" s="411"/>
      <c r="Z83" s="411"/>
      <c r="AA83" s="411"/>
      <c r="AB83" s="411"/>
      <c r="AC83" s="411"/>
      <c r="AD83" s="411"/>
      <c r="AE83" s="411"/>
      <c r="AF83" s="411"/>
      <c r="AG83" s="411"/>
      <c r="AH83" s="411"/>
      <c r="AI83" s="411"/>
      <c r="AJ83" s="411"/>
      <c r="AK83" s="411"/>
      <c r="AL83" s="411"/>
      <c r="AM83" s="411"/>
      <c r="AN83" s="411"/>
      <c r="AO83" s="411"/>
      <c r="AP83" s="411"/>
      <c r="AQ83" s="411"/>
      <c r="AR83" s="411"/>
      <c r="AS83" s="411"/>
      <c r="AT83" s="411"/>
      <c r="AU83" s="411"/>
      <c r="AV83" s="411"/>
      <c r="AW83" s="411"/>
      <c r="AX83" s="411"/>
      <c r="AY83" s="411"/>
      <c r="AZ83" s="411"/>
      <c r="BA83" s="411"/>
      <c r="BB83" s="411"/>
      <c r="BC83" s="411"/>
      <c r="BD83" s="411"/>
      <c r="BE83" s="411"/>
      <c r="BF83" s="411"/>
      <c r="BG83" s="411"/>
      <c r="BH83" s="411"/>
      <c r="BI83" s="411"/>
      <c r="BJ83" s="411"/>
      <c r="BK83" s="411"/>
      <c r="BL83" s="411"/>
      <c r="BM83" s="411"/>
      <c r="BN83" s="411"/>
      <c r="BO83" s="411"/>
      <c r="BP83" s="411"/>
      <c r="BQ83" s="411"/>
      <c r="BR83" s="411"/>
      <c r="BS83" s="411"/>
      <c r="BT83" s="411"/>
      <c r="BU83" s="411"/>
      <c r="BV83" s="411"/>
      <c r="BW83" s="411"/>
      <c r="BX83" s="411"/>
      <c r="BY83" s="411"/>
      <c r="BZ83" s="411"/>
      <c r="CA83" s="411"/>
      <c r="CB83" s="411"/>
      <c r="CC83" s="411"/>
      <c r="CD83" s="411"/>
      <c r="CE83" s="411"/>
      <c r="CF83" s="411"/>
      <c r="CG83" s="411"/>
      <c r="CH83" s="411"/>
      <c r="CI83" s="411"/>
      <c r="CJ83" s="411"/>
      <c r="CK83" s="411"/>
      <c r="CL83" s="411"/>
      <c r="CM83" s="411"/>
      <c r="CN83" s="411"/>
      <c r="CO83" s="411"/>
      <c r="CP83" s="411"/>
      <c r="CQ83" s="411"/>
      <c r="CR83" s="411"/>
      <c r="CS83" s="411"/>
      <c r="CT83" s="411"/>
      <c r="CU83" s="411"/>
      <c r="CV83" s="411"/>
      <c r="CW83" s="411"/>
      <c r="CX83" s="411"/>
      <c r="CY83" s="411"/>
      <c r="CZ83" s="411"/>
      <c r="DA83" s="411"/>
      <c r="DB83" s="411"/>
      <c r="DC83" s="411"/>
      <c r="DD83" s="411"/>
      <c r="DE83" s="411"/>
      <c r="DF83" s="411"/>
      <c r="DG83" s="411"/>
      <c r="DH83" s="411"/>
      <c r="DI83" s="411"/>
      <c r="DJ83" s="411"/>
      <c r="DK83" s="411"/>
      <c r="DL83" s="411"/>
      <c r="DM83" s="411"/>
      <c r="DN83" s="411"/>
      <c r="DO83" s="411"/>
      <c r="DP83" s="411"/>
      <c r="DQ83" s="411"/>
      <c r="DR83" s="411"/>
      <c r="DS83" s="411"/>
      <c r="DT83" s="411"/>
      <c r="DU83" s="411"/>
      <c r="DV83" s="411"/>
      <c r="DW83" s="411"/>
      <c r="DX83" s="411"/>
      <c r="DY83" s="411"/>
      <c r="DZ83" s="411"/>
      <c r="EA83" s="411"/>
      <c r="EB83" s="411"/>
      <c r="EC83" s="411"/>
      <c r="ED83" s="411"/>
      <c r="EE83" s="411"/>
      <c r="EF83" s="411"/>
      <c r="EG83" s="411"/>
      <c r="EH83" s="411"/>
      <c r="EI83" s="411"/>
      <c r="EJ83" s="411"/>
      <c r="EK83" s="411"/>
      <c r="EL83" s="411"/>
      <c r="EM83" s="411"/>
      <c r="EN83" s="411"/>
      <c r="EO83" s="411"/>
      <c r="EP83" s="411"/>
      <c r="EQ83" s="411"/>
      <c r="ER83" s="411"/>
      <c r="ES83" s="411"/>
      <c r="ET83" s="411"/>
      <c r="EU83" s="411"/>
      <c r="EV83" s="411"/>
      <c r="EW83" s="411"/>
      <c r="EX83" s="411"/>
      <c r="EY83" s="411"/>
      <c r="EZ83" s="411"/>
      <c r="FA83" s="411"/>
      <c r="FB83" s="411"/>
      <c r="FC83" s="411"/>
      <c r="FD83" s="411"/>
      <c r="FE83" s="411"/>
      <c r="FF83" s="411"/>
      <c r="FG83" s="411"/>
      <c r="FH83" s="411"/>
      <c r="FI83" s="411"/>
    </row>
    <row r="84" spans="1:165" s="442" customFormat="1" ht="15.75" hidden="1" customHeight="1">
      <c r="A84" s="936"/>
      <c r="B84" s="1400"/>
      <c r="C84" s="440"/>
      <c r="D84" s="441" t="s">
        <v>786</v>
      </c>
      <c r="E84" s="937"/>
      <c r="F84" s="937"/>
      <c r="G84" s="937"/>
      <c r="H84" s="938"/>
      <c r="I84" s="939"/>
      <c r="J84"/>
      <c r="K84" s="950" t="s">
        <v>786</v>
      </c>
      <c r="L84" s="947"/>
      <c r="M84" s="947"/>
      <c r="N84" s="948"/>
      <c r="O84" s="948"/>
      <c r="P84" s="411"/>
      <c r="Q84" s="411"/>
      <c r="R84" s="411"/>
      <c r="S84" s="411"/>
      <c r="T84" s="411"/>
      <c r="U84" s="411"/>
      <c r="V84" s="411"/>
      <c r="W84" s="411"/>
      <c r="X84" s="411"/>
      <c r="Y84" s="411"/>
      <c r="Z84" s="411"/>
      <c r="AA84" s="411"/>
      <c r="AB84" s="411"/>
      <c r="AC84" s="411"/>
      <c r="AD84" s="411"/>
      <c r="AE84" s="411"/>
      <c r="AF84" s="411"/>
      <c r="AG84" s="411"/>
      <c r="AH84" s="411"/>
      <c r="AI84" s="411"/>
      <c r="AJ84" s="411"/>
      <c r="AK84" s="411"/>
      <c r="AL84" s="411"/>
      <c r="AM84" s="411"/>
      <c r="AN84" s="411"/>
      <c r="AO84" s="411"/>
      <c r="AP84" s="411"/>
      <c r="AQ84" s="411"/>
      <c r="AR84" s="411"/>
      <c r="AS84" s="411"/>
      <c r="AT84" s="411"/>
      <c r="AU84" s="411"/>
      <c r="AV84" s="411"/>
      <c r="AW84" s="411"/>
      <c r="AX84" s="411"/>
      <c r="AY84" s="411"/>
      <c r="AZ84" s="411"/>
      <c r="BA84" s="411"/>
      <c r="BB84" s="411"/>
      <c r="BC84" s="411"/>
      <c r="BD84" s="411"/>
      <c r="BE84" s="411"/>
      <c r="BF84" s="411"/>
      <c r="BG84" s="411"/>
      <c r="BH84" s="411"/>
      <c r="BI84" s="411"/>
      <c r="BJ84" s="411"/>
      <c r="BK84" s="411"/>
      <c r="BL84" s="411"/>
      <c r="BM84" s="411"/>
      <c r="BN84" s="411"/>
      <c r="BO84" s="411"/>
      <c r="BP84" s="411"/>
      <c r="BQ84" s="411"/>
      <c r="BR84" s="411"/>
      <c r="BS84" s="411"/>
      <c r="BT84" s="411"/>
      <c r="BU84" s="411"/>
      <c r="BV84" s="411"/>
      <c r="BW84" s="411"/>
      <c r="BX84" s="411"/>
      <c r="BY84" s="411"/>
      <c r="BZ84" s="411"/>
      <c r="CA84" s="411"/>
      <c r="CB84" s="411"/>
      <c r="CC84" s="411"/>
      <c r="CD84" s="411"/>
      <c r="CE84" s="411"/>
      <c r="CF84" s="411"/>
      <c r="CG84" s="411"/>
      <c r="CH84" s="411"/>
      <c r="CI84" s="411"/>
      <c r="CJ84" s="411"/>
      <c r="CK84" s="411"/>
      <c r="CL84" s="411"/>
      <c r="CM84" s="411"/>
      <c r="CN84" s="411"/>
      <c r="CO84" s="411"/>
      <c r="CP84" s="411"/>
      <c r="CQ84" s="411"/>
      <c r="CR84" s="411"/>
      <c r="CS84" s="411"/>
      <c r="CT84" s="411"/>
      <c r="CU84" s="411"/>
      <c r="CV84" s="411"/>
      <c r="CW84" s="411"/>
      <c r="CX84" s="411"/>
      <c r="CY84" s="411"/>
      <c r="CZ84" s="411"/>
      <c r="DA84" s="411"/>
      <c r="DB84" s="411"/>
      <c r="DC84" s="411"/>
      <c r="DD84" s="411"/>
      <c r="DE84" s="411"/>
      <c r="DF84" s="411"/>
      <c r="DG84" s="411"/>
      <c r="DH84" s="411"/>
      <c r="DI84" s="411"/>
      <c r="DJ84" s="411"/>
      <c r="DK84" s="411"/>
      <c r="DL84" s="411"/>
      <c r="DM84" s="411"/>
      <c r="DN84" s="411"/>
      <c r="DO84" s="411"/>
      <c r="DP84" s="411"/>
      <c r="DQ84" s="411"/>
      <c r="DR84" s="411"/>
      <c r="DS84" s="411"/>
      <c r="DT84" s="411"/>
      <c r="DU84" s="411"/>
      <c r="DV84" s="411"/>
      <c r="DW84" s="411"/>
      <c r="DX84" s="411"/>
      <c r="DY84" s="411"/>
      <c r="DZ84" s="411"/>
      <c r="EA84" s="411"/>
      <c r="EB84" s="411"/>
      <c r="EC84" s="411"/>
      <c r="ED84" s="411"/>
      <c r="EE84" s="411"/>
      <c r="EF84" s="411"/>
      <c r="EG84" s="411"/>
      <c r="EH84" s="411"/>
      <c r="EI84" s="411"/>
      <c r="EJ84" s="411"/>
      <c r="EK84" s="411"/>
      <c r="EL84" s="411"/>
      <c r="EM84" s="411"/>
      <c r="EN84" s="411"/>
      <c r="EO84" s="411"/>
      <c r="EP84" s="411"/>
      <c r="EQ84" s="411"/>
      <c r="ER84" s="411"/>
      <c r="ES84" s="411"/>
      <c r="ET84" s="411"/>
      <c r="EU84" s="411"/>
      <c r="EV84" s="411"/>
      <c r="EW84" s="411"/>
      <c r="EX84" s="411"/>
      <c r="EY84" s="411"/>
      <c r="EZ84" s="411"/>
      <c r="FA84" s="411"/>
      <c r="FB84" s="411"/>
      <c r="FC84" s="411"/>
      <c r="FD84" s="411"/>
      <c r="FE84" s="411"/>
      <c r="FF84" s="411"/>
      <c r="FG84" s="411"/>
      <c r="FH84" s="411"/>
      <c r="FI84" s="411"/>
    </row>
    <row r="85" spans="1:165" s="442" customFormat="1" ht="16.5" hidden="1" customHeight="1" thickBot="1">
      <c r="A85" s="936"/>
      <c r="B85" s="1400"/>
      <c r="C85" s="443"/>
      <c r="D85" s="444" t="s">
        <v>786</v>
      </c>
      <c r="E85" s="943"/>
      <c r="F85" s="937"/>
      <c r="G85" s="944"/>
      <c r="H85" s="945"/>
      <c r="I85" s="946"/>
      <c r="J85"/>
      <c r="K85" s="951" t="s">
        <v>786</v>
      </c>
      <c r="L85" s="947"/>
      <c r="M85" s="947"/>
      <c r="N85" s="948"/>
      <c r="O85" s="948"/>
      <c r="P85" s="411"/>
      <c r="Q85" s="411"/>
      <c r="R85" s="411"/>
      <c r="S85" s="411"/>
      <c r="T85" s="411"/>
      <c r="U85" s="411"/>
      <c r="V85" s="411"/>
      <c r="W85" s="411"/>
      <c r="X85" s="411"/>
      <c r="Y85" s="411"/>
      <c r="Z85" s="411"/>
      <c r="AA85" s="411"/>
      <c r="AB85" s="411"/>
      <c r="AC85" s="411"/>
      <c r="AD85" s="411"/>
      <c r="AE85" s="411"/>
      <c r="AF85" s="411"/>
      <c r="AG85" s="411"/>
      <c r="AH85" s="411"/>
      <c r="AI85" s="411"/>
      <c r="AJ85" s="411"/>
      <c r="AK85" s="411"/>
      <c r="AL85" s="411"/>
      <c r="AM85" s="411"/>
      <c r="AN85" s="411"/>
      <c r="AO85" s="411"/>
      <c r="AP85" s="411"/>
      <c r="AQ85" s="411"/>
      <c r="AR85" s="411"/>
      <c r="AS85" s="411"/>
      <c r="AT85" s="411"/>
      <c r="AU85" s="411"/>
      <c r="AV85" s="411"/>
      <c r="AW85" s="411"/>
      <c r="AX85" s="411"/>
      <c r="AY85" s="411"/>
      <c r="AZ85" s="411"/>
      <c r="BA85" s="411"/>
      <c r="BB85" s="411"/>
      <c r="BC85" s="411"/>
      <c r="BD85" s="411"/>
      <c r="BE85" s="411"/>
      <c r="BF85" s="411"/>
      <c r="BG85" s="411"/>
      <c r="BH85" s="411"/>
      <c r="BI85" s="411"/>
      <c r="BJ85" s="411"/>
      <c r="BK85" s="411"/>
      <c r="BL85" s="411"/>
      <c r="BM85" s="411"/>
      <c r="BN85" s="411"/>
      <c r="BO85" s="411"/>
      <c r="BP85" s="411"/>
      <c r="BQ85" s="411"/>
      <c r="BR85" s="411"/>
      <c r="BS85" s="411"/>
      <c r="BT85" s="411"/>
      <c r="BU85" s="411"/>
      <c r="BV85" s="411"/>
      <c r="BW85" s="411"/>
      <c r="BX85" s="411"/>
      <c r="BY85" s="411"/>
      <c r="BZ85" s="411"/>
      <c r="CA85" s="411"/>
      <c r="CB85" s="411"/>
      <c r="CC85" s="411"/>
      <c r="CD85" s="411"/>
      <c r="CE85" s="411"/>
      <c r="CF85" s="411"/>
      <c r="CG85" s="411"/>
      <c r="CH85" s="411"/>
      <c r="CI85" s="411"/>
      <c r="CJ85" s="411"/>
      <c r="CK85" s="411"/>
      <c r="CL85" s="411"/>
      <c r="CM85" s="411"/>
      <c r="CN85" s="411"/>
      <c r="CO85" s="411"/>
      <c r="CP85" s="411"/>
      <c r="CQ85" s="411"/>
      <c r="CR85" s="411"/>
      <c r="CS85" s="411"/>
      <c r="CT85" s="411"/>
      <c r="CU85" s="411"/>
      <c r="CV85" s="411"/>
      <c r="CW85" s="411"/>
      <c r="CX85" s="411"/>
      <c r="CY85" s="411"/>
      <c r="CZ85" s="411"/>
      <c r="DA85" s="411"/>
      <c r="DB85" s="411"/>
      <c r="DC85" s="411"/>
      <c r="DD85" s="411"/>
      <c r="DE85" s="411"/>
      <c r="DF85" s="411"/>
      <c r="DG85" s="411"/>
      <c r="DH85" s="411"/>
      <c r="DI85" s="411"/>
      <c r="DJ85" s="411"/>
      <c r="DK85" s="411"/>
      <c r="DL85" s="411"/>
      <c r="DM85" s="411"/>
      <c r="DN85" s="411"/>
      <c r="DO85" s="411"/>
      <c r="DP85" s="411"/>
      <c r="DQ85" s="411"/>
      <c r="DR85" s="411"/>
      <c r="DS85" s="411"/>
      <c r="DT85" s="411"/>
      <c r="DU85" s="411"/>
      <c r="DV85" s="411"/>
      <c r="DW85" s="411"/>
      <c r="DX85" s="411"/>
      <c r="DY85" s="411"/>
      <c r="DZ85" s="411"/>
      <c r="EA85" s="411"/>
      <c r="EB85" s="411"/>
      <c r="EC85" s="411"/>
      <c r="ED85" s="411"/>
      <c r="EE85" s="411"/>
      <c r="EF85" s="411"/>
      <c r="EG85" s="411"/>
      <c r="EH85" s="411"/>
      <c r="EI85" s="411"/>
      <c r="EJ85" s="411"/>
      <c r="EK85" s="411"/>
      <c r="EL85" s="411"/>
      <c r="EM85" s="411"/>
      <c r="EN85" s="411"/>
      <c r="EO85" s="411"/>
      <c r="EP85" s="411"/>
      <c r="EQ85" s="411"/>
      <c r="ER85" s="411"/>
      <c r="ES85" s="411"/>
      <c r="ET85" s="411"/>
      <c r="EU85" s="411"/>
      <c r="EV85" s="411"/>
      <c r="EW85" s="411"/>
      <c r="EX85" s="411"/>
      <c r="EY85" s="411"/>
      <c r="EZ85" s="411"/>
      <c r="FA85" s="411"/>
      <c r="FB85" s="411"/>
      <c r="FC85" s="411"/>
      <c r="FD85" s="411"/>
      <c r="FE85" s="411"/>
      <c r="FF85" s="411"/>
      <c r="FG85" s="411"/>
      <c r="FH85" s="411"/>
      <c r="FI85" s="411"/>
    </row>
    <row r="86" spans="1:165" ht="16.5" thickBot="1">
      <c r="A86" s="698"/>
      <c r="B86" s="1400"/>
      <c r="C86" s="445"/>
      <c r="D86" s="698"/>
      <c r="E86" s="703"/>
      <c r="I86" s="322"/>
      <c r="M86" s="1086"/>
      <c r="N86" s="1086"/>
      <c r="T86" s="438"/>
      <c r="U86" s="438"/>
      <c r="V86" s="447"/>
      <c r="W86" s="434"/>
      <c r="X86" s="438"/>
      <c r="Y86" s="438"/>
      <c r="Z86" s="447"/>
      <c r="AM86" s="413"/>
      <c r="AW86" s="413"/>
    </row>
    <row r="87" spans="1:165" ht="31.5">
      <c r="A87" s="697"/>
      <c r="B87" s="1400"/>
      <c r="C87" s="421" t="str">
        <f t="shared" ref="C87:C94" si="6">C72</f>
        <v>Feed item</v>
      </c>
      <c r="D87" s="585"/>
      <c r="E87" s="585" t="s">
        <v>1289</v>
      </c>
      <c r="F87" s="585" t="s">
        <v>1134</v>
      </c>
      <c r="G87" s="586" t="s">
        <v>1135</v>
      </c>
      <c r="H87" s="1352"/>
      <c r="I87" s="1334"/>
      <c r="J87" s="1334"/>
      <c r="K87" s="1334"/>
      <c r="L87" s="1334"/>
      <c r="M87" s="1334"/>
      <c r="N87" s="1334"/>
      <c r="O87" s="437"/>
      <c r="P87" s="437"/>
      <c r="Q87" s="437"/>
      <c r="R87" s="437"/>
      <c r="S87" s="437"/>
      <c r="T87" s="438"/>
      <c r="U87" s="434"/>
      <c r="V87" s="447"/>
      <c r="W87" s="447"/>
      <c r="X87" s="434"/>
      <c r="Y87" s="438"/>
      <c r="Z87" s="447"/>
      <c r="AM87" s="413"/>
      <c r="AW87" s="413"/>
    </row>
    <row r="88" spans="1:165">
      <c r="A88" s="698"/>
      <c r="B88" s="1400"/>
      <c r="C88" s="958" t="str">
        <f t="shared" si="6"/>
        <v>Rice (Oryza sativa) - bran (with germs)</v>
      </c>
      <c r="D88" s="113" t="str">
        <f t="shared" ref="D88:D94" si="7">IF(E73="Residue", D73, "-")</f>
        <v>Purchased</v>
      </c>
      <c r="E88" s="679">
        <v>1</v>
      </c>
      <c r="F88" s="679"/>
      <c r="G88" s="657">
        <v>0</v>
      </c>
      <c r="H88" s="1086"/>
      <c r="I88" s="1335"/>
      <c r="J88" s="1334"/>
      <c r="K88" s="1335"/>
      <c r="L88" s="1335"/>
      <c r="M88" s="1335"/>
      <c r="N88" s="1335"/>
      <c r="O88" s="438"/>
      <c r="P88" s="438"/>
      <c r="Q88" s="438"/>
      <c r="R88" s="438"/>
      <c r="S88" s="438"/>
      <c r="T88" s="438"/>
      <c r="U88" s="447"/>
      <c r="V88" s="447"/>
      <c r="W88" s="447"/>
      <c r="X88" s="447"/>
      <c r="Y88" s="434"/>
      <c r="Z88" s="447"/>
      <c r="AM88" s="413"/>
      <c r="AW88" s="413"/>
    </row>
    <row r="89" spans="1:165">
      <c r="A89" s="698"/>
      <c r="B89" s="1400"/>
      <c r="C89" s="964" t="str">
        <f t="shared" si="6"/>
        <v>Maize (Zea mays) - whole grain</v>
      </c>
      <c r="D89" s="113" t="str">
        <f t="shared" si="7"/>
        <v>-</v>
      </c>
      <c r="E89" s="679">
        <v>1</v>
      </c>
      <c r="F89" s="679"/>
      <c r="G89" s="657">
        <v>0</v>
      </c>
      <c r="H89" s="1086"/>
      <c r="I89" s="1335"/>
      <c r="J89" s="1334"/>
      <c r="K89" s="1335"/>
      <c r="L89" s="1335"/>
      <c r="M89" s="1335"/>
      <c r="N89" s="1335"/>
      <c r="O89" s="438"/>
      <c r="P89" s="438"/>
      <c r="Q89" s="438"/>
      <c r="R89" s="438"/>
      <c r="S89" s="438"/>
      <c r="T89" s="434"/>
      <c r="U89" s="447"/>
      <c r="V89" s="447"/>
      <c r="W89" s="447"/>
      <c r="X89" s="447"/>
      <c r="Y89" s="447"/>
      <c r="Z89" s="447"/>
      <c r="AM89" s="413"/>
      <c r="AW89" s="413"/>
    </row>
    <row r="90" spans="1:165" ht="17.25" customHeight="1">
      <c r="A90" s="698"/>
      <c r="B90" s="1400"/>
      <c r="C90" s="964" t="str">
        <f t="shared" si="6"/>
        <v>Brachiaria brizantha (forage)</v>
      </c>
      <c r="D90" s="113" t="str">
        <f t="shared" si="7"/>
        <v>-</v>
      </c>
      <c r="E90" s="679">
        <v>0.9</v>
      </c>
      <c r="F90" s="679"/>
      <c r="G90" s="657">
        <v>0</v>
      </c>
      <c r="H90" s="1086"/>
      <c r="I90" s="1335"/>
      <c r="J90" s="1334"/>
      <c r="K90" s="1335"/>
      <c r="L90" s="1335"/>
      <c r="M90" s="1335"/>
      <c r="N90" s="1335"/>
      <c r="O90" s="438"/>
      <c r="P90" s="438"/>
      <c r="Q90" s="438"/>
      <c r="R90" s="438"/>
      <c r="S90" s="438"/>
      <c r="T90" s="447"/>
      <c r="U90" s="447"/>
      <c r="V90" s="447"/>
      <c r="W90" s="447"/>
      <c r="X90" s="447"/>
      <c r="Y90" s="447"/>
      <c r="Z90" s="447"/>
      <c r="AM90" s="413"/>
      <c r="AW90" s="413"/>
    </row>
    <row r="91" spans="1:165">
      <c r="A91" s="698"/>
      <c r="B91" s="1400"/>
      <c r="C91" s="964" t="str">
        <f t="shared" si="6"/>
        <v>Concentrate (commercial)</v>
      </c>
      <c r="D91" s="113" t="str">
        <f t="shared" si="7"/>
        <v>-</v>
      </c>
      <c r="E91" s="679">
        <v>1</v>
      </c>
      <c r="F91" s="679"/>
      <c r="G91" s="657">
        <v>0</v>
      </c>
      <c r="H91" s="1086"/>
      <c r="I91" s="1335"/>
      <c r="J91" s="1334"/>
      <c r="K91" s="1335"/>
      <c r="L91" s="1335"/>
      <c r="M91" s="1335"/>
      <c r="N91" s="1335"/>
      <c r="O91" s="438"/>
      <c r="P91" s="438"/>
      <c r="Q91" s="438"/>
      <c r="R91" s="438"/>
      <c r="S91" s="438"/>
      <c r="T91" s="447"/>
      <c r="U91" s="447"/>
      <c r="V91" s="447"/>
      <c r="W91" s="447"/>
      <c r="X91" s="447"/>
      <c r="Y91" s="447"/>
      <c r="Z91" s="447"/>
      <c r="AM91" s="413"/>
      <c r="AW91" s="413"/>
    </row>
    <row r="92" spans="1:165">
      <c r="A92" s="698"/>
      <c r="B92" s="1400"/>
      <c r="C92" s="964" t="str">
        <f t="shared" si="6"/>
        <v>Rice (Oryza sativa) - straw</v>
      </c>
      <c r="D92" s="113" t="str">
        <f t="shared" si="7"/>
        <v>Rice</v>
      </c>
      <c r="E92" s="679">
        <v>1</v>
      </c>
      <c r="F92" s="679">
        <v>0.8</v>
      </c>
      <c r="G92" s="657">
        <v>0</v>
      </c>
      <c r="H92" s="1086"/>
      <c r="I92" s="1335"/>
      <c r="J92" s="1334"/>
      <c r="K92" s="1335"/>
      <c r="L92" s="1335"/>
      <c r="M92" s="1335"/>
      <c r="N92" s="1335"/>
      <c r="O92" s="438"/>
      <c r="P92" s="438"/>
      <c r="Q92" s="438"/>
      <c r="R92" s="438"/>
      <c r="S92" s="438"/>
      <c r="T92" s="447"/>
      <c r="U92" s="447"/>
      <c r="V92" s="447"/>
      <c r="W92" s="447"/>
      <c r="X92" s="447"/>
      <c r="Y92" s="447"/>
      <c r="Z92" s="447"/>
      <c r="AM92" s="413"/>
      <c r="AW92" s="413"/>
      <c r="AY92" s="413"/>
    </row>
    <row r="93" spans="1:165">
      <c r="A93" s="698"/>
      <c r="B93" s="1400"/>
      <c r="C93" s="964" t="str">
        <f t="shared" si="6"/>
        <v>Naturally occuring pasture - grazing</v>
      </c>
      <c r="D93" s="113" t="str">
        <f t="shared" si="7"/>
        <v>-</v>
      </c>
      <c r="E93" s="679">
        <v>0.6</v>
      </c>
      <c r="F93" s="679"/>
      <c r="G93" s="657">
        <v>0</v>
      </c>
      <c r="H93" s="1086"/>
      <c r="I93" s="1335"/>
      <c r="J93" s="1334"/>
      <c r="K93" s="1335"/>
      <c r="L93" s="1335"/>
      <c r="M93" s="1335"/>
      <c r="N93" s="1335"/>
      <c r="O93" s="438"/>
      <c r="P93" s="438"/>
      <c r="Q93" s="438"/>
      <c r="R93" s="438"/>
      <c r="S93" s="438"/>
      <c r="T93" s="447"/>
      <c r="U93" s="447"/>
      <c r="V93" s="447"/>
      <c r="W93" s="447"/>
      <c r="X93" s="447"/>
      <c r="Y93" s="447"/>
      <c r="Z93" s="447"/>
      <c r="AL93" s="413"/>
      <c r="AV93" s="413"/>
      <c r="AY93" s="413"/>
    </row>
    <row r="94" spans="1:165" ht="16.5" thickBot="1">
      <c r="A94" s="698"/>
      <c r="B94" s="1400"/>
      <c r="C94" s="680" t="str">
        <f t="shared" si="6"/>
        <v>Pennisetum purpureum - forage</v>
      </c>
      <c r="D94" s="624" t="str">
        <f t="shared" si="7"/>
        <v>-</v>
      </c>
      <c r="E94" s="687">
        <v>0.9</v>
      </c>
      <c r="F94" s="687"/>
      <c r="G94" s="688">
        <v>0</v>
      </c>
      <c r="H94" s="1086"/>
      <c r="I94" s="1335"/>
      <c r="J94" s="1335"/>
      <c r="K94" s="1335"/>
      <c r="L94" s="1335"/>
      <c r="M94" s="1335"/>
      <c r="N94" s="1335"/>
      <c r="O94" s="438"/>
      <c r="P94" s="447"/>
      <c r="Q94" s="447"/>
      <c r="R94" s="447"/>
      <c r="S94" s="447"/>
      <c r="T94" s="447"/>
      <c r="U94" s="447"/>
      <c r="V94" s="447"/>
      <c r="AH94" s="413"/>
      <c r="AR94" s="413"/>
      <c r="AU94" s="413"/>
    </row>
    <row r="95" spans="1:165" ht="16.5" thickBot="1">
      <c r="A95" s="698"/>
      <c r="B95" s="708"/>
      <c r="C95" s="697"/>
      <c r="D95" s="697"/>
      <c r="E95" s="698"/>
      <c r="F95" s="698"/>
      <c r="H95" s="438"/>
      <c r="I95" s="438"/>
      <c r="J95" s="445"/>
      <c r="K95" s="445"/>
      <c r="L95" s="434"/>
      <c r="M95" s="1336"/>
      <c r="N95" s="1336"/>
      <c r="O95" s="434"/>
      <c r="P95" s="447"/>
      <c r="Q95" s="447"/>
      <c r="R95" s="447"/>
      <c r="S95" s="447"/>
      <c r="T95" s="447"/>
      <c r="U95" s="447"/>
      <c r="V95" s="447"/>
      <c r="AH95" s="413"/>
      <c r="AR95" s="413"/>
      <c r="AU95" s="413"/>
    </row>
    <row r="96" spans="1:165" ht="31.5">
      <c r="A96" s="698"/>
      <c r="B96" s="1401" t="s">
        <v>825</v>
      </c>
      <c r="C96" s="421" t="str">
        <f t="shared" ref="C96:C103" si="8">C87</f>
        <v>Feed item</v>
      </c>
      <c r="D96" s="693"/>
      <c r="E96" s="585" t="s">
        <v>1729</v>
      </c>
      <c r="F96" s="586" t="s">
        <v>1643</v>
      </c>
      <c r="G96" s="1354"/>
      <c r="H96" s="1354"/>
      <c r="I96" s="1354"/>
      <c r="J96" s="1355"/>
      <c r="K96" s="1355"/>
      <c r="L96" s="1355"/>
      <c r="M96" s="1337"/>
      <c r="N96" s="1337"/>
      <c r="O96" s="447"/>
      <c r="P96" s="447"/>
      <c r="Q96" s="447"/>
      <c r="R96" s="447"/>
      <c r="S96" s="447"/>
      <c r="T96" s="447"/>
      <c r="U96" s="447"/>
      <c r="V96" s="447"/>
      <c r="AH96" s="413"/>
      <c r="AR96" s="413"/>
      <c r="AU96" s="413"/>
    </row>
    <row r="97" spans="1:161" s="442" customFormat="1" ht="15.75" customHeight="1">
      <c r="A97" s="698"/>
      <c r="B97" s="1402"/>
      <c r="C97" s="964" t="str">
        <f t="shared" si="8"/>
        <v>Rice (Oryza sativa) - bran (with germs)</v>
      </c>
      <c r="D97" s="1290" t="str">
        <f t="shared" ref="D97:D103" si="9">D73</f>
        <v>Purchased</v>
      </c>
      <c r="E97" s="348">
        <v>0</v>
      </c>
      <c r="F97" s="1359">
        <v>0</v>
      </c>
      <c r="G97" s="1356"/>
      <c r="H97" s="1354"/>
      <c r="I97" s="1354"/>
      <c r="J97" s="1357"/>
      <c r="K97" s="1357"/>
      <c r="L97" s="1357"/>
      <c r="M97" s="447"/>
      <c r="N97" s="447"/>
      <c r="O97" s="447"/>
      <c r="P97" s="447"/>
      <c r="Q97" s="447"/>
      <c r="R97" s="447"/>
      <c r="S97" s="447"/>
      <c r="T97" s="447"/>
      <c r="U97" s="447"/>
      <c r="V97" s="447"/>
      <c r="W97" s="411"/>
      <c r="X97" s="411"/>
      <c r="Y97" s="411"/>
      <c r="Z97" s="411"/>
      <c r="AA97" s="411"/>
      <c r="AB97" s="411"/>
      <c r="AC97" s="411"/>
      <c r="AD97" s="411"/>
      <c r="AE97" s="411"/>
      <c r="AF97" s="411"/>
      <c r="AG97" s="411"/>
      <c r="AH97" s="413"/>
      <c r="AI97" s="411"/>
      <c r="AJ97" s="411"/>
      <c r="AK97" s="411"/>
      <c r="AL97" s="411"/>
      <c r="AM97" s="411"/>
      <c r="AN97" s="411"/>
      <c r="AO97" s="411"/>
      <c r="AP97" s="411"/>
      <c r="AQ97" s="411"/>
      <c r="AR97" s="413"/>
      <c r="AS97" s="411"/>
      <c r="AT97" s="411"/>
      <c r="AU97" s="413"/>
      <c r="AV97" s="411"/>
      <c r="AW97" s="411"/>
      <c r="AX97" s="411"/>
      <c r="AY97" s="411"/>
      <c r="AZ97" s="411"/>
      <c r="BA97" s="411"/>
      <c r="BB97" s="411"/>
      <c r="BC97" s="411"/>
      <c r="BD97" s="411"/>
      <c r="BE97" s="411"/>
      <c r="BF97" s="411"/>
      <c r="BG97" s="411"/>
      <c r="BH97" s="411"/>
      <c r="BI97" s="411"/>
      <c r="BJ97" s="411"/>
      <c r="BK97" s="411"/>
      <c r="BL97" s="411"/>
      <c r="BM97" s="411"/>
      <c r="BN97" s="411"/>
      <c r="BO97" s="411"/>
      <c r="BP97" s="411"/>
      <c r="BQ97" s="411"/>
      <c r="BR97" s="411"/>
      <c r="BS97" s="411"/>
      <c r="BT97" s="411"/>
      <c r="BU97" s="411"/>
      <c r="BV97" s="411"/>
      <c r="BW97" s="411"/>
      <c r="BX97" s="411"/>
      <c r="BY97" s="411"/>
      <c r="BZ97" s="411"/>
      <c r="CA97" s="411"/>
      <c r="CB97" s="411"/>
      <c r="CC97" s="411"/>
      <c r="CD97" s="411"/>
      <c r="CE97" s="411"/>
      <c r="CF97" s="411"/>
      <c r="CG97" s="411"/>
      <c r="CH97" s="411"/>
      <c r="CI97" s="411"/>
      <c r="CJ97" s="411"/>
      <c r="CK97" s="411"/>
      <c r="CL97" s="411"/>
      <c r="CM97" s="411"/>
      <c r="CN97" s="411"/>
      <c r="CO97" s="411"/>
      <c r="CP97" s="411"/>
      <c r="CQ97" s="411"/>
      <c r="CR97" s="411"/>
      <c r="CS97" s="411"/>
      <c r="CT97" s="411"/>
      <c r="CU97" s="411"/>
      <c r="CV97" s="411"/>
      <c r="CW97" s="411"/>
      <c r="CX97" s="411"/>
      <c r="CY97" s="411"/>
      <c r="CZ97" s="411"/>
      <c r="DA97" s="411"/>
      <c r="DB97" s="411"/>
      <c r="DC97" s="411"/>
      <c r="DD97" s="411"/>
      <c r="DE97" s="411"/>
      <c r="DF97" s="411"/>
      <c r="DG97" s="411"/>
      <c r="DH97" s="411"/>
      <c r="DI97" s="411"/>
      <c r="DJ97" s="411"/>
      <c r="DK97" s="411"/>
      <c r="DL97" s="411"/>
      <c r="DM97" s="411"/>
      <c r="DN97" s="411"/>
      <c r="DO97" s="411"/>
      <c r="DP97" s="411"/>
      <c r="DQ97" s="411"/>
      <c r="DR97" s="411"/>
      <c r="DS97" s="411"/>
      <c r="DT97" s="411"/>
      <c r="DU97" s="411"/>
      <c r="DV97" s="411"/>
      <c r="DW97" s="411"/>
      <c r="DX97" s="411"/>
      <c r="DY97" s="411"/>
      <c r="DZ97" s="411"/>
      <c r="EA97" s="411"/>
      <c r="EB97" s="411"/>
      <c r="EC97" s="411"/>
      <c r="ED97" s="411"/>
      <c r="EE97" s="411"/>
      <c r="EF97" s="411"/>
      <c r="EG97" s="411"/>
      <c r="EH97" s="411"/>
      <c r="EI97" s="411"/>
      <c r="EJ97" s="411"/>
      <c r="EK97" s="411"/>
      <c r="EL97" s="411"/>
      <c r="EM97" s="411"/>
      <c r="EN97" s="411"/>
      <c r="EO97" s="411"/>
      <c r="EP97" s="411"/>
      <c r="EQ97" s="411"/>
      <c r="ER97" s="411"/>
      <c r="ES97" s="411"/>
      <c r="ET97" s="411"/>
      <c r="EU97" s="411"/>
      <c r="EV97" s="411"/>
      <c r="EW97" s="411"/>
      <c r="EX97" s="411"/>
      <c r="EY97" s="411"/>
      <c r="EZ97" s="411"/>
      <c r="FA97" s="411"/>
      <c r="FB97" s="411"/>
      <c r="FC97" s="411"/>
      <c r="FD97" s="411"/>
      <c r="FE97" s="411"/>
    </row>
    <row r="98" spans="1:161" s="442" customFormat="1" ht="15.75" customHeight="1">
      <c r="A98" s="698"/>
      <c r="B98" s="1402"/>
      <c r="C98" s="964" t="str">
        <f t="shared" si="8"/>
        <v>Maize (Zea mays) - whole grain</v>
      </c>
      <c r="D98" s="1290" t="str">
        <f t="shared" si="9"/>
        <v>Maize</v>
      </c>
      <c r="E98" s="348">
        <v>0</v>
      </c>
      <c r="F98" s="1359">
        <v>0</v>
      </c>
      <c r="G98" s="1356"/>
      <c r="H98" s="1354"/>
      <c r="I98" s="1354"/>
      <c r="J98" s="1357"/>
      <c r="K98" s="1357"/>
      <c r="L98" s="1357"/>
      <c r="M98" s="447"/>
      <c r="N98" s="447"/>
      <c r="O98" s="447"/>
      <c r="P98" s="447"/>
      <c r="Q98" s="447"/>
      <c r="R98" s="447"/>
      <c r="S98" s="447"/>
      <c r="T98" s="447"/>
      <c r="U98" s="447"/>
      <c r="V98" s="447"/>
      <c r="W98" s="411"/>
      <c r="X98" s="411"/>
      <c r="Y98" s="411"/>
      <c r="Z98" s="411"/>
      <c r="AA98" s="411"/>
      <c r="AB98" s="411"/>
      <c r="AC98" s="411"/>
      <c r="AD98" s="411"/>
      <c r="AE98" s="411"/>
      <c r="AF98" s="411"/>
      <c r="AG98" s="411"/>
      <c r="AH98" s="413"/>
      <c r="AI98" s="411"/>
      <c r="AJ98" s="411"/>
      <c r="AK98" s="411"/>
      <c r="AL98" s="411"/>
      <c r="AM98" s="411"/>
      <c r="AN98" s="411"/>
      <c r="AO98" s="411"/>
      <c r="AP98" s="411"/>
      <c r="AQ98" s="411"/>
      <c r="AR98" s="413"/>
      <c r="AS98" s="411"/>
      <c r="AT98" s="411"/>
      <c r="AU98" s="413"/>
      <c r="AV98" s="411"/>
      <c r="AW98" s="411"/>
      <c r="AX98" s="411"/>
      <c r="AY98" s="411"/>
      <c r="AZ98" s="411"/>
      <c r="BA98" s="411"/>
      <c r="BB98" s="411"/>
      <c r="BC98" s="411"/>
      <c r="BD98" s="411"/>
      <c r="BE98" s="411"/>
      <c r="BF98" s="411"/>
      <c r="BG98" s="411"/>
      <c r="BH98" s="411"/>
      <c r="BI98" s="411"/>
      <c r="BJ98" s="411"/>
      <c r="BK98" s="411"/>
      <c r="BL98" s="411"/>
      <c r="BM98" s="411"/>
      <c r="BN98" s="411"/>
      <c r="BO98" s="411"/>
      <c r="BP98" s="411"/>
      <c r="BQ98" s="411"/>
      <c r="BR98" s="411"/>
      <c r="BS98" s="411"/>
      <c r="BT98" s="411"/>
      <c r="BU98" s="411"/>
      <c r="BV98" s="411"/>
      <c r="BW98" s="411"/>
      <c r="BX98" s="411"/>
      <c r="BY98" s="411"/>
      <c r="BZ98" s="411"/>
      <c r="CA98" s="411"/>
      <c r="CB98" s="411"/>
      <c r="CC98" s="411"/>
      <c r="CD98" s="411"/>
      <c r="CE98" s="411"/>
      <c r="CF98" s="411"/>
      <c r="CG98" s="411"/>
      <c r="CH98" s="411"/>
      <c r="CI98" s="411"/>
      <c r="CJ98" s="411"/>
      <c r="CK98" s="411"/>
      <c r="CL98" s="411"/>
      <c r="CM98" s="411"/>
      <c r="CN98" s="411"/>
      <c r="CO98" s="411"/>
      <c r="CP98" s="411"/>
      <c r="CQ98" s="411"/>
      <c r="CR98" s="411"/>
      <c r="CS98" s="411"/>
      <c r="CT98" s="411"/>
      <c r="CU98" s="411"/>
      <c r="CV98" s="411"/>
      <c r="CW98" s="411"/>
      <c r="CX98" s="411"/>
      <c r="CY98" s="411"/>
      <c r="CZ98" s="411"/>
      <c r="DA98" s="411"/>
      <c r="DB98" s="411"/>
      <c r="DC98" s="411"/>
      <c r="DD98" s="411"/>
      <c r="DE98" s="411"/>
      <c r="DF98" s="411"/>
      <c r="DG98" s="411"/>
      <c r="DH98" s="411"/>
      <c r="DI98" s="411"/>
      <c r="DJ98" s="411"/>
      <c r="DK98" s="411"/>
      <c r="DL98" s="411"/>
      <c r="DM98" s="411"/>
      <c r="DN98" s="411"/>
      <c r="DO98" s="411"/>
      <c r="DP98" s="411"/>
      <c r="DQ98" s="411"/>
      <c r="DR98" s="411"/>
      <c r="DS98" s="411"/>
      <c r="DT98" s="411"/>
      <c r="DU98" s="411"/>
      <c r="DV98" s="411"/>
      <c r="DW98" s="411"/>
      <c r="DX98" s="411"/>
      <c r="DY98" s="411"/>
      <c r="DZ98" s="411"/>
      <c r="EA98" s="411"/>
      <c r="EB98" s="411"/>
      <c r="EC98" s="411"/>
      <c r="ED98" s="411"/>
      <c r="EE98" s="411"/>
      <c r="EF98" s="411"/>
      <c r="EG98" s="411"/>
      <c r="EH98" s="411"/>
      <c r="EI98" s="411"/>
      <c r="EJ98" s="411"/>
      <c r="EK98" s="411"/>
      <c r="EL98" s="411"/>
      <c r="EM98" s="411"/>
      <c r="EN98" s="411"/>
      <c r="EO98" s="411"/>
      <c r="EP98" s="411"/>
      <c r="EQ98" s="411"/>
      <c r="ER98" s="411"/>
      <c r="ES98" s="411"/>
      <c r="ET98" s="411"/>
      <c r="EU98" s="411"/>
      <c r="EV98" s="411"/>
      <c r="EW98" s="411"/>
      <c r="EX98" s="411"/>
      <c r="EY98" s="411"/>
      <c r="EZ98" s="411"/>
      <c r="FA98" s="411"/>
      <c r="FB98" s="411"/>
      <c r="FC98" s="411"/>
      <c r="FD98" s="411"/>
      <c r="FE98" s="411"/>
    </row>
    <row r="99" spans="1:161" s="442" customFormat="1" ht="15.75" customHeight="1">
      <c r="A99" s="698"/>
      <c r="B99" s="1402"/>
      <c r="C99" s="964" t="str">
        <f t="shared" si="8"/>
        <v>Brachiaria brizantha (forage)</v>
      </c>
      <c r="D99" s="1290" t="str">
        <f t="shared" si="9"/>
        <v xml:space="preserve">Brachiaria brizantha </v>
      </c>
      <c r="E99" s="348">
        <v>0</v>
      </c>
      <c r="F99" s="1359">
        <v>1</v>
      </c>
      <c r="G99" s="1356"/>
      <c r="H99" s="1354"/>
      <c r="I99" s="1354"/>
      <c r="J99" s="1357"/>
      <c r="K99" s="1357"/>
      <c r="L99" s="1357"/>
      <c r="M99" s="447"/>
      <c r="N99" s="447"/>
      <c r="O99" s="447"/>
      <c r="P99" s="447"/>
      <c r="Q99" s="447"/>
      <c r="R99" s="447"/>
      <c r="S99" s="447"/>
      <c r="T99" s="447"/>
      <c r="U99" s="447"/>
      <c r="V99" s="447"/>
      <c r="W99" s="411"/>
      <c r="X99" s="411"/>
      <c r="Y99" s="411"/>
      <c r="Z99" s="411"/>
      <c r="AA99" s="413"/>
      <c r="AB99" s="413"/>
      <c r="AC99" s="411"/>
      <c r="AD99" s="411"/>
      <c r="AE99" s="411"/>
      <c r="AF99" s="411"/>
      <c r="AG99" s="411"/>
      <c r="AH99" s="413"/>
      <c r="AI99" s="411"/>
      <c r="AJ99" s="411"/>
      <c r="AK99" s="411"/>
      <c r="AL99" s="411"/>
      <c r="AM99" s="411"/>
      <c r="AN99" s="411"/>
      <c r="AO99" s="411"/>
      <c r="AP99" s="411"/>
      <c r="AQ99" s="411"/>
      <c r="AR99" s="413"/>
      <c r="AS99" s="411"/>
      <c r="AT99" s="411"/>
      <c r="AU99" s="411"/>
      <c r="AV99" s="411"/>
      <c r="AW99" s="411"/>
      <c r="AX99" s="411"/>
      <c r="AY99" s="411"/>
      <c r="AZ99" s="411"/>
      <c r="BA99" s="411"/>
      <c r="BB99" s="411"/>
      <c r="BC99" s="411"/>
      <c r="BD99" s="411"/>
      <c r="BE99" s="411"/>
      <c r="BF99" s="411"/>
      <c r="BG99" s="411"/>
      <c r="BH99" s="411"/>
      <c r="BI99" s="411"/>
      <c r="BJ99" s="411"/>
      <c r="BK99" s="411"/>
      <c r="BL99" s="411"/>
      <c r="BM99" s="411"/>
      <c r="BN99" s="411"/>
      <c r="BO99" s="411"/>
      <c r="BP99" s="411"/>
      <c r="BQ99" s="411"/>
      <c r="BR99" s="411"/>
      <c r="BS99" s="411"/>
      <c r="BT99" s="411"/>
      <c r="BU99" s="411"/>
      <c r="BV99" s="411"/>
      <c r="BW99" s="411"/>
      <c r="BX99" s="411"/>
      <c r="BY99" s="411"/>
      <c r="BZ99" s="411"/>
      <c r="CA99" s="411"/>
      <c r="CB99" s="411"/>
      <c r="CC99" s="411"/>
      <c r="CD99" s="411"/>
      <c r="CE99" s="411"/>
      <c r="CF99" s="411"/>
      <c r="CG99" s="411"/>
      <c r="CH99" s="411"/>
      <c r="CI99" s="411"/>
      <c r="CJ99" s="411"/>
      <c r="CK99" s="411"/>
      <c r="CL99" s="411"/>
      <c r="CM99" s="411"/>
      <c r="CN99" s="411"/>
      <c r="CO99" s="411"/>
      <c r="CP99" s="411"/>
      <c r="CQ99" s="411"/>
      <c r="CR99" s="411"/>
      <c r="CS99" s="411"/>
      <c r="CT99" s="411"/>
      <c r="CU99" s="411"/>
      <c r="CV99" s="411"/>
      <c r="CW99" s="411"/>
      <c r="CX99" s="411"/>
      <c r="CY99" s="411"/>
      <c r="CZ99" s="411"/>
      <c r="DA99" s="411"/>
      <c r="DB99" s="411"/>
      <c r="DC99" s="411"/>
      <c r="DD99" s="411"/>
      <c r="DE99" s="411"/>
      <c r="DF99" s="411"/>
      <c r="DG99" s="411"/>
      <c r="DH99" s="411"/>
      <c r="DI99" s="411"/>
      <c r="DJ99" s="411"/>
      <c r="DK99" s="411"/>
      <c r="DL99" s="411"/>
      <c r="DM99" s="411"/>
      <c r="DN99" s="411"/>
      <c r="DO99" s="411"/>
      <c r="DP99" s="411"/>
      <c r="DQ99" s="411"/>
      <c r="DR99" s="411"/>
      <c r="DS99" s="411"/>
      <c r="DT99" s="411"/>
      <c r="DU99" s="411"/>
      <c r="DV99" s="411"/>
      <c r="DW99" s="411"/>
      <c r="DX99" s="411"/>
      <c r="DY99" s="411"/>
      <c r="DZ99" s="411"/>
      <c r="EA99" s="411"/>
      <c r="EB99" s="411"/>
      <c r="EC99" s="411"/>
      <c r="ED99" s="411"/>
      <c r="EE99" s="411"/>
      <c r="EF99" s="411"/>
      <c r="EG99" s="411"/>
      <c r="EH99" s="411"/>
      <c r="EI99" s="411"/>
      <c r="EJ99" s="411"/>
      <c r="EK99" s="411"/>
      <c r="EL99" s="411"/>
      <c r="EM99" s="411"/>
      <c r="EN99" s="411"/>
      <c r="EO99" s="411"/>
      <c r="EP99" s="411"/>
      <c r="EQ99" s="411"/>
      <c r="ER99" s="411"/>
      <c r="ES99" s="411"/>
      <c r="ET99" s="411"/>
      <c r="EU99" s="411"/>
      <c r="EV99" s="411"/>
      <c r="EW99" s="411"/>
      <c r="EX99" s="411"/>
      <c r="EY99" s="411"/>
      <c r="EZ99" s="411"/>
      <c r="FA99" s="411"/>
      <c r="FB99" s="411"/>
      <c r="FC99" s="411"/>
      <c r="FD99" s="411"/>
      <c r="FE99" s="411"/>
    </row>
    <row r="100" spans="1:161" s="442" customFormat="1" ht="15.75" customHeight="1">
      <c r="A100" s="698"/>
      <c r="B100" s="1402"/>
      <c r="C100" s="964" t="str">
        <f t="shared" si="8"/>
        <v>Concentrate (commercial)</v>
      </c>
      <c r="D100" s="1290" t="str">
        <f t="shared" si="9"/>
        <v>Purchased</v>
      </c>
      <c r="E100" s="348">
        <v>0</v>
      </c>
      <c r="F100" s="1359">
        <v>0</v>
      </c>
      <c r="G100" s="1356"/>
      <c r="H100" s="1354"/>
      <c r="I100" s="1354"/>
      <c r="J100" s="1357"/>
      <c r="K100" s="1357"/>
      <c r="L100" s="1357"/>
      <c r="M100" s="447"/>
      <c r="N100" s="447"/>
      <c r="O100" s="447"/>
      <c r="P100" s="447"/>
      <c r="Q100" s="447"/>
      <c r="R100" s="434"/>
      <c r="S100" s="447"/>
      <c r="T100" s="447"/>
      <c r="U100" s="447"/>
      <c r="V100" s="434"/>
      <c r="W100" s="411"/>
      <c r="X100" s="411"/>
      <c r="Y100" s="411"/>
      <c r="Z100" s="411"/>
      <c r="AA100" s="411"/>
      <c r="AB100" s="411"/>
      <c r="AC100" s="411"/>
      <c r="AD100" s="411"/>
      <c r="AE100" s="411"/>
      <c r="AF100" s="411"/>
      <c r="AG100" s="411"/>
      <c r="AH100" s="411"/>
      <c r="AI100" s="411"/>
      <c r="AJ100" s="411"/>
      <c r="AK100" s="411"/>
      <c r="AL100" s="411"/>
      <c r="AM100" s="411"/>
      <c r="AN100" s="411"/>
      <c r="AO100" s="411"/>
      <c r="AP100" s="411"/>
      <c r="AQ100" s="413"/>
      <c r="AR100" s="411"/>
      <c r="AS100" s="411"/>
      <c r="AT100" s="413"/>
      <c r="AU100" s="411"/>
      <c r="AV100" s="411"/>
      <c r="AW100" s="411"/>
      <c r="AX100" s="411"/>
      <c r="AY100" s="411"/>
      <c r="AZ100" s="411"/>
      <c r="BA100" s="411"/>
      <c r="BB100" s="411"/>
      <c r="BC100" s="411"/>
      <c r="BD100" s="411"/>
      <c r="BE100" s="411"/>
      <c r="BF100" s="411"/>
      <c r="BG100" s="411"/>
      <c r="BH100" s="411"/>
      <c r="BI100" s="411"/>
      <c r="BJ100" s="411"/>
      <c r="BK100" s="411"/>
      <c r="BL100" s="411"/>
      <c r="BM100" s="411"/>
      <c r="BN100" s="411"/>
      <c r="BO100" s="411"/>
      <c r="BP100" s="411"/>
      <c r="BQ100" s="411"/>
      <c r="BR100" s="411"/>
      <c r="BS100" s="411"/>
      <c r="BT100" s="411"/>
      <c r="BU100" s="411"/>
      <c r="BV100" s="411"/>
      <c r="BW100" s="411"/>
      <c r="BX100" s="411"/>
      <c r="BY100" s="411"/>
      <c r="BZ100" s="411"/>
      <c r="CA100" s="411"/>
      <c r="CB100" s="411"/>
      <c r="CC100" s="411"/>
      <c r="CD100" s="411"/>
      <c r="CE100" s="411"/>
      <c r="CF100" s="411"/>
      <c r="CG100" s="411"/>
      <c r="CH100" s="411"/>
      <c r="CI100" s="411"/>
      <c r="CJ100" s="411"/>
      <c r="CK100" s="411"/>
      <c r="CL100" s="411"/>
      <c r="CM100" s="411"/>
      <c r="CN100" s="411"/>
      <c r="CO100" s="411"/>
      <c r="CP100" s="411"/>
      <c r="CQ100" s="411"/>
      <c r="CR100" s="411"/>
      <c r="CS100" s="411"/>
      <c r="CT100" s="411"/>
      <c r="CU100" s="411"/>
      <c r="CV100" s="411"/>
      <c r="CW100" s="411"/>
      <c r="CX100" s="411"/>
      <c r="CY100" s="411"/>
      <c r="CZ100" s="411"/>
      <c r="DA100" s="411"/>
      <c r="DB100" s="411"/>
      <c r="DC100" s="411"/>
      <c r="DD100" s="411"/>
      <c r="DE100" s="411"/>
      <c r="DF100" s="411"/>
      <c r="DG100" s="411"/>
      <c r="DH100" s="411"/>
      <c r="DI100" s="411"/>
      <c r="DJ100" s="411"/>
      <c r="DK100" s="411"/>
      <c r="DL100" s="411"/>
      <c r="DM100" s="411"/>
      <c r="DN100" s="411"/>
      <c r="DO100" s="411"/>
      <c r="DP100" s="411"/>
      <c r="DQ100" s="411"/>
      <c r="DR100" s="411"/>
      <c r="DS100" s="411"/>
      <c r="DT100" s="411"/>
      <c r="DU100" s="411"/>
      <c r="DV100" s="411"/>
      <c r="DW100" s="411"/>
      <c r="DX100" s="411"/>
      <c r="DY100" s="411"/>
      <c r="DZ100" s="411"/>
      <c r="EA100" s="411"/>
      <c r="EB100" s="411"/>
      <c r="EC100" s="411"/>
      <c r="ED100" s="411"/>
      <c r="EE100" s="411"/>
      <c r="EF100" s="411"/>
      <c r="EG100" s="411"/>
      <c r="EH100" s="411"/>
      <c r="EI100" s="411"/>
      <c r="EJ100" s="411"/>
      <c r="EK100" s="411"/>
      <c r="EL100" s="411"/>
      <c r="EM100" s="411"/>
      <c r="EN100" s="411"/>
      <c r="EO100" s="411"/>
      <c r="EP100" s="411"/>
      <c r="EQ100" s="411"/>
      <c r="ER100" s="411"/>
      <c r="ES100" s="411"/>
      <c r="ET100" s="411"/>
      <c r="EU100" s="411"/>
      <c r="EV100" s="411"/>
      <c r="EW100" s="411"/>
      <c r="EX100" s="411"/>
      <c r="EY100" s="411"/>
      <c r="EZ100" s="411"/>
      <c r="FA100" s="411"/>
      <c r="FB100" s="411"/>
      <c r="FC100" s="411"/>
      <c r="FD100" s="411"/>
      <c r="FE100" s="411"/>
    </row>
    <row r="101" spans="1:161" s="442" customFormat="1" ht="15.75" customHeight="1">
      <c r="A101" s="698"/>
      <c r="B101" s="1402"/>
      <c r="C101" s="964" t="str">
        <f t="shared" si="8"/>
        <v>Rice (Oryza sativa) - straw</v>
      </c>
      <c r="D101" s="1290" t="str">
        <f t="shared" si="9"/>
        <v>Rice</v>
      </c>
      <c r="E101" s="348">
        <v>0</v>
      </c>
      <c r="F101" s="1359">
        <v>0</v>
      </c>
      <c r="G101" s="1356"/>
      <c r="H101" s="1354"/>
      <c r="I101" s="1354"/>
      <c r="J101" s="1357"/>
      <c r="K101" s="1357"/>
      <c r="L101" s="1357"/>
      <c r="M101" s="447"/>
      <c r="N101" s="447"/>
      <c r="O101" s="447"/>
      <c r="P101" s="447"/>
      <c r="Q101" s="447"/>
      <c r="R101" s="411"/>
      <c r="S101" s="434"/>
      <c r="T101" s="447"/>
      <c r="U101" s="447"/>
      <c r="V101" s="411"/>
      <c r="W101" s="411"/>
      <c r="X101" s="411"/>
      <c r="Y101" s="411"/>
      <c r="Z101" s="411"/>
      <c r="AA101" s="411"/>
      <c r="AB101" s="411"/>
      <c r="AC101" s="411"/>
      <c r="AD101" s="411"/>
      <c r="AE101" s="411"/>
      <c r="AF101" s="411"/>
      <c r="AG101" s="411"/>
      <c r="AH101" s="411"/>
      <c r="AI101" s="411"/>
      <c r="AJ101" s="411"/>
      <c r="AK101" s="411"/>
      <c r="AL101" s="411"/>
      <c r="AM101" s="411"/>
      <c r="AN101" s="411"/>
      <c r="AO101" s="411"/>
      <c r="AP101" s="411"/>
      <c r="AQ101" s="413"/>
      <c r="AR101" s="411"/>
      <c r="AS101" s="411"/>
      <c r="AT101" s="413"/>
      <c r="AU101" s="411"/>
      <c r="AV101" s="411"/>
      <c r="AW101" s="411"/>
      <c r="AX101" s="411"/>
      <c r="AY101" s="411"/>
      <c r="AZ101" s="411"/>
      <c r="BA101" s="411"/>
      <c r="BB101" s="411"/>
      <c r="BC101" s="411"/>
      <c r="BD101" s="411"/>
      <c r="BE101" s="411"/>
      <c r="BF101" s="411"/>
      <c r="BG101" s="411"/>
      <c r="BH101" s="411"/>
      <c r="BI101" s="411"/>
      <c r="BJ101" s="411"/>
      <c r="BK101" s="411"/>
      <c r="BL101" s="411"/>
      <c r="BM101" s="411"/>
      <c r="BN101" s="411"/>
      <c r="BO101" s="411"/>
      <c r="BP101" s="411"/>
      <c r="BQ101" s="411"/>
      <c r="BR101" s="411"/>
      <c r="BS101" s="411"/>
      <c r="BT101" s="411"/>
      <c r="BU101" s="411"/>
      <c r="BV101" s="411"/>
      <c r="BW101" s="411"/>
      <c r="BX101" s="411"/>
      <c r="BY101" s="411"/>
      <c r="BZ101" s="411"/>
      <c r="CA101" s="411"/>
      <c r="CB101" s="411"/>
      <c r="CC101" s="411"/>
      <c r="CD101" s="411"/>
      <c r="CE101" s="411"/>
      <c r="CF101" s="411"/>
      <c r="CG101" s="411"/>
      <c r="CH101" s="411"/>
      <c r="CI101" s="411"/>
      <c r="CJ101" s="411"/>
      <c r="CK101" s="411"/>
      <c r="CL101" s="411"/>
      <c r="CM101" s="411"/>
      <c r="CN101" s="411"/>
      <c r="CO101" s="411"/>
      <c r="CP101" s="411"/>
      <c r="CQ101" s="411"/>
      <c r="CR101" s="411"/>
      <c r="CS101" s="411"/>
      <c r="CT101" s="411"/>
      <c r="CU101" s="411"/>
      <c r="CV101" s="411"/>
      <c r="CW101" s="411"/>
      <c r="CX101" s="411"/>
      <c r="CY101" s="411"/>
      <c r="CZ101" s="411"/>
      <c r="DA101" s="411"/>
      <c r="DB101" s="411"/>
      <c r="DC101" s="411"/>
      <c r="DD101" s="411"/>
      <c r="DE101" s="411"/>
      <c r="DF101" s="411"/>
      <c r="DG101" s="411"/>
      <c r="DH101" s="411"/>
      <c r="DI101" s="411"/>
      <c r="DJ101" s="411"/>
      <c r="DK101" s="411"/>
      <c r="DL101" s="411"/>
      <c r="DM101" s="411"/>
      <c r="DN101" s="411"/>
      <c r="DO101" s="411"/>
      <c r="DP101" s="411"/>
      <c r="DQ101" s="411"/>
      <c r="DR101" s="411"/>
      <c r="DS101" s="411"/>
      <c r="DT101" s="411"/>
      <c r="DU101" s="411"/>
      <c r="DV101" s="411"/>
      <c r="DW101" s="411"/>
      <c r="DX101" s="411"/>
      <c r="DY101" s="411"/>
      <c r="DZ101" s="411"/>
      <c r="EA101" s="411"/>
      <c r="EB101" s="411"/>
      <c r="EC101" s="411"/>
      <c r="ED101" s="411"/>
      <c r="EE101" s="411"/>
      <c r="EF101" s="411"/>
      <c r="EG101" s="411"/>
      <c r="EH101" s="411"/>
      <c r="EI101" s="411"/>
      <c r="EJ101" s="411"/>
      <c r="EK101" s="411"/>
      <c r="EL101" s="411"/>
      <c r="EM101" s="411"/>
      <c r="EN101" s="411"/>
      <c r="EO101" s="411"/>
      <c r="EP101" s="411"/>
      <c r="EQ101" s="411"/>
      <c r="ER101" s="411"/>
      <c r="ES101" s="411"/>
      <c r="ET101" s="411"/>
      <c r="EU101" s="411"/>
      <c r="EV101" s="411"/>
      <c r="EW101" s="411"/>
      <c r="EX101" s="411"/>
      <c r="EY101" s="411"/>
      <c r="EZ101" s="411"/>
      <c r="FA101" s="411"/>
      <c r="FB101" s="411"/>
      <c r="FC101" s="411"/>
      <c r="FD101" s="411"/>
      <c r="FE101" s="411"/>
    </row>
    <row r="102" spans="1:161" s="442" customFormat="1" ht="16.5" customHeight="1">
      <c r="A102" s="698"/>
      <c r="B102" s="1402"/>
      <c r="C102" s="964" t="str">
        <f t="shared" si="8"/>
        <v>Naturally occuring pasture - grazing</v>
      </c>
      <c r="D102" s="1290" t="str">
        <f t="shared" si="9"/>
        <v>Natural pasture</v>
      </c>
      <c r="E102" s="348">
        <v>0</v>
      </c>
      <c r="F102" s="1359">
        <v>0</v>
      </c>
      <c r="G102" s="1356"/>
      <c r="H102" s="1354"/>
      <c r="I102" s="1354"/>
      <c r="J102" s="1357"/>
      <c r="K102" s="1357"/>
      <c r="L102" s="1357"/>
      <c r="M102" s="447"/>
      <c r="N102" s="447"/>
      <c r="O102" s="447"/>
      <c r="P102" s="447"/>
      <c r="Q102" s="434"/>
      <c r="R102" s="411"/>
      <c r="S102" s="411"/>
      <c r="T102" s="434"/>
      <c r="U102" s="447"/>
      <c r="V102" s="411"/>
      <c r="W102" s="411"/>
      <c r="X102" s="411"/>
      <c r="Y102" s="411"/>
      <c r="Z102" s="413"/>
      <c r="AA102" s="411"/>
      <c r="AB102" s="411"/>
      <c r="AC102" s="411"/>
      <c r="AD102" s="411"/>
      <c r="AE102" s="411"/>
      <c r="AF102" s="411"/>
      <c r="AG102" s="411"/>
      <c r="AH102" s="411"/>
      <c r="AI102" s="411"/>
      <c r="AJ102" s="411"/>
      <c r="AK102" s="411"/>
      <c r="AL102" s="411"/>
      <c r="AM102" s="411"/>
      <c r="AN102" s="413"/>
      <c r="AO102" s="413"/>
      <c r="AP102" s="411"/>
      <c r="AQ102" s="413"/>
      <c r="AR102" s="411"/>
      <c r="AS102" s="411"/>
      <c r="AT102" s="413"/>
      <c r="AU102" s="411"/>
      <c r="AV102" s="411"/>
      <c r="AW102" s="411"/>
      <c r="AX102" s="411"/>
      <c r="AY102" s="411"/>
      <c r="AZ102" s="411"/>
      <c r="BA102" s="411"/>
      <c r="BB102" s="411"/>
      <c r="BC102" s="411"/>
      <c r="BD102" s="411"/>
      <c r="BE102" s="411"/>
      <c r="BF102" s="411"/>
      <c r="BG102" s="411"/>
      <c r="BH102" s="411"/>
      <c r="BI102" s="411"/>
      <c r="BJ102" s="411"/>
      <c r="BK102" s="411"/>
      <c r="BL102" s="411"/>
      <c r="BM102" s="411"/>
      <c r="BN102" s="411"/>
      <c r="BO102" s="411"/>
      <c r="BP102" s="411"/>
      <c r="BQ102" s="411"/>
      <c r="BR102" s="411"/>
      <c r="BS102" s="411"/>
      <c r="BT102" s="411"/>
      <c r="BU102" s="411"/>
      <c r="BV102" s="411"/>
      <c r="BW102" s="411"/>
      <c r="BX102" s="411"/>
      <c r="BY102" s="411"/>
      <c r="BZ102" s="411"/>
      <c r="CA102" s="411"/>
      <c r="CB102" s="411"/>
      <c r="CC102" s="411"/>
      <c r="CD102" s="411"/>
      <c r="CE102" s="411"/>
      <c r="CF102" s="411"/>
      <c r="CG102" s="411"/>
      <c r="CH102" s="411"/>
      <c r="CI102" s="411"/>
      <c r="CJ102" s="411"/>
      <c r="CK102" s="411"/>
      <c r="CL102" s="411"/>
      <c r="CM102" s="411"/>
      <c r="CN102" s="411"/>
      <c r="CO102" s="411"/>
      <c r="CP102" s="411"/>
      <c r="CQ102" s="411"/>
      <c r="CR102" s="411"/>
      <c r="CS102" s="411"/>
      <c r="CT102" s="411"/>
      <c r="CU102" s="411"/>
      <c r="CV102" s="411"/>
      <c r="CW102" s="411"/>
      <c r="CX102" s="411"/>
      <c r="CY102" s="411"/>
      <c r="CZ102" s="411"/>
      <c r="DA102" s="411"/>
      <c r="DB102" s="411"/>
      <c r="DC102" s="411"/>
      <c r="DD102" s="411"/>
      <c r="DE102" s="411"/>
      <c r="DF102" s="411"/>
      <c r="DG102" s="411"/>
      <c r="DH102" s="411"/>
      <c r="DI102" s="411"/>
      <c r="DJ102" s="411"/>
      <c r="DK102" s="411"/>
      <c r="DL102" s="411"/>
      <c r="DM102" s="411"/>
      <c r="DN102" s="411"/>
      <c r="DO102" s="411"/>
      <c r="DP102" s="411"/>
      <c r="DQ102" s="411"/>
      <c r="DR102" s="411"/>
      <c r="DS102" s="411"/>
      <c r="DT102" s="411"/>
      <c r="DU102" s="411"/>
      <c r="DV102" s="411"/>
      <c r="DW102" s="411"/>
      <c r="DX102" s="411"/>
      <c r="DY102" s="411"/>
      <c r="DZ102" s="411"/>
      <c r="EA102" s="411"/>
      <c r="EB102" s="411"/>
      <c r="EC102" s="411"/>
      <c r="ED102" s="411"/>
      <c r="EE102" s="411"/>
      <c r="EF102" s="411"/>
      <c r="EG102" s="411"/>
      <c r="EH102" s="411"/>
      <c r="EI102" s="411"/>
      <c r="EJ102" s="411"/>
      <c r="EK102" s="411"/>
      <c r="EL102" s="411"/>
      <c r="EM102" s="411"/>
      <c r="EN102" s="411"/>
      <c r="EO102" s="411"/>
      <c r="EP102" s="411"/>
      <c r="EQ102" s="411"/>
      <c r="ER102" s="411"/>
      <c r="ES102" s="411"/>
      <c r="ET102" s="411"/>
      <c r="EU102" s="411"/>
      <c r="EV102" s="411"/>
      <c r="EW102" s="411"/>
      <c r="EX102" s="411"/>
      <c r="EY102" s="411"/>
      <c r="EZ102" s="411"/>
      <c r="FA102" s="411"/>
      <c r="FB102" s="411"/>
      <c r="FC102" s="411"/>
      <c r="FD102" s="411"/>
      <c r="FE102" s="411"/>
    </row>
    <row r="103" spans="1:161" ht="16.5" thickBot="1">
      <c r="A103" s="698"/>
      <c r="B103" s="1402"/>
      <c r="C103" s="680" t="str">
        <f t="shared" si="8"/>
        <v>Pennisetum purpureum - forage</v>
      </c>
      <c r="D103" s="624" t="str">
        <f t="shared" si="9"/>
        <v>Pennisetum purpureum</v>
      </c>
      <c r="E103" s="961">
        <v>0</v>
      </c>
      <c r="F103" s="1360">
        <v>0</v>
      </c>
      <c r="G103" s="1356"/>
      <c r="H103" s="1354"/>
      <c r="I103" s="1354"/>
      <c r="J103" s="1357"/>
      <c r="K103" s="1357"/>
      <c r="L103" s="1357"/>
      <c r="M103" s="447"/>
      <c r="N103" s="447"/>
      <c r="O103" s="447"/>
      <c r="P103" s="447"/>
      <c r="U103" s="434"/>
      <c r="AN103" s="413"/>
      <c r="AO103" s="413"/>
      <c r="AQ103" s="413"/>
      <c r="AT103" s="413"/>
    </row>
    <row r="104" spans="1:161" ht="16.5" thickBot="1">
      <c r="A104" s="698"/>
      <c r="B104" s="448"/>
      <c r="C104" s="411"/>
      <c r="E104" s="1086"/>
      <c r="F104" s="1086"/>
      <c r="G104" s="1354"/>
      <c r="H104" s="1358"/>
      <c r="I104" s="1358"/>
      <c r="J104" s="1357"/>
      <c r="K104" s="1357"/>
      <c r="L104" s="1357"/>
      <c r="M104" s="434"/>
      <c r="N104" s="434"/>
      <c r="O104" s="434"/>
      <c r="AG104" s="413"/>
      <c r="AM104" s="413"/>
      <c r="AP104" s="413"/>
    </row>
    <row r="105" spans="1:161">
      <c r="A105" s="698"/>
      <c r="B105" s="448"/>
      <c r="C105" s="421" t="s">
        <v>1037</v>
      </c>
      <c r="D105" s="416" t="s">
        <v>1571</v>
      </c>
      <c r="E105" s="422" t="s">
        <v>1144</v>
      </c>
      <c r="J105" s="445"/>
      <c r="K105" s="445"/>
      <c r="W105" s="413"/>
      <c r="AG105" s="413"/>
      <c r="AM105" s="413"/>
      <c r="AP105" s="413"/>
    </row>
    <row r="106" spans="1:161">
      <c r="A106" s="698"/>
      <c r="B106" s="448"/>
      <c r="C106" s="966" t="s">
        <v>1032</v>
      </c>
      <c r="D106" s="980">
        <v>50</v>
      </c>
      <c r="E106" s="346"/>
      <c r="AF106" s="413"/>
      <c r="AM106" s="413"/>
      <c r="AP106" s="413"/>
    </row>
    <row r="107" spans="1:161">
      <c r="A107" s="698"/>
      <c r="B107" s="448"/>
      <c r="C107" s="966" t="s">
        <v>1033</v>
      </c>
      <c r="D107" s="980">
        <f>SUM(E$97:E$103)*E107</f>
        <v>0</v>
      </c>
      <c r="E107" s="346"/>
      <c r="AJ107" s="413"/>
      <c r="AQ107" s="413"/>
      <c r="AT107" s="413"/>
    </row>
    <row r="108" spans="1:161">
      <c r="A108" s="698"/>
      <c r="B108" s="448"/>
      <c r="C108" s="966" t="s">
        <v>1034</v>
      </c>
      <c r="D108" s="980">
        <v>20</v>
      </c>
      <c r="E108" s="346"/>
      <c r="V108" s="413"/>
      <c r="Z108" s="413"/>
      <c r="AJ108" s="413"/>
      <c r="AQ108" s="413"/>
    </row>
    <row r="109" spans="1:161">
      <c r="A109" s="698"/>
      <c r="B109" s="448"/>
      <c r="C109" s="966" t="s">
        <v>1035</v>
      </c>
      <c r="D109" s="980">
        <v>0</v>
      </c>
      <c r="E109" s="346">
        <v>0</v>
      </c>
      <c r="W109" s="413"/>
      <c r="AJ109" s="413"/>
      <c r="AQ109" s="413"/>
    </row>
    <row r="110" spans="1:161" ht="16.5" thickBot="1">
      <c r="A110" s="698"/>
      <c r="B110" s="584"/>
      <c r="C110" s="967" t="s">
        <v>1036</v>
      </c>
      <c r="D110" s="981">
        <f>SUM(E$97:E$103)*E110</f>
        <v>0</v>
      </c>
      <c r="E110" s="965"/>
      <c r="U110" s="413"/>
      <c r="X110" s="413"/>
      <c r="AG110" s="413"/>
      <c r="AJ110" s="413"/>
    </row>
    <row r="111" spans="1:161" ht="16.5" thickBot="1">
      <c r="A111" s="698"/>
      <c r="B111" s="424"/>
      <c r="C111" s="411"/>
      <c r="E111" s="594">
        <f>1-SUM(E106:E110)</f>
        <v>1</v>
      </c>
      <c r="Y111" s="413"/>
      <c r="AJ111" s="413"/>
    </row>
    <row r="112" spans="1:161">
      <c r="A112" s="698"/>
      <c r="B112" s="1396" t="s">
        <v>642</v>
      </c>
      <c r="C112" s="421"/>
      <c r="D112" s="578"/>
      <c r="E112" s="580" t="s">
        <v>1142</v>
      </c>
      <c r="F112" s="434" t="s">
        <v>645</v>
      </c>
      <c r="G112" s="434" t="s">
        <v>646</v>
      </c>
      <c r="H112" s="434" t="s">
        <v>666</v>
      </c>
      <c r="I112" s="434" t="s">
        <v>667</v>
      </c>
      <c r="T112" s="413"/>
      <c r="AJ112" s="413"/>
    </row>
    <row r="113" spans="1:57">
      <c r="A113" s="698"/>
      <c r="B113" s="1397"/>
      <c r="C113" s="929" t="s">
        <v>662</v>
      </c>
      <c r="D113" s="84" t="s">
        <v>126</v>
      </c>
      <c r="E113" s="581">
        <f>0 + IF(D73 = "Rice",F73,0) + IF(D74 = "Rice",F74,0)+ IF(D75 = "Rice",F75,0)+ IF(D76 = "Rice",F76,0)+ IF(D77 = "Rice",F77,0)+ IF(D78 = "Rice",F78,0)+ IF(D79= "Rice",F79,0)</f>
        <v>0</v>
      </c>
      <c r="F113" s="434"/>
      <c r="G113" s="434"/>
      <c r="H113" s="434"/>
      <c r="I113" s="434"/>
    </row>
    <row r="114" spans="1:57" ht="13.5" customHeight="1">
      <c r="A114" s="698"/>
      <c r="B114" s="1397"/>
      <c r="C114" s="929" t="s">
        <v>1066</v>
      </c>
      <c r="D114" s="84" t="s">
        <v>379</v>
      </c>
      <c r="E114" s="582"/>
      <c r="F114" s="434">
        <v>0</v>
      </c>
      <c r="G114" s="434">
        <v>0</v>
      </c>
      <c r="H114" s="434">
        <v>0</v>
      </c>
      <c r="I114" s="434">
        <v>0</v>
      </c>
    </row>
    <row r="115" spans="1:57">
      <c r="A115" s="698"/>
      <c r="B115" s="1397"/>
      <c r="C115" s="929" t="s">
        <v>663</v>
      </c>
      <c r="D115" s="84" t="s">
        <v>595</v>
      </c>
      <c r="E115" s="582" t="s">
        <v>787</v>
      </c>
      <c r="F115" s="434" t="s">
        <v>787</v>
      </c>
      <c r="G115" s="434" t="s">
        <v>787</v>
      </c>
      <c r="H115" s="434" t="s">
        <v>787</v>
      </c>
      <c r="I115" s="434" t="s">
        <v>787</v>
      </c>
    </row>
    <row r="116" spans="1:57" ht="47.25">
      <c r="A116" s="698"/>
      <c r="B116" s="1397"/>
      <c r="C116" s="929" t="s">
        <v>1065</v>
      </c>
      <c r="D116" s="84" t="s">
        <v>665</v>
      </c>
      <c r="E116" s="582" t="s">
        <v>190</v>
      </c>
      <c r="F116" s="434"/>
      <c r="G116" s="434"/>
      <c r="H116" s="434"/>
      <c r="I116" s="434"/>
    </row>
    <row r="117" spans="1:57">
      <c r="A117" s="698"/>
      <c r="B117" s="1397"/>
      <c r="C117" s="968" t="s">
        <v>742</v>
      </c>
      <c r="D117" s="84" t="s">
        <v>595</v>
      </c>
      <c r="E117" s="582" t="s">
        <v>199</v>
      </c>
      <c r="F117" s="434"/>
      <c r="G117" s="434"/>
      <c r="H117" s="434"/>
      <c r="I117" s="434"/>
    </row>
    <row r="118" spans="1:57" ht="16.5" thickBot="1">
      <c r="A118" s="698"/>
      <c r="B118" s="1398"/>
      <c r="C118" s="969" t="s">
        <v>743</v>
      </c>
      <c r="D118" s="579" t="s">
        <v>1056</v>
      </c>
      <c r="E118" s="583">
        <f>IF(SUM(F118:L118)=0, 0, AVERAGEIF(F118:L118, "&lt;&gt;0"))</f>
        <v>0</v>
      </c>
      <c r="F118" s="468">
        <f>IF(D97="Rice", E97, 0)</f>
        <v>0</v>
      </c>
      <c r="G118" s="468">
        <f>IF(D98="Rice", E98, 0)</f>
        <v>0</v>
      </c>
      <c r="H118" s="468">
        <f>IF(D99="Rice", E99, 0)</f>
        <v>0</v>
      </c>
      <c r="I118" s="468">
        <f>IF(D100="Rice", E100, 0)</f>
        <v>0</v>
      </c>
      <c r="J118" s="468">
        <f>IF(D101="Rice", E101, 0)</f>
        <v>0</v>
      </c>
      <c r="K118" s="468">
        <f>IF(D102="Rice", E102, 0)</f>
        <v>0</v>
      </c>
      <c r="L118" s="468">
        <f>IF(D103="Rice", E103, 0)</f>
        <v>0</v>
      </c>
      <c r="BD118" s="413"/>
    </row>
    <row r="119" spans="1:57">
      <c r="A119" s="698"/>
      <c r="C119" s="450"/>
      <c r="D119" s="413"/>
      <c r="E119" s="473"/>
      <c r="F119" s="468"/>
      <c r="G119" s="468"/>
      <c r="H119" s="468"/>
      <c r="I119" s="468"/>
      <c r="J119" s="468"/>
      <c r="K119" s="468"/>
      <c r="L119" s="468"/>
      <c r="BD119" s="413"/>
    </row>
    <row r="120" spans="1:57">
      <c r="A120" s="698"/>
      <c r="C120" s="450"/>
      <c r="D120" s="413"/>
      <c r="E120" s="473"/>
      <c r="F120" s="468"/>
      <c r="G120" s="468"/>
      <c r="H120" s="468"/>
      <c r="I120" s="468"/>
      <c r="J120" s="468"/>
      <c r="K120" s="468"/>
      <c r="L120" s="468"/>
      <c r="BD120" s="413"/>
    </row>
    <row r="121" spans="1:57">
      <c r="A121" s="427"/>
      <c r="C121" s="450"/>
      <c r="D121" s="413"/>
      <c r="E121" s="473"/>
      <c r="F121" s="468"/>
      <c r="G121" s="468"/>
      <c r="H121" s="468"/>
      <c r="I121" s="468"/>
      <c r="J121" s="468"/>
      <c r="K121" s="468"/>
      <c r="L121" s="468"/>
      <c r="BD121" s="413"/>
    </row>
    <row r="122" spans="1:57" ht="31.5">
      <c r="B122" s="414" t="s">
        <v>1201</v>
      </c>
      <c r="C122" s="410"/>
      <c r="D122" s="410"/>
      <c r="E122" s="415"/>
      <c r="F122" s="410"/>
      <c r="G122" s="410"/>
      <c r="H122" s="410"/>
      <c r="I122" s="410"/>
      <c r="J122" s="410"/>
      <c r="K122" s="410"/>
      <c r="L122" s="410"/>
      <c r="M122" s="410"/>
      <c r="N122" s="410"/>
      <c r="O122" s="410"/>
      <c r="P122" s="410"/>
      <c r="Q122" s="410"/>
      <c r="R122" s="410"/>
      <c r="S122" s="410"/>
      <c r="T122" s="410"/>
      <c r="U122" s="410"/>
      <c r="V122" s="410"/>
      <c r="W122" s="410"/>
      <c r="X122" s="410"/>
      <c r="Y122" s="410"/>
      <c r="Z122" s="410"/>
      <c r="AA122" s="410"/>
      <c r="AB122" s="410"/>
      <c r="AC122" s="410"/>
      <c r="AD122" s="410"/>
      <c r="AE122" s="410"/>
      <c r="AF122" s="410"/>
      <c r="BD122" s="413"/>
      <c r="BE122" s="413"/>
    </row>
    <row r="123" spans="1:57" ht="16.5" thickBot="1">
      <c r="A123" s="427"/>
      <c r="C123" s="450"/>
      <c r="D123" s="413"/>
      <c r="E123" s="449"/>
      <c r="F123" s="449"/>
      <c r="G123" s="445"/>
      <c r="H123" s="445"/>
      <c r="I123" s="445"/>
      <c r="BD123" s="413"/>
      <c r="BE123" s="413"/>
    </row>
    <row r="124" spans="1:57" ht="16.5" thickBot="1">
      <c r="B124" s="1064" t="s">
        <v>1485</v>
      </c>
      <c r="C124" s="322"/>
      <c r="D124" s="322"/>
      <c r="E124" s="322"/>
      <c r="F124" s="323"/>
      <c r="J124" s="674"/>
      <c r="K124" s="674"/>
      <c r="L124" s="674"/>
      <c r="BD124" s="413"/>
      <c r="BE124" s="413"/>
    </row>
    <row r="125" spans="1:57" ht="31.5">
      <c r="B125" s="590"/>
      <c r="C125" s="732" t="s">
        <v>1183</v>
      </c>
      <c r="D125" s="685" t="s">
        <v>1488</v>
      </c>
      <c r="E125" s="686" t="s">
        <v>1199</v>
      </c>
      <c r="F125" s="686" t="s">
        <v>1186</v>
      </c>
      <c r="I125" s="658"/>
      <c r="J125" s="676"/>
      <c r="K125" s="677"/>
      <c r="L125" s="677"/>
      <c r="M125" s="678"/>
      <c r="BE125" s="413"/>
    </row>
    <row r="126" spans="1:57">
      <c r="B126" s="425" t="str">
        <f t="shared" ref="B126:B134" si="10">C21</f>
        <v>Cows (local)</v>
      </c>
      <c r="C126" s="732" t="e">
        <f t="shared" ref="C126:C134" ca="1" si="11">IF(INDIRECT(CONCATENATE("[", "Baseline.xlsm","]INPUTS","!D18"))&lt;=D21,INDIRECT(CONCATENATE("[", "Baseline.xlsm","]INPUTS","!D18")),D21)</f>
        <v>#REF!</v>
      </c>
      <c r="D126" s="1190" t="str">
        <f>VLOOKUP(B126,'Livestock parameters'!$A$20:AJ$35,32,FALSE)</f>
        <v>beef</v>
      </c>
      <c r="E126" s="1191">
        <f>VLOOKUP(B126,'Livestock parameters'!$A$20:AK$35,34,FALSE)</f>
        <v>8</v>
      </c>
      <c r="F126" s="657"/>
      <c r="J126" s="676"/>
      <c r="K126" s="731"/>
      <c r="L126" s="677"/>
      <c r="M126" s="678"/>
      <c r="BE126" s="413"/>
    </row>
    <row r="127" spans="1:57">
      <c r="B127" s="425" t="str">
        <f t="shared" si="10"/>
        <v>Cows (improved)</v>
      </c>
      <c r="C127" s="732" t="e">
        <f t="shared" ca="1" si="11"/>
        <v>#REF!</v>
      </c>
      <c r="D127" s="1190" t="str">
        <f>VLOOKUP(B127,'Livestock parameters'!$A$20:AJ$35,32,FALSE)</f>
        <v>beef</v>
      </c>
      <c r="E127" s="1191">
        <f>VLOOKUP(B127,'Livestock parameters'!$A$20:AK$35,34,FALSE)</f>
        <v>20</v>
      </c>
      <c r="F127" s="657"/>
      <c r="J127" s="676"/>
      <c r="K127" s="677"/>
      <c r="L127" s="677"/>
      <c r="M127" s="678"/>
      <c r="BE127" s="413"/>
    </row>
    <row r="128" spans="1:57">
      <c r="B128" s="425" t="str">
        <f t="shared" si="10"/>
        <v>Adult cattle - male</v>
      </c>
      <c r="C128" s="732" t="e">
        <f t="shared" ca="1" si="11"/>
        <v>#REF!</v>
      </c>
      <c r="D128" s="1190" t="str">
        <f>VLOOKUP(B128,'Livestock parameters'!$A$20:AJ$35,32,FALSE)</f>
        <v>beef</v>
      </c>
      <c r="E128" s="1191">
        <f>VLOOKUP(B128,'Livestock parameters'!$A$20:AK$35,34,FALSE)</f>
        <v>8</v>
      </c>
      <c r="F128" s="657"/>
      <c r="J128" s="676"/>
      <c r="K128" s="677"/>
      <c r="L128" s="677"/>
      <c r="M128" s="678"/>
      <c r="BE128" s="413"/>
    </row>
    <row r="129" spans="2:55">
      <c r="B129" s="425" t="str">
        <f t="shared" si="10"/>
        <v>Calves</v>
      </c>
      <c r="C129" s="732" t="e">
        <f t="shared" ca="1" si="11"/>
        <v>#REF!</v>
      </c>
      <c r="D129" s="1190" t="str">
        <f>VLOOKUP(B129,'Livestock parameters'!$A$20:AJ$35,32,FALSE)</f>
        <v>beef</v>
      </c>
      <c r="E129" s="1191">
        <f>VLOOKUP(B129,'Livestock parameters'!$A$20:AK$35,34,FALSE)</f>
        <v>5</v>
      </c>
      <c r="F129" s="657"/>
      <c r="J129" s="675"/>
      <c r="K129" s="675"/>
      <c r="L129" s="675"/>
      <c r="M129" s="424"/>
    </row>
    <row r="130" spans="2:55">
      <c r="B130" s="425" t="str">
        <f t="shared" si="10"/>
        <v>Buffalo (dairy)</v>
      </c>
      <c r="C130" s="732" t="e">
        <f t="shared" ca="1" si="11"/>
        <v>#REF!</v>
      </c>
      <c r="D130" s="1190" t="str">
        <f>VLOOKUP(B130,'Livestock parameters'!$A$20:AJ$35,32,FALSE)</f>
        <v>beef</v>
      </c>
      <c r="E130" s="1191">
        <f>VLOOKUP(B130,'Livestock parameters'!$A$20:AK$35,34,FALSE)</f>
        <v>20</v>
      </c>
      <c r="F130" s="657"/>
      <c r="J130" s="955"/>
    </row>
    <row r="131" spans="2:55">
      <c r="B131" s="425" t="str">
        <f t="shared" si="10"/>
        <v>Sheep/Goats - Ewes/Does</v>
      </c>
      <c r="C131" s="732" t="e">
        <f t="shared" ca="1" si="11"/>
        <v>#REF!</v>
      </c>
      <c r="D131" s="1190" t="str">
        <f>VLOOKUP(B131,'Livestock parameters'!$A$20:AJ$35,32,FALSE)</f>
        <v>lamb</v>
      </c>
      <c r="E131" s="1191">
        <f>VLOOKUP(B131,'Livestock parameters'!$A$20:AK$35,34,FALSE)</f>
        <v>0</v>
      </c>
      <c r="F131" s="657"/>
      <c r="J131" s="955"/>
    </row>
    <row r="132" spans="2:55">
      <c r="B132" s="425" t="str">
        <f t="shared" si="10"/>
        <v>Pigs - lactating/pregnant sows</v>
      </c>
      <c r="C132" s="732" t="e">
        <f t="shared" ca="1" si="11"/>
        <v>#REF!</v>
      </c>
      <c r="D132" s="1190" t="str">
        <f>VLOOKUP(B132,'Livestock parameters'!$A$20:AJ$35,32,FALSE)</f>
        <v>pork</v>
      </c>
      <c r="E132" s="1191">
        <f>VLOOKUP(B132,'Livestock parameters'!$A$20:AK$35,34,FALSE)</f>
        <v>0</v>
      </c>
      <c r="F132" s="657"/>
      <c r="J132" s="955"/>
    </row>
    <row r="133" spans="2:55">
      <c r="B133" s="425" t="str">
        <f t="shared" si="10"/>
        <v>Calves</v>
      </c>
      <c r="C133" s="732" t="e">
        <f t="shared" ca="1" si="11"/>
        <v>#REF!</v>
      </c>
      <c r="D133" s="1190" t="str">
        <f>VLOOKUP(B133,'Livestock parameters'!$A$20:AJ$35,32,FALSE)</f>
        <v>beef</v>
      </c>
      <c r="E133" s="1191">
        <f>VLOOKUP(B133,'Livestock parameters'!$A$20:AK$35,34,FALSE)</f>
        <v>5</v>
      </c>
      <c r="F133" s="657"/>
      <c r="J133" s="955"/>
    </row>
    <row r="134" spans="2:55">
      <c r="B134" s="425" t="str">
        <f t="shared" si="10"/>
        <v>Cows (high productive)</v>
      </c>
      <c r="C134" s="732" t="e">
        <f t="shared" ca="1" si="11"/>
        <v>#REF!</v>
      </c>
      <c r="D134" s="1190" t="str">
        <f>VLOOKUP(B134,'Livestock parameters'!$A$20:AJ$35,32,FALSE)</f>
        <v>beef</v>
      </c>
      <c r="E134" s="1191">
        <f>VLOOKUP(B134,'Livestock parameters'!$A$20:AK$35,34,FALSE)</f>
        <v>20</v>
      </c>
      <c r="F134" s="657"/>
      <c r="J134" s="955"/>
    </row>
    <row r="135" spans="2:55">
      <c r="B135" s="425" t="e">
        <f>#REF!</f>
        <v>#REF!</v>
      </c>
      <c r="C135" s="732" t="e">
        <f ca="1">IF(INDIRECT(CONCATENATE("[", "Baseline.xlsm","]INPUTS","!D18"))&lt;=#REF!,INDIRECT(CONCATENATE("[", "Baseline.xlsm","]INPUTS","!D18")),#REF!)</f>
        <v>#REF!</v>
      </c>
      <c r="D135" s="1190" t="e">
        <f>VLOOKUP(B135,'Livestock parameters'!$A$20:AJ$35,32,FALSE)</f>
        <v>#REF!</v>
      </c>
      <c r="E135" s="1191" t="e">
        <f>VLOOKUP(B135,'Livestock parameters'!$A$20:AK$35,34,FALSE)</f>
        <v>#REF!</v>
      </c>
      <c r="F135" s="657"/>
    </row>
    <row r="136" spans="2:55">
      <c r="B136" s="425" t="e">
        <f>#REF!</f>
        <v>#REF!</v>
      </c>
      <c r="C136" s="732" t="e">
        <f ca="1">IF(INDIRECT(CONCATENATE("[", "Baseline.xlsm","]INPUTS","!D18"))&lt;=#REF!,INDIRECT(CONCATENATE("[", "Baseline.xlsm","]INPUTS","!D18")),#REF!)</f>
        <v>#REF!</v>
      </c>
      <c r="D136" s="1190" t="e">
        <f>VLOOKUP(B136,'Livestock parameters'!$A$20:AJ$35,32,FALSE)</f>
        <v>#REF!</v>
      </c>
      <c r="E136" s="1191" t="e">
        <f>VLOOKUP(B136,'Livestock parameters'!$A$20:AK$35,34,FALSE)</f>
        <v>#REF!</v>
      </c>
      <c r="F136" s="657"/>
    </row>
    <row r="137" spans="2:55">
      <c r="B137" s="425" t="e">
        <f>#REF!</f>
        <v>#REF!</v>
      </c>
      <c r="C137" s="732" t="e">
        <f ca="1">IF(INDIRECT(CONCATENATE("[", "Baseline.xlsm","]INPUTS","!D18"))&lt;=#REF!,INDIRECT(CONCATENATE("[", "Baseline.xlsm","]INPUTS","!D18")),#REF!)</f>
        <v>#REF!</v>
      </c>
      <c r="D137" s="1190" t="e">
        <f>VLOOKUP(B137,'Livestock parameters'!$A$20:AJ$35,32,FALSE)</f>
        <v>#REF!</v>
      </c>
      <c r="E137" s="1191" t="e">
        <f>VLOOKUP(B137,'Livestock parameters'!$A$20:AK$35,34,FALSE)</f>
        <v>#REF!</v>
      </c>
      <c r="F137" s="657"/>
    </row>
    <row r="138" spans="2:55">
      <c r="B138" s="425" t="e">
        <f>#REF!</f>
        <v>#REF!</v>
      </c>
      <c r="C138" s="732" t="e">
        <f ca="1">IF(INDIRECT(CONCATENATE("[", "Baseline.xlsm","]INPUTS","!D18"))&lt;=#REF!,INDIRECT(CONCATENATE("[", "Baseline.xlsm","]INPUTS","!D18")),#REF!)</f>
        <v>#REF!</v>
      </c>
      <c r="D138" s="1190" t="e">
        <f>VLOOKUP(B138,'Livestock parameters'!$A$20:AJ$35,32,FALSE)</f>
        <v>#REF!</v>
      </c>
      <c r="E138" s="1191" t="e">
        <f>VLOOKUP(B138,'Livestock parameters'!$A$20:AK$35,34,FALSE)</f>
        <v>#REF!</v>
      </c>
      <c r="F138" s="657"/>
    </row>
    <row r="139" spans="2:55" ht="16.5" thickBot="1">
      <c r="B139" s="425" t="e">
        <f>#REF!</f>
        <v>#REF!</v>
      </c>
      <c r="C139" s="732" t="e">
        <f ca="1">IF(INDIRECT(CONCATENATE("[", "Baseline.xlsm","]INPUTS","!D18"))&lt;=#REF!,INDIRECT(CONCATENATE("[", "Baseline.xlsm","]INPUTS","!D18")),#REF!)</f>
        <v>#REF!</v>
      </c>
      <c r="D139" s="1190" t="e">
        <f>VLOOKUP(B139,'Livestock parameters'!$A$20:AJ$35,32,FALSE)</f>
        <v>#REF!</v>
      </c>
      <c r="E139" s="1191" t="e">
        <f>VLOOKUP(B139,'Livestock parameters'!$A$20:AK$35,34,FALSE)</f>
        <v>#REF!</v>
      </c>
      <c r="F139" s="688"/>
    </row>
    <row r="140" spans="2:55">
      <c r="B140" s="423"/>
      <c r="C140" s="601"/>
      <c r="D140" s="322"/>
      <c r="E140" s="322"/>
      <c r="F140" s="322"/>
      <c r="BC140" s="413"/>
    </row>
    <row r="141" spans="2:55" ht="16.5" thickBot="1">
      <c r="B141" s="589"/>
      <c r="C141" s="299"/>
      <c r="D141" s="299"/>
      <c r="E141" s="299"/>
      <c r="F141" s="299"/>
      <c r="G141" s="299"/>
      <c r="BC141" s="413"/>
    </row>
    <row r="142" spans="2:55" ht="26.25" customHeight="1" thickBot="1">
      <c r="B142" s="647" t="s">
        <v>1486</v>
      </c>
      <c r="C142" s="322"/>
      <c r="D142" s="322"/>
      <c r="E142" s="322"/>
      <c r="F142" s="322"/>
      <c r="G142" s="602"/>
      <c r="H142" s="419"/>
      <c r="BC142" s="413"/>
    </row>
    <row r="143" spans="2:55" ht="31.5">
      <c r="B143" s="572"/>
      <c r="C143" s="585" t="s">
        <v>1183</v>
      </c>
      <c r="D143" s="685" t="s">
        <v>1487</v>
      </c>
      <c r="E143" s="685" t="s">
        <v>1488</v>
      </c>
      <c r="F143" s="861" t="s">
        <v>1200</v>
      </c>
      <c r="G143" s="586" t="s">
        <v>1199</v>
      </c>
      <c r="H143" s="586" t="s">
        <v>1186</v>
      </c>
      <c r="I143" s="575"/>
      <c r="BC143" s="413"/>
    </row>
    <row r="144" spans="2:55">
      <c r="B144" s="425" t="str">
        <f>B126</f>
        <v>Cows (local)</v>
      </c>
      <c r="C144" s="732" t="e">
        <f t="shared" ref="C144:C152" ca="1" si="12">D21-INDIRECT(CONCATENATE("[", "Baseline.xlsm","]INPUTS","!D18"))</f>
        <v>#REF!</v>
      </c>
      <c r="D144" s="1190">
        <f>VLOOKUP(B144,'Livestock parameters'!$A$20:$AJ$35,31,FALSE)</f>
        <v>0</v>
      </c>
      <c r="E144" s="1190" t="str">
        <f>VLOOKUP(B144,'Livestock parameters'!$A$20:AJ$35,32,FALSE)</f>
        <v>beef</v>
      </c>
      <c r="F144" s="1190">
        <f>VLOOKUP(B144,'Livestock parameters'!$A$20:AK$35,33,FALSE)</f>
        <v>500</v>
      </c>
      <c r="G144" s="1190">
        <f>VLOOKUP(B144,'Livestock parameters'!$A$20:AK$35,34,FALSE)</f>
        <v>8</v>
      </c>
      <c r="H144" s="657"/>
      <c r="K144" s="411" t="e">
        <f ca="1">C144*E144+C144*G144*Economics_Parameters!$C$12</f>
        <v>#REF!</v>
      </c>
      <c r="BC144" s="413"/>
    </row>
    <row r="145" spans="1:59">
      <c r="B145" s="425" t="str">
        <f t="shared" ref="B145:B157" si="13">B127</f>
        <v>Cows (improved)</v>
      </c>
      <c r="C145" s="732" t="e">
        <f t="shared" ca="1" si="12"/>
        <v>#REF!</v>
      </c>
      <c r="D145" s="1190">
        <f>VLOOKUP(B145,'Livestock parameters'!$A$20:$AJ$35,31,FALSE)</f>
        <v>0</v>
      </c>
      <c r="E145" s="1190" t="str">
        <f>VLOOKUP(B145,'Livestock parameters'!$A$20:AJ$35,32,FALSE)</f>
        <v>beef</v>
      </c>
      <c r="F145" s="1190">
        <f>VLOOKUP(B145,'Livestock parameters'!$A$20:AK$35,33,FALSE)</f>
        <v>1500</v>
      </c>
      <c r="G145" s="1190">
        <f>VLOOKUP(B145,'Livestock parameters'!$A$20:AK$35,34,FALSE)</f>
        <v>20</v>
      </c>
      <c r="H145" s="657" t="s">
        <v>1646</v>
      </c>
      <c r="K145" s="411" t="e">
        <f ca="1">C145*E145+C145*G145*Economics_Parameters!$C$12</f>
        <v>#REF!</v>
      </c>
      <c r="BC145" s="413"/>
    </row>
    <row r="146" spans="1:59">
      <c r="B146" s="425" t="str">
        <f t="shared" si="13"/>
        <v>Adult cattle - male</v>
      </c>
      <c r="C146" s="732" t="e">
        <f t="shared" ca="1" si="12"/>
        <v>#REF!</v>
      </c>
      <c r="D146" s="1190">
        <f>VLOOKUP(B146,'Livestock parameters'!$A$20:$AJ$35,31,FALSE)</f>
        <v>0</v>
      </c>
      <c r="E146" s="1190" t="str">
        <f>VLOOKUP(B146,'Livestock parameters'!$A$20:AJ$35,32,FALSE)</f>
        <v>beef</v>
      </c>
      <c r="F146" s="1190">
        <f>VLOOKUP(B146,'Livestock parameters'!$A$20:AK$35,33,FALSE)</f>
        <v>1500</v>
      </c>
      <c r="G146" s="1190">
        <f>VLOOKUP(B146,'Livestock parameters'!$A$20:AK$35,34,FALSE)</f>
        <v>8</v>
      </c>
      <c r="H146" s="657"/>
      <c r="K146" s="411" t="e">
        <f ca="1">C146*E146+C146*G146*Economics_Parameters!$C$12</f>
        <v>#REF!</v>
      </c>
      <c r="BC146" s="413"/>
    </row>
    <row r="147" spans="1:59">
      <c r="B147" s="425" t="str">
        <f t="shared" si="13"/>
        <v>Calves</v>
      </c>
      <c r="C147" s="732" t="e">
        <f t="shared" ca="1" si="12"/>
        <v>#REF!</v>
      </c>
      <c r="D147" s="1190">
        <f>VLOOKUP(B147,'Livestock parameters'!$A$20:$AJ$35,31,FALSE)</f>
        <v>0</v>
      </c>
      <c r="E147" s="1190" t="str">
        <f>VLOOKUP(B147,'Livestock parameters'!$A$20:AJ$35,32,FALSE)</f>
        <v>beef</v>
      </c>
      <c r="F147" s="1190">
        <f>VLOOKUP(B147,'Livestock parameters'!$A$20:AK$35,33,FALSE)</f>
        <v>200</v>
      </c>
      <c r="G147" s="1190">
        <f>VLOOKUP(B147,'Livestock parameters'!$A$20:AK$35,34,FALSE)</f>
        <v>5</v>
      </c>
      <c r="H147" s="657"/>
      <c r="K147" s="411" t="e">
        <f ca="1">C147*E147+C147*G147*Economics_Parameters!$C$12</f>
        <v>#REF!</v>
      </c>
      <c r="AI147" s="413"/>
    </row>
    <row r="148" spans="1:59">
      <c r="B148" s="425" t="str">
        <f t="shared" si="13"/>
        <v>Buffalo (dairy)</v>
      </c>
      <c r="C148" s="732" t="e">
        <f t="shared" ca="1" si="12"/>
        <v>#REF!</v>
      </c>
      <c r="D148" s="1190">
        <f>VLOOKUP(B148,'Livestock parameters'!$A$20:$AJ$35,31,FALSE)</f>
        <v>0</v>
      </c>
      <c r="E148" s="1190" t="str">
        <f>VLOOKUP(B148,'Livestock parameters'!$A$20:AJ$35,32,FALSE)</f>
        <v>beef</v>
      </c>
      <c r="F148" s="1190">
        <f>VLOOKUP(B148,'Livestock parameters'!$A$20:AK$35,33,FALSE)</f>
        <v>1500</v>
      </c>
      <c r="G148" s="1190">
        <f>VLOOKUP(B148,'Livestock parameters'!$A$20:AK$35,34,FALSE)</f>
        <v>20</v>
      </c>
      <c r="H148" s="657"/>
      <c r="K148" s="411" t="e">
        <f ca="1">C148*E148+C148*G148*Economics_Parameters!$C$12</f>
        <v>#REF!</v>
      </c>
      <c r="AI148" s="413"/>
    </row>
    <row r="149" spans="1:59">
      <c r="B149" s="425" t="str">
        <f t="shared" si="13"/>
        <v>Sheep/Goats - Ewes/Does</v>
      </c>
      <c r="C149" s="732" t="e">
        <f t="shared" ca="1" si="12"/>
        <v>#REF!</v>
      </c>
      <c r="D149" s="1190">
        <f>VLOOKUP(B149,'Livestock parameters'!$A$20:$AJ$35,31,FALSE)</f>
        <v>0</v>
      </c>
      <c r="E149" s="1190" t="str">
        <f>VLOOKUP(B149,'Livestock parameters'!$A$20:AJ$35,32,FALSE)</f>
        <v>lamb</v>
      </c>
      <c r="F149" s="1190">
        <f>VLOOKUP(B149,'Livestock parameters'!$A$20:AK$35,33,FALSE)</f>
        <v>0</v>
      </c>
      <c r="G149" s="1190">
        <f>VLOOKUP(B149,'Livestock parameters'!$A$20:AK$35,34,FALSE)</f>
        <v>0</v>
      </c>
      <c r="H149" s="657" t="s">
        <v>1647</v>
      </c>
      <c r="K149" s="411" t="e">
        <f ca="1">C149*E149+C149*G149*Economics_Parameters!$C$12</f>
        <v>#REF!</v>
      </c>
      <c r="AI149" s="413"/>
    </row>
    <row r="150" spans="1:59">
      <c r="B150" s="425" t="str">
        <f t="shared" si="13"/>
        <v>Pigs - lactating/pregnant sows</v>
      </c>
      <c r="C150" s="732" t="e">
        <f t="shared" ca="1" si="12"/>
        <v>#REF!</v>
      </c>
      <c r="D150" s="1190">
        <f>VLOOKUP(B150,'Livestock parameters'!$A$20:$AJ$35,31,FALSE)</f>
        <v>0</v>
      </c>
      <c r="E150" s="1190" t="str">
        <f>VLOOKUP(B150,'Livestock parameters'!$A$20:AJ$35,32,FALSE)</f>
        <v>pork</v>
      </c>
      <c r="F150" s="1190">
        <f>VLOOKUP(B150,'Livestock parameters'!$A$20:AK$35,33,FALSE)</f>
        <v>0</v>
      </c>
      <c r="G150" s="1190">
        <f>VLOOKUP(B150,'Livestock parameters'!$A$20:AK$35,34,FALSE)</f>
        <v>0</v>
      </c>
      <c r="H150" s="657" t="s">
        <v>1647</v>
      </c>
      <c r="K150" s="411" t="e">
        <f ca="1">C150*E150+C150*G150*Economics_Parameters!$C$12</f>
        <v>#REF!</v>
      </c>
      <c r="AI150" s="413"/>
    </row>
    <row r="151" spans="1:59">
      <c r="B151" s="425" t="str">
        <f t="shared" si="13"/>
        <v>Calves</v>
      </c>
      <c r="C151" s="732" t="e">
        <f t="shared" ca="1" si="12"/>
        <v>#REF!</v>
      </c>
      <c r="D151" s="1190">
        <f>VLOOKUP(B151,'Livestock parameters'!$A$20:$AJ$35,31,FALSE)</f>
        <v>0</v>
      </c>
      <c r="E151" s="1190" t="str">
        <f>VLOOKUP(B151,'Livestock parameters'!$A$20:AJ$35,32,FALSE)</f>
        <v>beef</v>
      </c>
      <c r="F151" s="1190">
        <f>VLOOKUP(B151,'Livestock parameters'!$A$20:AK$35,33,FALSE)</f>
        <v>200</v>
      </c>
      <c r="G151" s="1190">
        <f>VLOOKUP(B151,'Livestock parameters'!$A$20:AK$35,34,FALSE)</f>
        <v>5</v>
      </c>
      <c r="H151" s="657"/>
      <c r="AI151" s="413"/>
    </row>
    <row r="152" spans="1:59">
      <c r="B152" s="425" t="str">
        <f t="shared" si="13"/>
        <v>Cows (high productive)</v>
      </c>
      <c r="C152" s="732" t="e">
        <f t="shared" ca="1" si="12"/>
        <v>#REF!</v>
      </c>
      <c r="D152" s="1190">
        <f>VLOOKUP(B152,'Livestock parameters'!$A$20:$AJ$35,31,FALSE)</f>
        <v>0</v>
      </c>
      <c r="E152" s="1190" t="str">
        <f>VLOOKUP(B152,'Livestock parameters'!$A$20:AJ$35,32,FALSE)</f>
        <v>beef</v>
      </c>
      <c r="F152" s="1190">
        <f>VLOOKUP(B152,'Livestock parameters'!$A$20:AK$35,33,FALSE)</f>
        <v>1500</v>
      </c>
      <c r="G152" s="1190">
        <f>VLOOKUP(B152,'Livestock parameters'!$A$20:AK$35,34,FALSE)</f>
        <v>20</v>
      </c>
      <c r="H152" s="657"/>
      <c r="AI152" s="413"/>
    </row>
    <row r="153" spans="1:59">
      <c r="B153" s="425" t="e">
        <f t="shared" si="13"/>
        <v>#REF!</v>
      </c>
      <c r="C153" s="732" t="e">
        <f ca="1">#REF!-INDIRECT(CONCATENATE("[", "Baseline.xlsm","]INPUTS","!D18"))</f>
        <v>#REF!</v>
      </c>
      <c r="D153" s="1190" t="e">
        <f>VLOOKUP(B153,'Livestock parameters'!$A$20:$AJ$35,31,FALSE)</f>
        <v>#REF!</v>
      </c>
      <c r="E153" s="1190" t="e">
        <f>VLOOKUP(B153,'Livestock parameters'!$A$20:AJ$35,32,FALSE)</f>
        <v>#REF!</v>
      </c>
      <c r="F153" s="1190" t="e">
        <f>VLOOKUP(B153,'Livestock parameters'!$A$20:AK$35,33,FALSE)</f>
        <v>#REF!</v>
      </c>
      <c r="G153" s="1190" t="e">
        <f>VLOOKUP(B153,'Livestock parameters'!$A$20:AK$35,34,FALSE)</f>
        <v>#REF!</v>
      </c>
      <c r="H153" s="657"/>
      <c r="K153" s="411" t="e">
        <f ca="1">C153*E153+C153*G153*Economics_Parameters!$C$12</f>
        <v>#REF!</v>
      </c>
      <c r="AI153" s="413"/>
    </row>
    <row r="154" spans="1:59" s="413" customFormat="1">
      <c r="A154" s="411"/>
      <c r="B154" s="425" t="e">
        <f t="shared" si="13"/>
        <v>#REF!</v>
      </c>
      <c r="C154" s="732" t="e">
        <f ca="1">#REF!-INDIRECT(CONCATENATE("[", "Baseline.xlsm","]INPUTS","!D18"))</f>
        <v>#REF!</v>
      </c>
      <c r="D154" s="1190" t="e">
        <f>VLOOKUP(B154,'Livestock parameters'!$A$20:$AJ$35,31,FALSE)</f>
        <v>#REF!</v>
      </c>
      <c r="E154" s="1190" t="e">
        <f>VLOOKUP(B154,'Livestock parameters'!$A$20:AJ$35,32,FALSE)</f>
        <v>#REF!</v>
      </c>
      <c r="F154" s="1190" t="e">
        <f>VLOOKUP(B154,'Livestock parameters'!$A$20:AK$35,33,FALSE)</f>
        <v>#REF!</v>
      </c>
      <c r="G154" s="1190" t="e">
        <f>VLOOKUP(B154,'Livestock parameters'!$A$20:AK$35,34,FALSE)</f>
        <v>#REF!</v>
      </c>
      <c r="H154" s="657"/>
      <c r="I154" s="411"/>
      <c r="J154" s="411"/>
      <c r="K154" s="411" t="e">
        <f ca="1">C154*E154+C154*G154*Economics_Parameters!$C$12</f>
        <v>#REF!</v>
      </c>
      <c r="L154" s="411"/>
      <c r="M154" s="411"/>
      <c r="N154" s="411"/>
      <c r="O154" s="411"/>
      <c r="P154" s="411"/>
      <c r="Q154" s="411"/>
      <c r="R154" s="411"/>
      <c r="S154" s="411"/>
      <c r="T154" s="411"/>
      <c r="U154" s="411"/>
      <c r="V154" s="411"/>
      <c r="W154" s="411"/>
      <c r="X154" s="411"/>
      <c r="Y154" s="411"/>
      <c r="Z154" s="411"/>
      <c r="AA154" s="411"/>
      <c r="AB154" s="411"/>
      <c r="AC154" s="411"/>
      <c r="AD154" s="411"/>
      <c r="AE154" s="411"/>
      <c r="AF154" s="411"/>
      <c r="AG154" s="411"/>
      <c r="AH154" s="411"/>
      <c r="AJ154" s="411"/>
      <c r="AK154" s="411"/>
      <c r="AL154" s="411"/>
      <c r="AM154" s="411"/>
      <c r="AN154" s="411"/>
      <c r="AO154" s="411"/>
      <c r="AP154" s="411"/>
      <c r="AQ154" s="411"/>
      <c r="AR154" s="411"/>
      <c r="AS154" s="411"/>
      <c r="AT154" s="411"/>
      <c r="AU154" s="411"/>
      <c r="AV154" s="411"/>
      <c r="AW154" s="411"/>
      <c r="AX154" s="411"/>
      <c r="AY154" s="411"/>
      <c r="BC154" s="411"/>
      <c r="BD154" s="411"/>
      <c r="BE154" s="411"/>
    </row>
    <row r="155" spans="1:59" s="413" customFormat="1">
      <c r="A155" s="411"/>
      <c r="B155" s="425" t="e">
        <f t="shared" si="13"/>
        <v>#REF!</v>
      </c>
      <c r="C155" s="732" t="e">
        <f ca="1">#REF!-INDIRECT(CONCATENATE("[", "Baseline.xlsm","]INPUTS","!D18"))</f>
        <v>#REF!</v>
      </c>
      <c r="D155" s="1190" t="e">
        <f>VLOOKUP(B155,'Livestock parameters'!$A$20:$AJ$35,31,FALSE)</f>
        <v>#REF!</v>
      </c>
      <c r="E155" s="1190" t="e">
        <f>VLOOKUP(B155,'Livestock parameters'!$A$20:AJ$35,32,FALSE)</f>
        <v>#REF!</v>
      </c>
      <c r="F155" s="1190" t="e">
        <f>VLOOKUP(B155,'Livestock parameters'!$A$20:AK$35,33,FALSE)</f>
        <v>#REF!</v>
      </c>
      <c r="G155" s="1190" t="e">
        <f>VLOOKUP(B155,'Livestock parameters'!$A$20:AK$35,34,FALSE)</f>
        <v>#REF!</v>
      </c>
      <c r="H155" s="657"/>
      <c r="I155" s="411"/>
      <c r="J155" s="411"/>
      <c r="K155" s="411" t="e">
        <f ca="1">C155*E155+C155*G155*Economics_Parameters!$C$12</f>
        <v>#REF!</v>
      </c>
      <c r="L155" s="411"/>
      <c r="M155" s="411"/>
      <c r="N155" s="411"/>
      <c r="O155" s="411"/>
      <c r="P155" s="411"/>
      <c r="Q155" s="411"/>
      <c r="R155" s="411"/>
      <c r="S155" s="411"/>
      <c r="T155" s="411"/>
      <c r="U155" s="411"/>
      <c r="V155" s="411"/>
      <c r="W155" s="411"/>
      <c r="X155" s="411"/>
      <c r="Y155" s="411"/>
      <c r="Z155" s="411"/>
      <c r="AA155" s="411"/>
      <c r="AB155" s="411"/>
      <c r="AC155" s="411"/>
      <c r="AD155" s="411"/>
      <c r="AE155" s="411"/>
      <c r="AF155" s="411"/>
      <c r="AG155" s="411"/>
      <c r="AH155" s="411"/>
      <c r="AJ155" s="411"/>
      <c r="AK155" s="411"/>
      <c r="AL155" s="411"/>
      <c r="AM155" s="411"/>
      <c r="AN155" s="411"/>
      <c r="AO155" s="411"/>
      <c r="AP155" s="411"/>
      <c r="AQ155" s="411"/>
      <c r="AR155" s="411"/>
      <c r="AS155" s="411"/>
      <c r="AT155" s="411"/>
      <c r="AU155" s="411"/>
      <c r="AV155" s="411"/>
      <c r="AW155" s="411"/>
      <c r="AX155" s="411"/>
      <c r="AY155" s="411"/>
      <c r="BC155" s="411"/>
      <c r="BD155" s="411"/>
      <c r="BE155" s="411"/>
    </row>
    <row r="156" spans="1:59" s="413" customFormat="1">
      <c r="A156" s="411"/>
      <c r="B156" s="425" t="e">
        <f t="shared" si="13"/>
        <v>#REF!</v>
      </c>
      <c r="C156" s="732" t="e">
        <f ca="1">#REF!-INDIRECT(CONCATENATE("[", "Baseline.xlsm","]INPUTS","!D18"))</f>
        <v>#REF!</v>
      </c>
      <c r="D156" s="1190" t="e">
        <f>VLOOKUP(B156,'Livestock parameters'!$A$20:$AJ$35,31,FALSE)</f>
        <v>#REF!</v>
      </c>
      <c r="E156" s="1190" t="e">
        <f>VLOOKUP(B156,'Livestock parameters'!$A$20:AJ$35,32,FALSE)</f>
        <v>#REF!</v>
      </c>
      <c r="F156" s="1190" t="e">
        <f>VLOOKUP(B156,'Livestock parameters'!$A$20:AK$35,33,FALSE)</f>
        <v>#REF!</v>
      </c>
      <c r="G156" s="1190" t="e">
        <f>VLOOKUP(B156,'Livestock parameters'!$A$20:AK$35,34,FALSE)</f>
        <v>#REF!</v>
      </c>
      <c r="H156" s="657"/>
      <c r="I156" s="411"/>
      <c r="J156" s="411"/>
      <c r="K156" s="411" t="e">
        <f ca="1">C156*E156+C156*G156*Economics_Parameters!$C$12</f>
        <v>#REF!</v>
      </c>
      <c r="L156" s="411"/>
      <c r="M156" s="411"/>
      <c r="N156" s="411"/>
      <c r="O156" s="411"/>
      <c r="P156" s="411"/>
      <c r="Q156" s="411"/>
      <c r="R156" s="411"/>
      <c r="S156" s="411"/>
      <c r="T156" s="411"/>
      <c r="U156" s="411"/>
      <c r="V156" s="411"/>
      <c r="W156" s="411"/>
      <c r="X156" s="411"/>
      <c r="Y156" s="411"/>
      <c r="Z156" s="411"/>
      <c r="AA156" s="411"/>
      <c r="AB156" s="411"/>
      <c r="AC156" s="411"/>
      <c r="AD156" s="411"/>
      <c r="AE156" s="411"/>
      <c r="AF156" s="411"/>
      <c r="AG156" s="411"/>
      <c r="AI156" s="411"/>
      <c r="AJ156" s="411"/>
      <c r="AK156" s="411"/>
      <c r="AL156" s="411"/>
      <c r="AM156" s="411"/>
      <c r="AN156" s="411"/>
      <c r="AO156" s="411"/>
      <c r="AP156" s="411"/>
      <c r="AQ156" s="411"/>
      <c r="AR156" s="411"/>
      <c r="AS156" s="411"/>
      <c r="AT156" s="411"/>
      <c r="AU156" s="411"/>
      <c r="AV156" s="411"/>
      <c r="AW156" s="411"/>
      <c r="AX156" s="411"/>
      <c r="AY156" s="411"/>
      <c r="BC156" s="411"/>
      <c r="BD156" s="411"/>
      <c r="BE156" s="411"/>
    </row>
    <row r="157" spans="1:59" s="413" customFormat="1" ht="16.5" thickBot="1">
      <c r="A157" s="411"/>
      <c r="B157" s="425" t="e">
        <f t="shared" si="13"/>
        <v>#REF!</v>
      </c>
      <c r="C157" s="732" t="e">
        <f ca="1">#REF!-INDIRECT(CONCATENATE("[", "Baseline.xlsm","]INPUTS","!D18"))</f>
        <v>#REF!</v>
      </c>
      <c r="D157" s="1190" t="e">
        <f>VLOOKUP(B157,'Livestock parameters'!$A$20:$AJ$35,31,FALSE)</f>
        <v>#REF!</v>
      </c>
      <c r="E157" s="1190" t="e">
        <f>VLOOKUP(B157,'Livestock parameters'!$A$20:AJ$35,32,FALSE)</f>
        <v>#REF!</v>
      </c>
      <c r="F157" s="1190" t="e">
        <f>VLOOKUP(B157,'Livestock parameters'!$A$20:AK$35,33,FALSE)</f>
        <v>#REF!</v>
      </c>
      <c r="G157" s="1190" t="e">
        <f>VLOOKUP(B157,'Livestock parameters'!$A$20:AK$35,34,FALSE)</f>
        <v>#REF!</v>
      </c>
      <c r="H157" s="688"/>
      <c r="I157" s="411"/>
      <c r="J157" s="411"/>
      <c r="K157" s="411" t="e">
        <f ca="1">C157*E157+C157*G157*Economics_Parameters!$C$12</f>
        <v>#REF!</v>
      </c>
      <c r="L157" s="411"/>
      <c r="M157" s="411"/>
      <c r="N157" s="411"/>
      <c r="O157" s="411"/>
      <c r="P157" s="411"/>
      <c r="Q157" s="411"/>
      <c r="R157" s="411"/>
      <c r="S157" s="411"/>
      <c r="T157" s="411"/>
      <c r="U157" s="411"/>
      <c r="V157" s="411"/>
      <c r="W157" s="411"/>
      <c r="X157" s="411"/>
      <c r="Y157" s="411"/>
      <c r="Z157" s="411"/>
      <c r="AA157" s="411"/>
      <c r="AB157" s="411"/>
      <c r="AC157" s="411"/>
      <c r="AD157" s="411"/>
      <c r="AE157" s="411"/>
      <c r="AF157" s="411"/>
      <c r="AG157" s="411"/>
      <c r="AI157" s="411"/>
      <c r="AJ157" s="411"/>
      <c r="AK157" s="411"/>
      <c r="AL157" s="411"/>
      <c r="AM157" s="411"/>
      <c r="AN157" s="411"/>
      <c r="AO157" s="411"/>
      <c r="AP157" s="411"/>
      <c r="AQ157" s="411"/>
      <c r="AR157" s="411"/>
      <c r="AS157" s="411"/>
      <c r="AT157" s="411"/>
      <c r="AU157" s="411"/>
      <c r="AV157" s="411"/>
      <c r="AW157" s="411"/>
      <c r="AX157" s="411"/>
      <c r="AY157" s="411"/>
      <c r="BC157" s="411"/>
      <c r="BD157" s="411"/>
      <c r="BE157" s="411"/>
    </row>
    <row r="158" spans="1:59" s="413" customFormat="1" ht="16.5" thickBot="1">
      <c r="A158" s="411"/>
      <c r="C158" s="411"/>
      <c r="D158" s="411"/>
      <c r="E158" s="411"/>
      <c r="F158" s="411"/>
      <c r="G158" s="411"/>
      <c r="H158" s="411"/>
      <c r="I158" s="411"/>
      <c r="J158" s="411"/>
      <c r="K158" s="411"/>
      <c r="L158" s="411"/>
      <c r="M158" s="411"/>
      <c r="N158" s="411"/>
      <c r="O158" s="411"/>
      <c r="P158" s="411"/>
      <c r="Q158" s="411"/>
      <c r="R158" s="411"/>
      <c r="S158" s="411"/>
      <c r="T158" s="411"/>
      <c r="U158" s="411"/>
      <c r="V158" s="411"/>
      <c r="W158" s="411"/>
      <c r="X158" s="411"/>
      <c r="Y158" s="411"/>
      <c r="Z158" s="411"/>
      <c r="AA158" s="411"/>
      <c r="AB158" s="411"/>
      <c r="AC158" s="411"/>
      <c r="AD158" s="411"/>
      <c r="AE158" s="411"/>
      <c r="AF158" s="411"/>
      <c r="AG158" s="411"/>
      <c r="AI158" s="411"/>
      <c r="AJ158" s="411"/>
      <c r="AK158" s="411"/>
      <c r="AL158" s="411"/>
      <c r="AM158" s="411"/>
      <c r="AN158" s="411"/>
      <c r="AO158" s="411"/>
      <c r="AP158" s="411"/>
      <c r="AQ158" s="411"/>
      <c r="AR158" s="411"/>
      <c r="AS158" s="411"/>
      <c r="AT158" s="411"/>
      <c r="AU158" s="411"/>
      <c r="AV158" s="411"/>
      <c r="AW158" s="411"/>
      <c r="AX158" s="411"/>
      <c r="AY158" s="411"/>
      <c r="BC158" s="411"/>
      <c r="BD158" s="411"/>
      <c r="BE158" s="411"/>
    </row>
    <row r="159" spans="1:59" s="413" customFormat="1" ht="16.5" thickBot="1">
      <c r="A159" s="411"/>
      <c r="C159" s="433"/>
      <c r="D159" s="602"/>
      <c r="E159" s="602"/>
      <c r="F159" s="602" t="s">
        <v>44</v>
      </c>
      <c r="G159" s="419"/>
      <c r="H159" s="411"/>
      <c r="I159" s="411"/>
      <c r="J159" s="411"/>
      <c r="K159" s="411"/>
      <c r="L159" s="411"/>
      <c r="M159" s="411"/>
      <c r="N159" s="411"/>
      <c r="O159" s="411"/>
      <c r="P159" s="411"/>
      <c r="Q159" s="411"/>
      <c r="R159" s="411"/>
      <c r="S159" s="411"/>
      <c r="T159" s="411"/>
      <c r="U159" s="411"/>
      <c r="V159" s="411"/>
      <c r="W159" s="411"/>
      <c r="X159" s="411"/>
      <c r="Y159" s="411"/>
      <c r="Z159" s="411"/>
      <c r="AA159" s="411"/>
      <c r="AB159" s="411"/>
      <c r="AC159" s="411"/>
      <c r="AD159" s="411"/>
      <c r="AE159" s="411"/>
      <c r="AF159" s="411"/>
      <c r="AG159" s="411"/>
      <c r="AI159" s="411"/>
      <c r="AJ159" s="411"/>
      <c r="AK159" s="411"/>
      <c r="AL159" s="411"/>
      <c r="AM159" s="411"/>
      <c r="AN159" s="411"/>
      <c r="AO159" s="411"/>
      <c r="AP159" s="411"/>
      <c r="AQ159" s="411"/>
      <c r="AR159" s="411"/>
      <c r="AS159" s="411"/>
      <c r="AT159" s="411"/>
      <c r="AU159" s="411"/>
      <c r="AV159" s="411"/>
      <c r="AW159" s="411"/>
      <c r="AX159" s="411"/>
      <c r="AY159" s="411"/>
      <c r="BC159" s="411"/>
      <c r="BD159" s="411"/>
      <c r="BE159" s="411"/>
    </row>
    <row r="160" spans="1:59" s="413" customFormat="1" ht="32.25" thickBot="1">
      <c r="A160" s="411"/>
      <c r="B160" s="502" t="s">
        <v>1648</v>
      </c>
      <c r="C160" s="865" t="s">
        <v>1711</v>
      </c>
      <c r="D160" s="865" t="s">
        <v>1346</v>
      </c>
      <c r="E160" s="685" t="s">
        <v>1492</v>
      </c>
      <c r="F160" s="1074" t="s">
        <v>1649</v>
      </c>
      <c r="G160" s="586" t="s">
        <v>1260</v>
      </c>
      <c r="H160" s="861" t="s">
        <v>1261</v>
      </c>
      <c r="I160" s="867" t="s">
        <v>1186</v>
      </c>
      <c r="K160" s="413" t="s">
        <v>1691</v>
      </c>
      <c r="L160" s="411"/>
      <c r="M160" s="411"/>
      <c r="N160" s="411"/>
      <c r="O160" s="411"/>
      <c r="P160" s="411"/>
      <c r="Q160" s="411"/>
      <c r="R160" s="411"/>
      <c r="S160" s="411"/>
      <c r="T160" s="411"/>
      <c r="U160" s="411"/>
      <c r="V160" s="411"/>
      <c r="W160" s="411"/>
      <c r="X160" s="411"/>
      <c r="Y160" s="411"/>
      <c r="Z160" s="411"/>
      <c r="AA160" s="411"/>
      <c r="AB160" s="411"/>
      <c r="AC160" s="411"/>
      <c r="AD160" s="411"/>
      <c r="AE160" s="411"/>
      <c r="AF160" s="411"/>
      <c r="AG160" s="411"/>
      <c r="AH160" s="411"/>
      <c r="AI160" s="411"/>
      <c r="AK160" s="411"/>
      <c r="AL160" s="411"/>
      <c r="AM160" s="411"/>
      <c r="AN160" s="411"/>
      <c r="AO160" s="411"/>
      <c r="AP160" s="411"/>
      <c r="AQ160" s="411"/>
      <c r="AR160" s="411"/>
      <c r="AS160" s="411"/>
      <c r="AT160" s="411"/>
      <c r="AU160" s="411"/>
      <c r="AV160" s="411"/>
      <c r="AW160" s="411"/>
      <c r="AX160" s="411"/>
      <c r="AY160" s="411"/>
      <c r="AZ160" s="411"/>
      <c r="BA160" s="411"/>
      <c r="BE160" s="411"/>
      <c r="BF160" s="411"/>
      <c r="BG160" s="411"/>
    </row>
    <row r="161" spans="1:36">
      <c r="A161" s="413"/>
      <c r="B161" s="1163" t="e">
        <f ca="1">IF(B60=INDIRECT(CONCATENATE("[", "Baseline.xlsm","]INPUTS","!B55")),B60,"")</f>
        <v>#REF!</v>
      </c>
      <c r="C161" s="863" t="e">
        <f ca="1">IF(B161&lt;&gt; "", 'Land requirements'!E4-INDIRECT(CONCATENATE("'[", "Baseline.xlsm","]Land requirements'","!E4")), 0)</f>
        <v>#REF!</v>
      </c>
      <c r="D161" s="863" t="e">
        <f ca="1">IF(C161&lt;&gt; 0, 'Land requirements'!E17-INDIRECT(CONCATENATE("'[", "Baseline.xlsm","]Land requirements'","!E17")), 0)</f>
        <v>#REF!</v>
      </c>
      <c r="E161" s="1190" t="e">
        <f ca="1">VLOOKUP(B161,'Feed parameters'!$A$2:$M$113,10,FALSE)</f>
        <v>#REF!</v>
      </c>
      <c r="F161" s="1190" t="e">
        <f ca="1">VLOOKUP(B161,'Feed parameters'!$A$2:$M$113,11,FALSE)</f>
        <v>#REF!</v>
      </c>
      <c r="G161" s="1195" t="e">
        <f ca="1">VLOOKUP(B161,'Feed parameters'!$A$2:$M$113,12,FALSE)</f>
        <v>#REF!</v>
      </c>
      <c r="H161" s="1190" t="e">
        <f ca="1">VLOOKUP(B161,'Feed parameters'!$A$2:$M$113,13,FALSE)</f>
        <v>#REF!</v>
      </c>
      <c r="I161" s="657"/>
      <c r="J161" s="862"/>
      <c r="K161" s="862" t="e">
        <f ca="1">C161*F161+C161*H161*Economics_Parameters!$C$12</f>
        <v>#REF!</v>
      </c>
      <c r="L161" s="413"/>
      <c r="M161" s="413"/>
      <c r="N161" s="413"/>
      <c r="O161" s="413"/>
      <c r="P161" s="413"/>
      <c r="Q161" s="413"/>
      <c r="R161" s="413"/>
      <c r="S161" s="413"/>
      <c r="T161" s="413"/>
      <c r="U161" s="413"/>
      <c r="AJ161" s="413"/>
    </row>
    <row r="162" spans="1:36">
      <c r="A162" s="413"/>
      <c r="B162" s="929" t="e">
        <f ca="1">IF(B61=INDIRECT(CONCATENATE("[", "Baseline.xlsm","]INPUTS","!B56")),B61,"")</f>
        <v>#REF!</v>
      </c>
      <c r="C162" s="863" t="e">
        <f ca="1">IF(B162&lt;&gt; "", 'Land requirements'!E5-INDIRECT(CONCATENATE("'[", "Baseline.xlsm","]Land requirements'","!E5")), 0)</f>
        <v>#REF!</v>
      </c>
      <c r="D162" s="863" t="e">
        <f ca="1">IF(C162&lt;&gt;0, 'Land requirements'!E18-INDIRECT(CONCATENATE("'[", "Baseline.xlsm","]Land requirements'","!E18")), 0)</f>
        <v>#REF!</v>
      </c>
      <c r="E162" s="1190" t="e">
        <f ca="1">VLOOKUP(B162,'Feed parameters'!$A$2:$M$113,10,FALSE)</f>
        <v>#REF!</v>
      </c>
      <c r="F162" s="1190" t="e">
        <f ca="1">VLOOKUP(B162,'Feed parameters'!$A$2:$M$113,11,FALSE)</f>
        <v>#REF!</v>
      </c>
      <c r="G162" s="1195" t="e">
        <f ca="1">VLOOKUP(B162,'Feed parameters'!$A$2:$M$113,12,FALSE)</f>
        <v>#REF!</v>
      </c>
      <c r="H162" s="1190" t="e">
        <f ca="1">VLOOKUP(B162,'Feed parameters'!$A$2:$M$113,13,FALSE)</f>
        <v>#REF!</v>
      </c>
      <c r="I162" s="657"/>
      <c r="J162" s="862"/>
      <c r="K162" s="862" t="e">
        <f ca="1">C162*F162+C162*H162*Economics_Parameters!$C$12</f>
        <v>#REF!</v>
      </c>
      <c r="L162" s="413"/>
      <c r="M162" s="413"/>
      <c r="N162" s="413"/>
      <c r="O162" s="413"/>
      <c r="P162" s="413"/>
      <c r="Q162" s="413"/>
      <c r="R162" s="413"/>
      <c r="S162" s="413"/>
      <c r="T162" s="413"/>
      <c r="U162" s="413"/>
      <c r="AJ162" s="413"/>
    </row>
    <row r="163" spans="1:36">
      <c r="A163" s="413"/>
      <c r="B163" s="929" t="e">
        <f ca="1">IF(B62=INDIRECT(CONCATENATE("[", "Baseline.xlsm","]INPUTS","!B57")),B62,"")</f>
        <v>#REF!</v>
      </c>
      <c r="C163" s="863" t="e">
        <f ca="1">IF(B163&lt;&gt; "", 'Land requirements'!E6-INDIRECT(CONCATENATE("'[", "Baseline.xlsm","]Land requirements'","!E6")), 0)</f>
        <v>#REF!</v>
      </c>
      <c r="D163" s="863" t="e">
        <f ca="1">IF(C163&lt;&gt;0, 'Land requirements'!E19-INDIRECT(CONCATENATE("'[", "Baseline.xlsm","]Land requirements'","!E19")), 0)</f>
        <v>#REF!</v>
      </c>
      <c r="E163" s="1190" t="e">
        <f ca="1">VLOOKUP(B163,'Feed parameters'!$A$2:$M$113,10,FALSE)</f>
        <v>#REF!</v>
      </c>
      <c r="F163" s="1190" t="e">
        <f ca="1">VLOOKUP(B163,'Feed parameters'!$A$2:$M$113,11,FALSE)</f>
        <v>#REF!</v>
      </c>
      <c r="G163" s="1195" t="e">
        <f ca="1">VLOOKUP(B163,'Feed parameters'!$A$2:$M$113,12,FALSE)</f>
        <v>#REF!</v>
      </c>
      <c r="H163" s="1190" t="e">
        <f ca="1">VLOOKUP(B163,'Feed parameters'!$A$2:$M$113,13,FALSE)</f>
        <v>#REF!</v>
      </c>
      <c r="I163" s="657"/>
      <c r="J163" s="862"/>
      <c r="K163" s="862" t="e">
        <f ca="1">C163*F163+C163*H163*Economics_Parameters!$C$12</f>
        <v>#REF!</v>
      </c>
      <c r="L163" s="413"/>
      <c r="M163" s="413"/>
      <c r="N163" s="413"/>
      <c r="O163" s="413"/>
      <c r="P163" s="413"/>
      <c r="Q163" s="413"/>
      <c r="R163" s="413"/>
      <c r="S163" s="413"/>
      <c r="T163" s="413"/>
      <c r="U163" s="413"/>
    </row>
    <row r="164" spans="1:36">
      <c r="A164" s="413"/>
      <c r="B164" s="929" t="e">
        <f ca="1">IF(B63=INDIRECT(CONCATENATE("[", "Baseline.xlsm","]INPUTS","!B58")),B63,"")</f>
        <v>#REF!</v>
      </c>
      <c r="C164" s="863" t="e">
        <f ca="1">IF(B164&lt;&gt; "", 'Land requirements'!E7-INDIRECT(CONCATENATE("'[", "Baseline.xlsm","]Land requirements'","!E7")), 0)</f>
        <v>#REF!</v>
      </c>
      <c r="D164" s="863" t="e">
        <f ca="1">IF(C164&lt;&gt;0, 'Land requirements'!E20-INDIRECT(CONCATENATE("'[", "Baseline.xlsm","]Land requirements'","!E20")), 0)</f>
        <v>#REF!</v>
      </c>
      <c r="E164" s="1190" t="e">
        <f ca="1">VLOOKUP(B164,'Feed parameters'!$A$2:$M$113,10,FALSE)</f>
        <v>#REF!</v>
      </c>
      <c r="F164" s="1190" t="e">
        <f ca="1">VLOOKUP(B164,'Feed parameters'!$A$2:$M$113,11,FALSE)</f>
        <v>#REF!</v>
      </c>
      <c r="G164" s="1195" t="e">
        <f ca="1">VLOOKUP(B164,'Feed parameters'!$A$2:$M$113,12,FALSE)</f>
        <v>#REF!</v>
      </c>
      <c r="H164" s="1190" t="e">
        <f ca="1">VLOOKUP(B164,'Feed parameters'!$A$2:$M$113,13,FALSE)</f>
        <v>#REF!</v>
      </c>
      <c r="I164" s="657"/>
      <c r="J164" s="862"/>
      <c r="K164" s="862" t="e">
        <f ca="1">C164*F164+C164*H164*Economics_Parameters!$C$12</f>
        <v>#REF!</v>
      </c>
      <c r="L164" s="413"/>
      <c r="M164" s="413"/>
      <c r="N164" s="413"/>
      <c r="O164" s="413"/>
      <c r="P164" s="413"/>
      <c r="Q164" s="413"/>
      <c r="R164" s="413"/>
      <c r="S164" s="413"/>
      <c r="T164" s="413"/>
      <c r="U164" s="413"/>
    </row>
    <row r="165" spans="1:36">
      <c r="A165" s="413"/>
      <c r="B165" s="929" t="e">
        <f ca="1">IF(B64=INDIRECT(CONCATENATE("[", "Baseline.xlsm","]INPUTS","!B59")),B64,"")</f>
        <v>#REF!</v>
      </c>
      <c r="C165" s="863" t="e">
        <f ca="1">IF(B165&lt;&gt; "", 'Land requirements'!E8-INDIRECT(CONCATENATE("'[", "Baseline.xlsm","]Land requirements'","!E8")), 0)</f>
        <v>#REF!</v>
      </c>
      <c r="D165" s="863" t="e">
        <f ca="1">IF(C165&lt;&gt;0, 'Land requirements'!E21-INDIRECT(CONCATENATE("'[", "Baseline.xlsm","]Land requirements'","!E21")), 0)</f>
        <v>#REF!</v>
      </c>
      <c r="E165" s="1190" t="e">
        <f ca="1">VLOOKUP(B165,'Feed parameters'!$A$2:$M$113,10,FALSE)</f>
        <v>#REF!</v>
      </c>
      <c r="F165" s="1190" t="e">
        <f ca="1">VLOOKUP(B165,'Feed parameters'!$A$2:$M$113,11,FALSE)</f>
        <v>#REF!</v>
      </c>
      <c r="G165" s="1195" t="e">
        <f ca="1">VLOOKUP(B165,'Feed parameters'!$A$2:$M$113,12,FALSE)</f>
        <v>#REF!</v>
      </c>
      <c r="H165" s="1190" t="e">
        <f ca="1">VLOOKUP(B165,'Feed parameters'!$A$2:$M$113,13,FALSE)</f>
        <v>#REF!</v>
      </c>
      <c r="I165" s="657"/>
      <c r="J165" s="862"/>
      <c r="K165" s="862" t="e">
        <f ca="1">C165*F165+C165*H165*Economics_Parameters!$C$12</f>
        <v>#REF!</v>
      </c>
      <c r="L165" s="413"/>
      <c r="M165" s="413"/>
      <c r="N165" s="413"/>
      <c r="O165" s="413"/>
      <c r="P165" s="413"/>
      <c r="Q165" s="413"/>
      <c r="R165" s="413"/>
      <c r="S165" s="413"/>
      <c r="T165" s="413"/>
      <c r="U165" s="413"/>
    </row>
    <row r="166" spans="1:36" ht="31.5" customHeight="1">
      <c r="A166" s="413"/>
      <c r="B166" s="929" t="e">
        <f ca="1">IF(B65=INDIRECT(CONCATENATE("[", "Baseline.xlsm","]INPUTS","!B60")),B65,"")</f>
        <v>#REF!</v>
      </c>
      <c r="C166" s="863" t="e">
        <f ca="1">IF(B166&lt;&gt; "", 'Land requirements'!E9-INDIRECT(CONCATENATE("'[", "Baseline.xlsm","]Land requirements'","!E9")), 0)</f>
        <v>#REF!</v>
      </c>
      <c r="D166" s="863" t="e">
        <f ca="1">IF(C166&lt;&gt;0, 'Land requirements'!E22-INDIRECT(CONCATENATE("'[", "Baseline.xlsm","]Land requirements'","!E22")), 0)</f>
        <v>#REF!</v>
      </c>
      <c r="E166" s="1190" t="e">
        <f ca="1">VLOOKUP(B166,'Feed parameters'!$A$2:$M$113,10,FALSE)</f>
        <v>#REF!</v>
      </c>
      <c r="F166" s="1190" t="e">
        <f ca="1">VLOOKUP(B166,'Feed parameters'!$A$2:$M$113,11,FALSE)</f>
        <v>#REF!</v>
      </c>
      <c r="G166" s="1195" t="e">
        <f ca="1">VLOOKUP(B166,'Feed parameters'!$A$2:$M$113,12,FALSE)</f>
        <v>#REF!</v>
      </c>
      <c r="H166" s="1190" t="e">
        <f ca="1">VLOOKUP(B166,'Feed parameters'!$A$2:$M$113,13,FALSE)</f>
        <v>#REF!</v>
      </c>
      <c r="I166" s="657"/>
      <c r="J166" s="862"/>
      <c r="K166" s="862" t="e">
        <f ca="1">C166*F166+C166*H166*Economics_Parameters!$C$12</f>
        <v>#REF!</v>
      </c>
      <c r="L166" s="413"/>
      <c r="M166" s="413"/>
      <c r="N166" s="413"/>
      <c r="O166" s="413"/>
      <c r="P166" s="413"/>
      <c r="Q166" s="413"/>
      <c r="R166" s="413"/>
      <c r="S166" s="413"/>
      <c r="T166" s="413"/>
      <c r="U166" s="413"/>
    </row>
    <row r="167" spans="1:36" ht="16.5" thickBot="1">
      <c r="A167" s="413"/>
      <c r="B167" s="623" t="e">
        <f ca="1">IF(B66=INDIRECT(CONCATENATE("[", "Baseline.xlsm","]INPUTS","!B61")),B66,"")</f>
        <v>#REF!</v>
      </c>
      <c r="C167" s="863" t="e">
        <f ca="1">IF(B167&lt;&gt; "", 'Land requirements'!E10-INDIRECT(CONCATENATE("'[", "Baseline.xlsm","]Land requirements'","!E10")), 0)</f>
        <v>#REF!</v>
      </c>
      <c r="D167" s="864" t="e">
        <f ca="1">IF(C167&lt;&gt;0, 'Land requirements'!E23-INDIRECT(CONCATENATE("'[", "Baseline.xlsm","]Land requirements'","!E23")), 0)</f>
        <v>#REF!</v>
      </c>
      <c r="E167" s="1192" t="e">
        <f ca="1">VLOOKUP(B167,'Feed parameters'!$A$2:$M$113,10,FALSE)</f>
        <v>#REF!</v>
      </c>
      <c r="F167" s="1192" t="e">
        <f ca="1">VLOOKUP(B167,'Feed parameters'!$A$2:$M$113,11,FALSE)</f>
        <v>#REF!</v>
      </c>
      <c r="G167" s="1196" t="e">
        <f ca="1">VLOOKUP(B167,'Feed parameters'!$A$2:$M$113,12,FALSE)</f>
        <v>#REF!</v>
      </c>
      <c r="H167" s="1192" t="e">
        <f ca="1">VLOOKUP(B167,'Feed parameters'!$A$2:$M$113,13,FALSE)</f>
        <v>#REF!</v>
      </c>
      <c r="I167" s="688"/>
      <c r="J167" s="862"/>
      <c r="K167" s="862" t="e">
        <f ca="1">C167*F167+C167*H167*Economics_Parameters!$C$12</f>
        <v>#REF!</v>
      </c>
      <c r="L167" s="413"/>
      <c r="M167" s="413"/>
      <c r="N167" s="413"/>
      <c r="O167" s="413"/>
      <c r="P167" s="413"/>
      <c r="Q167" s="413"/>
      <c r="R167" s="413"/>
      <c r="S167" s="413"/>
      <c r="T167" s="413"/>
      <c r="U167" s="413"/>
    </row>
    <row r="168" spans="1:36">
      <c r="C168" s="655"/>
    </row>
    <row r="169" spans="1:36" ht="16.5" thickBot="1">
      <c r="C169" s="654"/>
      <c r="K169" s="411" t="e">
        <f ca="1">SUM(K144:K167)</f>
        <v>#REF!</v>
      </c>
    </row>
    <row r="170" spans="1:36" ht="31.5">
      <c r="B170" s="647" t="s">
        <v>1207</v>
      </c>
      <c r="C170" s="870" t="s">
        <v>1233</v>
      </c>
      <c r="D170" s="866" t="s">
        <v>1346</v>
      </c>
      <c r="E170" s="685" t="s">
        <v>1492</v>
      </c>
      <c r="F170" s="685" t="s">
        <v>1202</v>
      </c>
      <c r="G170" s="586" t="s">
        <v>1260</v>
      </c>
      <c r="H170" s="586" t="s">
        <v>1261</v>
      </c>
      <c r="I170" s="586" t="s">
        <v>1186</v>
      </c>
    </row>
    <row r="171" spans="1:36">
      <c r="B171" s="1197" t="e">
        <f t="shared" ref="B171:B177" ca="1" si="14">IF(B161="", B60, "")</f>
        <v>#REF!</v>
      </c>
      <c r="C171" s="646" t="e">
        <f ca="1">IF(B171&lt;&gt; "", 'Land requirements'!E4, 0)</f>
        <v>#REF!</v>
      </c>
      <c r="D171" s="646" t="e">
        <f ca="1">IF(B171&lt;&gt; "", 'Land requirements'!E17, 0)</f>
        <v>#REF!</v>
      </c>
      <c r="E171" s="1190">
        <f ca="1">IFERROR(VLOOKUP(B171,'Feed parameters'!$A$2:$M$113,10,FALSE),0)</f>
        <v>0</v>
      </c>
      <c r="F171" s="1190">
        <f ca="1">IFERROR(VLOOKUP(B171,'Feed parameters'!$A$2:$M$113,11,FALSE),0)</f>
        <v>0</v>
      </c>
      <c r="G171" s="1190">
        <f ca="1">IFERROR(VLOOKUP(B171,'Feed parameters'!$A$2:$M$113,12,FALSE),0)</f>
        <v>0</v>
      </c>
      <c r="H171" s="1191">
        <f ca="1">IFERROR(VLOOKUP(B171,'Feed parameters'!$A$2:$M$113,13,FALSE),0)</f>
        <v>0</v>
      </c>
      <c r="I171" s="657"/>
    </row>
    <row r="172" spans="1:36">
      <c r="B172" s="425" t="e">
        <f t="shared" ca="1" si="14"/>
        <v>#REF!</v>
      </c>
      <c r="C172" s="646" t="e">
        <f ca="1">IF(B172&lt;&gt; "", 'Land requirements'!E5, 0)</f>
        <v>#REF!</v>
      </c>
      <c r="D172" s="646" t="e">
        <f ca="1">IF(B172&lt;&gt; "", 'Land requirements'!E18, 0)</f>
        <v>#REF!</v>
      </c>
      <c r="E172" s="1190">
        <f ca="1">IFERROR(VLOOKUP(B172,'Feed parameters'!$A$2:$M$113,10,FALSE),0)</f>
        <v>0</v>
      </c>
      <c r="F172" s="1190">
        <f ca="1">IFERROR(VLOOKUP(B172,'Feed parameters'!$A$2:$M$113,11,FALSE),0)</f>
        <v>0</v>
      </c>
      <c r="G172" s="1190">
        <f ca="1">IFERROR(VLOOKUP(B172,'Feed parameters'!$A$2:$M$113,12,FALSE),0)</f>
        <v>0</v>
      </c>
      <c r="H172" s="1191">
        <f ca="1">IFERROR(VLOOKUP(B172,'Feed parameters'!$A$2:$M$113,13,FALSE),0)</f>
        <v>0</v>
      </c>
      <c r="I172" s="657"/>
    </row>
    <row r="173" spans="1:36">
      <c r="B173" s="425" t="e">
        <f t="shared" ca="1" si="14"/>
        <v>#REF!</v>
      </c>
      <c r="C173" s="646" t="e">
        <f ca="1">IF(B173&lt;&gt; "", 'Land requirements'!E6, 0)</f>
        <v>#REF!</v>
      </c>
      <c r="D173" s="646" t="e">
        <f ca="1">IF(B173&lt;&gt; "", 'Land requirements'!E19, 0)</f>
        <v>#REF!</v>
      </c>
      <c r="E173" s="1190">
        <f ca="1">IFERROR(VLOOKUP(B173,'Feed parameters'!$A$2:$M$113,10,FALSE),0)</f>
        <v>0</v>
      </c>
      <c r="F173" s="1190">
        <f ca="1">IFERROR(VLOOKUP(B173,'Feed parameters'!$A$2:$M$113,11,FALSE),0)</f>
        <v>0</v>
      </c>
      <c r="G173" s="1190">
        <f ca="1">IFERROR(VLOOKUP(B173,'Feed parameters'!$A$2:$M$113,12,FALSE),0)</f>
        <v>0</v>
      </c>
      <c r="H173" s="1191">
        <f ca="1">IFERROR(VLOOKUP(B173,'Feed parameters'!$A$2:$M$113,13,FALSE),0)</f>
        <v>0</v>
      </c>
      <c r="I173" s="657"/>
      <c r="AE173" s="413"/>
      <c r="AF173" s="413"/>
    </row>
    <row r="174" spans="1:36">
      <c r="B174" s="425" t="e">
        <f t="shared" ca="1" si="14"/>
        <v>#REF!</v>
      </c>
      <c r="C174" s="646" t="e">
        <f ca="1">IF(B174&lt;&gt; "", 'Land requirements'!E7, 0)</f>
        <v>#REF!</v>
      </c>
      <c r="D174" s="646" t="e">
        <f ca="1">IF(B174&lt;&gt; "", 'Land requirements'!E20, 0)</f>
        <v>#REF!</v>
      </c>
      <c r="E174" s="1190">
        <f ca="1">IFERROR(VLOOKUP(B174,'Feed parameters'!$A$2:$M$113,10,FALSE),0)</f>
        <v>0</v>
      </c>
      <c r="F174" s="1190">
        <f ca="1">IFERROR(VLOOKUP(B174,'Feed parameters'!$A$2:$M$113,11,FALSE),0)</f>
        <v>0</v>
      </c>
      <c r="G174" s="1190">
        <f ca="1">IFERROR(VLOOKUP(B174,'Feed parameters'!$A$2:$M$113,12,FALSE),0)</f>
        <v>0</v>
      </c>
      <c r="H174" s="1191">
        <f ca="1">IFERROR(VLOOKUP(B174,'Feed parameters'!$A$2:$M$113,13,FALSE),0)</f>
        <v>0</v>
      </c>
      <c r="I174" s="657"/>
      <c r="AE174" s="413"/>
      <c r="AF174" s="413"/>
    </row>
    <row r="175" spans="1:36">
      <c r="B175" s="425" t="e">
        <f t="shared" ca="1" si="14"/>
        <v>#REF!</v>
      </c>
      <c r="C175" s="646" t="e">
        <f ca="1">IF(B175&lt;&gt; "", 'Land requirements'!E8, 0)</f>
        <v>#REF!</v>
      </c>
      <c r="D175" s="646" t="e">
        <f ca="1">IF(B175&lt;&gt; "", 'Land requirements'!E21, 0)</f>
        <v>#REF!</v>
      </c>
      <c r="E175" s="1190">
        <f ca="1">IFERROR(VLOOKUP(B175,'Feed parameters'!$A$2:$M$113,10,FALSE),0)</f>
        <v>0</v>
      </c>
      <c r="F175" s="1190">
        <f ca="1">IFERROR(VLOOKUP(B175,'Feed parameters'!$A$2:$M$113,11,FALSE),0)</f>
        <v>0</v>
      </c>
      <c r="G175" s="1190">
        <f ca="1">IFERROR(VLOOKUP(B175,'Feed parameters'!$A$2:$M$113,12,FALSE),0)</f>
        <v>0</v>
      </c>
      <c r="H175" s="1191">
        <f ca="1">IFERROR(VLOOKUP(B175,'Feed parameters'!$A$2:$M$113,13,FALSE),0)</f>
        <v>0</v>
      </c>
      <c r="I175" s="657"/>
      <c r="AE175" s="413"/>
      <c r="AF175" s="413"/>
    </row>
    <row r="176" spans="1:36">
      <c r="B176" s="425" t="e">
        <f t="shared" ca="1" si="14"/>
        <v>#REF!</v>
      </c>
      <c r="C176" s="646" t="e">
        <f ca="1">IF(B176&lt;&gt; "", 'Land requirements'!E9, 0)</f>
        <v>#REF!</v>
      </c>
      <c r="D176" s="646" t="e">
        <f ca="1">IF(B176&lt;&gt; "", 'Land requirements'!E22, 0)</f>
        <v>#REF!</v>
      </c>
      <c r="E176" s="1190">
        <f ca="1">IFERROR(VLOOKUP(B176,'Feed parameters'!$A$2:$M$113,10,FALSE),0)</f>
        <v>0</v>
      </c>
      <c r="F176" s="1190">
        <f ca="1">IFERROR(VLOOKUP(B176,'Feed parameters'!$A$2:$M$113,11,FALSE),0)</f>
        <v>0</v>
      </c>
      <c r="G176" s="1190">
        <f ca="1">IFERROR(VLOOKUP(B176,'Feed parameters'!$A$2:$M$113,12,FALSE),0)</f>
        <v>0</v>
      </c>
      <c r="H176" s="1191">
        <f ca="1">IFERROR(VLOOKUP(B176,'Feed parameters'!$A$2:$M$113,13,FALSE),0)</f>
        <v>0</v>
      </c>
      <c r="I176" s="657"/>
      <c r="AD176" s="413"/>
      <c r="AE176" s="413"/>
      <c r="AF176" s="413"/>
    </row>
    <row r="177" spans="2:33" ht="16.5" thickBot="1">
      <c r="B177" s="857" t="e">
        <f t="shared" ca="1" si="14"/>
        <v>#REF!</v>
      </c>
      <c r="C177" s="858" t="e">
        <f ca="1">IF(B177&lt;&gt; "", 'Land requirements'!E10, 0)</f>
        <v>#REF!</v>
      </c>
      <c r="D177" s="858" t="e">
        <f ca="1">IF(B177&lt;&gt; "", 'Land requirements'!E23, 0)</f>
        <v>#REF!</v>
      </c>
      <c r="E177" s="1192">
        <f ca="1">IFERROR(VLOOKUP(B177,'Feed parameters'!$A$2:$M$113,10,FALSE),0)</f>
        <v>0</v>
      </c>
      <c r="F177" s="1192">
        <f ca="1">IFERROR(VLOOKUP(B177,'Feed parameters'!$A$2:$M$113,11,FALSE),0)</f>
        <v>0</v>
      </c>
      <c r="G177" s="1192">
        <f ca="1">IFERROR(VLOOKUP(B177,'Feed parameters'!$A$2:$M$113,12,FALSE),0)</f>
        <v>0</v>
      </c>
      <c r="H177" s="1193">
        <f ca="1">IFERROR(VLOOKUP(B177,'Feed parameters'!$A$2:$M$113,13,FALSE),0)</f>
        <v>0</v>
      </c>
      <c r="I177" s="688"/>
      <c r="AD177" s="413"/>
      <c r="AE177" s="413"/>
      <c r="AF177" s="413"/>
    </row>
    <row r="178" spans="2:33" ht="16.5" thickBot="1">
      <c r="B178" s="856"/>
      <c r="C178" s="411"/>
      <c r="AD178" s="413"/>
      <c r="AE178" s="413"/>
      <c r="AF178" s="413"/>
    </row>
    <row r="179" spans="2:33" ht="16.5" thickBot="1">
      <c r="B179" s="647" t="s">
        <v>1203</v>
      </c>
      <c r="C179" s="322"/>
      <c r="D179" s="322"/>
      <c r="E179" s="322"/>
      <c r="F179" s="322"/>
      <c r="G179" s="602"/>
      <c r="H179" s="588"/>
      <c r="AC179" s="413"/>
      <c r="AD179" s="413"/>
      <c r="AE179" s="413"/>
      <c r="AF179" s="413"/>
    </row>
    <row r="180" spans="2:33" ht="31.5">
      <c r="B180" s="572" t="s">
        <v>1184</v>
      </c>
      <c r="C180" s="634" t="s">
        <v>1234</v>
      </c>
      <c r="D180" s="585" t="s">
        <v>1202</v>
      </c>
      <c r="E180" s="586" t="s">
        <v>1235</v>
      </c>
      <c r="F180" s="861" t="s">
        <v>1236</v>
      </c>
      <c r="G180" s="867" t="s">
        <v>1186</v>
      </c>
      <c r="AC180" s="413"/>
      <c r="AD180" s="413"/>
    </row>
    <row r="181" spans="2:33">
      <c r="B181" s="689" t="s">
        <v>1262</v>
      </c>
      <c r="C181" s="679">
        <v>250</v>
      </c>
      <c r="D181" s="679">
        <v>0</v>
      </c>
      <c r="E181" s="679">
        <v>5</v>
      </c>
      <c r="F181" s="859">
        <v>1</v>
      </c>
      <c r="G181" s="868"/>
      <c r="AC181" s="413"/>
      <c r="AD181" s="413"/>
    </row>
    <row r="182" spans="2:33">
      <c r="B182" s="689"/>
      <c r="C182" s="679"/>
      <c r="D182" s="679"/>
      <c r="E182" s="679"/>
      <c r="F182" s="859"/>
      <c r="G182" s="868"/>
      <c r="AB182" s="413"/>
      <c r="AC182" s="413"/>
      <c r="AD182" s="413"/>
    </row>
    <row r="183" spans="2:33" ht="16.5" thickBot="1">
      <c r="B183" s="690"/>
      <c r="C183" s="687"/>
      <c r="D183" s="687"/>
      <c r="E183" s="687"/>
      <c r="F183" s="860"/>
      <c r="G183" s="869"/>
      <c r="AB183" s="413"/>
      <c r="AC183" s="413"/>
    </row>
    <row r="184" spans="2:33">
      <c r="B184" s="423"/>
      <c r="AB184" s="413"/>
      <c r="AC184" s="413"/>
    </row>
    <row r="185" spans="2:33">
      <c r="H185" s="72"/>
      <c r="I185" s="72"/>
      <c r="J185" s="72"/>
      <c r="AA185" s="413"/>
      <c r="AB185" s="413"/>
      <c r="AC185" s="413"/>
    </row>
    <row r="186" spans="2:33">
      <c r="B186" s="848" t="s">
        <v>1456</v>
      </c>
      <c r="C186" s="849" t="e">
        <f ca="1">SUMMARY!$D$16</f>
        <v>#NAME?</v>
      </c>
      <c r="H186" s="72"/>
      <c r="I186" s="72"/>
      <c r="J186" s="72"/>
      <c r="AA186" s="413"/>
      <c r="AB186" s="413"/>
    </row>
    <row r="187" spans="2:33">
      <c r="B187" s="72" t="s">
        <v>1457</v>
      </c>
      <c r="C187" s="755" t="e">
        <f ca="1">SUMMARY!$G$16</f>
        <v>#NAME?</v>
      </c>
      <c r="AA187" s="413"/>
      <c r="AB187" s="413"/>
    </row>
    <row r="188" spans="2:33">
      <c r="B188" s="72" t="s">
        <v>1354</v>
      </c>
      <c r="C188" s="1152">
        <f ca="1">'Soil impacts'!$C$2</f>
        <v>0</v>
      </c>
      <c r="V188" s="413"/>
      <c r="Z188" s="413"/>
      <c r="AA188" s="413"/>
      <c r="AB188" s="413"/>
    </row>
    <row r="189" spans="2:33">
      <c r="B189" s="72" t="s">
        <v>1355</v>
      </c>
      <c r="C189" s="1152">
        <f ca="1">'Soil impacts'!$D$2/100</f>
        <v>0</v>
      </c>
      <c r="V189" s="413"/>
      <c r="W189" s="413"/>
      <c r="Z189" s="413"/>
      <c r="AA189" s="413"/>
    </row>
    <row r="190" spans="2:33">
      <c r="B190" s="72" t="s">
        <v>1481</v>
      </c>
      <c r="C190" s="755">
        <f>SUMMARY!$D$21</f>
        <v>5.14598988896359</v>
      </c>
      <c r="U190" s="413"/>
      <c r="V190" s="413"/>
      <c r="W190" s="413"/>
      <c r="X190" s="413"/>
      <c r="Z190" s="413"/>
      <c r="AA190" s="413"/>
      <c r="AG190" s="413"/>
    </row>
    <row r="191" spans="2:33">
      <c r="B191" s="72" t="s">
        <v>1464</v>
      </c>
      <c r="C191" s="755">
        <f>SUMMARY!$D$6</f>
        <v>2.4856686771867236</v>
      </c>
      <c r="U191" s="413"/>
      <c r="V191" s="413"/>
      <c r="W191" s="413"/>
      <c r="X191" s="413"/>
      <c r="Y191" s="413"/>
      <c r="Z191" s="413"/>
      <c r="AA191" s="413"/>
      <c r="AG191" s="413"/>
    </row>
    <row r="192" spans="2:33">
      <c r="B192" s="72" t="s">
        <v>1465</v>
      </c>
      <c r="C192" s="755">
        <f>SUMMARY!$D$9</f>
        <v>12013.2</v>
      </c>
      <c r="T192" s="413"/>
      <c r="U192" s="413"/>
      <c r="V192" s="413"/>
      <c r="W192" s="413"/>
      <c r="X192" s="413"/>
      <c r="Y192" s="413"/>
      <c r="Z192" s="413"/>
      <c r="AG192" s="413"/>
    </row>
    <row r="193" spans="2:33">
      <c r="B193" s="72" t="s">
        <v>1466</v>
      </c>
      <c r="C193" s="755">
        <f>SUMMARY!$D$11</f>
        <v>55.5</v>
      </c>
      <c r="T193" s="413"/>
      <c r="U193" s="413"/>
      <c r="V193" s="413"/>
      <c r="W193" s="413"/>
      <c r="X193" s="413"/>
      <c r="Y193" s="413"/>
      <c r="Z193" s="413"/>
      <c r="AG193" s="413"/>
    </row>
    <row r="194" spans="2:33">
      <c r="B194" s="72" t="s">
        <v>1467</v>
      </c>
      <c r="C194" s="755">
        <f>SUMMARY!$D$13</f>
        <v>406.78590000000003</v>
      </c>
      <c r="T194" s="413"/>
      <c r="U194" s="413"/>
      <c r="V194" s="413"/>
      <c r="W194" s="413"/>
      <c r="X194" s="413"/>
      <c r="Y194" s="413"/>
      <c r="Z194" s="413"/>
      <c r="AG194" s="413"/>
    </row>
    <row r="195" spans="2:33">
      <c r="B195" s="72" t="s">
        <v>1458</v>
      </c>
      <c r="C195" s="755" t="e">
        <f ca="1">SUMMARY!$D$24</f>
        <v>#NAME?</v>
      </c>
      <c r="T195" s="413"/>
      <c r="U195" s="413"/>
      <c r="W195" s="413"/>
      <c r="X195" s="413"/>
      <c r="Y195" s="413"/>
      <c r="AG195" s="413"/>
    </row>
    <row r="196" spans="2:33">
      <c r="B196" s="72" t="s">
        <v>1459</v>
      </c>
      <c r="C196" s="755">
        <f ca="1">SUMMARY!J24</f>
        <v>0</v>
      </c>
      <c r="T196" s="413"/>
      <c r="U196" s="413"/>
      <c r="X196" s="413"/>
      <c r="Y196" s="413"/>
      <c r="AG196" s="413"/>
    </row>
    <row r="197" spans="2:33">
      <c r="B197" s="72" t="s">
        <v>1460</v>
      </c>
      <c r="C197" s="755">
        <f ca="1">SUMMARY!J25</f>
        <v>0</v>
      </c>
      <c r="T197" s="413"/>
      <c r="Y197" s="413"/>
    </row>
    <row r="198" spans="2:33">
      <c r="B198" s="72" t="s">
        <v>1461</v>
      </c>
      <c r="C198" s="755">
        <f ca="1">SUMMARY!J26</f>
        <v>0</v>
      </c>
      <c r="T198" s="413"/>
    </row>
    <row r="199" spans="2:33">
      <c r="B199" s="72" t="s">
        <v>1471</v>
      </c>
      <c r="C199" s="755" t="e">
        <f ca="1">SUMMARY!G24</f>
        <v>#NAME?</v>
      </c>
    </row>
    <row r="200" spans="2:33">
      <c r="B200" s="72" t="s">
        <v>1772</v>
      </c>
      <c r="C200" s="755">
        <f>SUMMARY!$G$30</f>
        <v>-0.49401955045397583</v>
      </c>
    </row>
    <row r="201" spans="2:33">
      <c r="B201" s="72" t="s">
        <v>1468</v>
      </c>
      <c r="C201" s="755">
        <f>SUMMARY!$J$29</f>
        <v>0.26045997775006313</v>
      </c>
    </row>
    <row r="202" spans="2:33">
      <c r="B202" s="72" t="s">
        <v>1469</v>
      </c>
      <c r="C202" s="755">
        <f>'Water Impacts'!B6</f>
        <v>56.377618102829885</v>
      </c>
    </row>
    <row r="203" spans="2:33">
      <c r="B203" s="72" t="s">
        <v>1493</v>
      </c>
      <c r="C203" s="755">
        <f>'Water Impacts'!B7</f>
        <v>7.6919032953380597</v>
      </c>
    </row>
    <row r="204" spans="2:33">
      <c r="B204" s="72" t="s">
        <v>1472</v>
      </c>
      <c r="C204" s="755">
        <f>SUMMARY!$G$27</f>
        <v>1258.7992251036485</v>
      </c>
    </row>
    <row r="205" spans="2:33">
      <c r="B205" s="72" t="s">
        <v>1470</v>
      </c>
      <c r="C205" s="755">
        <f>Productivity!B10/SUMMARY!D6</f>
        <v>3.1379886111080704</v>
      </c>
    </row>
    <row r="206" spans="2:33">
      <c r="B206" s="330" t="s">
        <v>1688</v>
      </c>
      <c r="C206" s="755">
        <f>SUMMARY!D44</f>
        <v>4983.988329090068</v>
      </c>
    </row>
    <row r="207" spans="2:33">
      <c r="B207" s="330" t="s">
        <v>1689</v>
      </c>
      <c r="C207" s="755" t="e">
        <f ca="1">SUMMARY!D45</f>
        <v>#REF!</v>
      </c>
    </row>
    <row r="208" spans="2:33">
      <c r="B208" s="330" t="s">
        <v>1690</v>
      </c>
      <c r="C208" s="755" t="e">
        <f ca="1">C206-C207</f>
        <v>#REF!</v>
      </c>
    </row>
    <row r="209" spans="2:3">
      <c r="B209" s="72" t="str">
        <f>'Land requirements'!A4</f>
        <v>Rice (Oryza sativa) - bran (with germs)</v>
      </c>
      <c r="C209" s="755">
        <f>'Land requirements'!E4</f>
        <v>0</v>
      </c>
    </row>
    <row r="210" spans="2:3">
      <c r="B210" s="72" t="str">
        <f>'Land requirements'!A5</f>
        <v>Maize (Zea mays) - whole grain</v>
      </c>
      <c r="C210" s="755">
        <f>'Land requirements'!E5</f>
        <v>0</v>
      </c>
    </row>
    <row r="211" spans="2:3">
      <c r="B211" s="72" t="str">
        <f>'Land requirements'!A6</f>
        <v>Brachiaria brizantha (forage)</v>
      </c>
      <c r="C211" s="755">
        <f>'Land requirements'!E6</f>
        <v>0.40367398851420322</v>
      </c>
    </row>
    <row r="212" spans="2:3">
      <c r="B212" s="72" t="str">
        <f>'Land requirements'!A7</f>
        <v>Concentrate (commercial)</v>
      </c>
      <c r="C212" s="755">
        <f>'Land requirements'!E7</f>
        <v>0</v>
      </c>
    </row>
    <row r="213" spans="2:3">
      <c r="B213" s="72" t="str">
        <f>'Land requirements'!A8</f>
        <v>Rice (Oryza sativa) - straw</v>
      </c>
      <c r="C213" s="755">
        <f>'Land requirements'!E8</f>
        <v>1.5403319790111962</v>
      </c>
    </row>
    <row r="214" spans="2:3">
      <c r="B214" s="72" t="str">
        <f>'Land requirements'!A9</f>
        <v>Naturally occuring pasture - grazing</v>
      </c>
      <c r="C214" s="755">
        <f>'Land requirements'!E9</f>
        <v>0</v>
      </c>
    </row>
    <row r="215" spans="2:3">
      <c r="B215" s="72" t="str">
        <f>'Land requirements'!A10</f>
        <v>Pennisetum purpureum - forage</v>
      </c>
      <c r="C215" s="755">
        <f>'Land requirements'!E10</f>
        <v>0.54166270966132413</v>
      </c>
    </row>
    <row r="216" spans="2:3">
      <c r="B216" s="72" t="str">
        <f>INPUTS!C21</f>
        <v>Cows (local)</v>
      </c>
      <c r="C216" s="755">
        <f>INPUTS!D21</f>
        <v>1</v>
      </c>
    </row>
    <row r="217" spans="2:3">
      <c r="B217" s="72" t="str">
        <f>INPUTS!C22</f>
        <v>Cows (improved)</v>
      </c>
      <c r="C217" s="755">
        <f>INPUTS!D22</f>
        <v>1</v>
      </c>
    </row>
  </sheetData>
  <sheetProtection selectLockedCells="1"/>
  <mergeCells count="9">
    <mergeCell ref="B5:B7"/>
    <mergeCell ref="B10:B11"/>
    <mergeCell ref="B20:B29"/>
    <mergeCell ref="B36:B39"/>
    <mergeCell ref="B112:B118"/>
    <mergeCell ref="B72:B94"/>
    <mergeCell ref="B96:B103"/>
    <mergeCell ref="B49:B53"/>
    <mergeCell ref="B41:B46"/>
  </mergeCells>
  <phoneticPr fontId="42" type="noConversion"/>
  <dataValidations count="13">
    <dataValidation allowBlank="1" showInputMessage="1" showErrorMessage="1" promptTitle="Crop" sqref="D73:D79" xr:uid="{00000000-0002-0000-0000-000000000000}"/>
    <dataValidation type="list" allowBlank="1" showInputMessage="1" showErrorMessage="1" sqref="I73:I79 M80:M85 G80:G85 AA68:AA72" xr:uid="{00000000-0002-0000-0000-000001000000}">
      <formula1>Land_cover_erosion</formula1>
    </dataValidation>
    <dataValidation type="list" allowBlank="1" showInputMessage="1" showErrorMessage="1" sqref="J73:J79 N80:N85 H80:H85 AB68:AB70" xr:uid="{00000000-0002-0000-0000-000002000000}">
      <formula1>Slope</formula1>
    </dataValidation>
    <dataValidation type="list" allowBlank="1" showInputMessage="1" showErrorMessage="1" sqref="K73:K79 O80:O85 I80:I85" xr:uid="{00000000-0002-0000-0000-000003000000}">
      <formula1>Slope_length</formula1>
    </dataValidation>
    <dataValidation type="whole" allowBlank="1" showInputMessage="1" showErrorMessage="1" sqref="F73:F79" xr:uid="{00000000-0002-0000-0000-000004000000}">
      <formula1>0</formula1>
      <formula2>1</formula2>
    </dataValidation>
    <dataValidation type="decimal" allowBlank="1" showInputMessage="1" showErrorMessage="1" sqref="G73:H79" xr:uid="{00000000-0002-0000-0000-000005000000}">
      <formula1>0</formula1>
      <formula2>1</formula2>
    </dataValidation>
    <dataValidation type="list" allowBlank="1" showInputMessage="1" showErrorMessage="1" sqref="E115" xr:uid="{00000000-0002-0000-0000-000006000000}">
      <formula1>RiceEcosystem</formula1>
    </dataValidation>
    <dataValidation type="list" allowBlank="1" showInputMessage="1" showErrorMessage="1" sqref="E116" xr:uid="{00000000-0002-0000-0000-000007000000}">
      <formula1>wateregime</formula1>
    </dataValidation>
    <dataValidation type="list" allowBlank="1" showInputMessage="1" showErrorMessage="1" sqref="E117" xr:uid="{00000000-0002-0000-0000-000008000000}">
      <formula1>OrganicAmendment</formula1>
    </dataValidation>
    <dataValidation type="list" allowBlank="1" showInputMessage="1" showErrorMessage="1" promptTitle="Crop" sqref="D80:D85" xr:uid="{00000000-0002-0000-0000-000009000000}">
      <formula1>$A$1:$A$67</formula1>
    </dataValidation>
    <dataValidation type="decimal" allowBlank="1" showInputMessage="1" showErrorMessage="1" errorTitle="Wrong value put in" error="Value should be between 0.0 - 1 e.g 0.4 to mean 40%" sqref="H21:J34" xr:uid="{00000000-0002-0000-0000-00000A000000}">
      <formula1>0</formula1>
      <formula2>1</formula2>
    </dataValidation>
    <dataValidation type="decimal" allowBlank="1" showInputMessage="1" showErrorMessage="1" errorTitle="Wrong INPUT Value" error="Value should be between 0.0 - 1 e.g 0.4 to mean 40%" sqref="K21:O34" xr:uid="{00000000-0002-0000-0000-00000B000000}">
      <formula1>0</formula1>
      <formula2>1</formula2>
    </dataValidation>
    <dataValidation type="whole" allowBlank="1" showInputMessage="1" showErrorMessage="1" errorTitle="Wrong INPUT value" error="Value should be between 0.0 - 1 e.g 0.4 to mean 40%" sqref="Q21:Q34" xr:uid="{00000000-0002-0000-0000-00000C000000}">
      <formula1>0</formula1>
      <formula2>1</formula2>
    </dataValidation>
  </dataValidations>
  <pageMargins left="0.75" right="0.75" top="1" bottom="1" header="0.5" footer="0.5"/>
  <pageSetup paperSize="9" orientation="portrait" horizontalDpi="4294967292" verticalDpi="4294967292" r:id="rId1"/>
  <drawing r:id="rId2"/>
  <legacyDrawing r:id="rId3"/>
  <controls>
    <mc:AlternateContent xmlns:mc="http://schemas.openxmlformats.org/markup-compatibility/2006">
      <mc:Choice Requires="x14">
        <control shapeId="142352" r:id="rId4" name="CommandButton1">
          <controlPr defaultSize="0" autoLine="0" autoPict="0" r:id="rId5">
            <anchor moveWithCells="1">
              <from>
                <xdr:col>5</xdr:col>
                <xdr:colOff>1390650</xdr:colOff>
                <xdr:row>108</xdr:row>
                <xdr:rowOff>66675</xdr:rowOff>
              </from>
              <to>
                <xdr:col>6</xdr:col>
                <xdr:colOff>1114425</xdr:colOff>
                <xdr:row>112</xdr:row>
                <xdr:rowOff>142875</xdr:rowOff>
              </to>
            </anchor>
          </controlPr>
        </control>
      </mc:Choice>
      <mc:Fallback>
        <control shapeId="142352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000-00000D000000}">
          <x14:formula1>
            <xm:f>'D:\ToBackup\@CIAT\CRP @Livestock and Environment\@CLEANED\Kalkulator June 2017\[T1_Nica_GENERAL_051217.xlsm]Soil erosion parameters'!#REF!</xm:f>
          </x14:formula1>
          <xm:sqref>I73:I79 G80:G85</xm:sqref>
        </x14:dataValidation>
        <x14:dataValidation type="list" allowBlank="1" showInputMessage="1" showErrorMessage="1" xr:uid="{00000000-0002-0000-0000-00000E000000}">
          <x14:formula1>
            <xm:f>'D:\ToBackup\@CIAT\CRP @Livestock and Environment\@CLEANED\Kalkulator June 2017\[T1_Nica_GENERAL_051217.xlsm]GHG Rice'!#REF!</xm:f>
          </x14:formula1>
          <xm:sqref>F115:I117</xm:sqref>
        </x14:dataValidation>
        <x14:dataValidation type="list" allowBlank="1" showInputMessage="1" showErrorMessage="1" xr:uid="{00000000-0002-0000-0000-00000F000000}">
          <x14:formula1>
            <xm:f>'Crop parameters'!$A$45:$A$47</xm:f>
          </x14:formula1>
          <xm:sqref>E73:E79</xm:sqref>
        </x14:dataValidation>
        <x14:dataValidation type="list" allowBlank="1" showInputMessage="1" showErrorMessage="1" promptTitle="Crop" xr:uid="{00000000-0002-0000-0000-000010000000}">
          <x14:formula1>
            <xm:f>'D:\ToBackup\@CIAT\CRP @Livestock and Environment\@CLEANED\Kalkulator June 2017\[T1_Nica_GENERAL_051217.xlsm]Crop parameters'!#REF!</xm:f>
          </x14:formula1>
          <xm:sqref>K80:K85</xm:sqref>
        </x14:dataValidation>
        <x14:dataValidation type="list" allowBlank="1" showInputMessage="1" showErrorMessage="1" promptTitle="Definition of options" prompt="Solid storage - manure is stacked and in piles are stacks and is dry _x000a_Dry lot - manure storage in paved or unpave area where manure can be removed periodicaly_x000a_Pasute/range/paddock - Manure is left on pasture to decompose no managment_x000a__x000a_" xr:uid="{00000000-0002-0000-0000-000011000000}">
          <x14:formula1>
            <xm:f>'GHG Parameters'!$A$91:$A$93</xm:f>
          </x14:formula1>
          <xm:sqref>D37:D39</xm:sqref>
        </x14:dataValidation>
        <x14:dataValidation type="list" allowBlank="1" showInputMessage="1" showErrorMessage="1" xr:uid="{00000000-0002-0000-0000-000012000000}">
          <x14:formula1>
            <xm:f>'Feed parameters'!$A$3:$A$114</xm:f>
          </x14:formula1>
          <xm:sqref>B60:B66</xm:sqref>
        </x14:dataValidation>
        <x14:dataValidation type="list" allowBlank="1" showInputMessage="1" showErrorMessage="1" xr:uid="{00000000-0002-0000-0000-000013000000}">
          <x14:formula1>
            <xm:f>'SOC parameters'!$D$45:$D$52</xm:f>
          </x14:formula1>
          <xm:sqref>L73:L79</xm:sqref>
        </x14:dataValidation>
        <x14:dataValidation type="list" allowBlank="1" showInputMessage="1" showErrorMessage="1" xr:uid="{00000000-0002-0000-0000-000014000000}">
          <x14:formula1>
            <xm:f>'Livestock parameters'!$A$20:$A$36</xm:f>
          </x14:formula1>
          <xm:sqref>C21:C34</xm:sqref>
        </x14:dataValidation>
        <x14:dataValidation type="list" allowBlank="1" showInputMessage="1" showErrorMessage="1" xr:uid="{00000000-0002-0000-0000-000015000000}">
          <x14:formula1>
            <xm:f>'GHG Parameters'!$A$3:$A$5</xm:f>
          </x14:formula1>
          <xm:sqref>E3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>
    <tabColor rgb="FFFF0000"/>
  </sheetPr>
  <dimension ref="A1:K52"/>
  <sheetViews>
    <sheetView workbookViewId="0">
      <selection activeCell="H45" sqref="H45"/>
    </sheetView>
  </sheetViews>
  <sheetFormatPr defaultColWidth="11" defaultRowHeight="15.75"/>
  <cols>
    <col min="1" max="1" width="44.625" bestFit="1" customWidth="1"/>
    <col min="2" max="2" width="35.625" customWidth="1"/>
    <col min="3" max="4" width="11.5" customWidth="1"/>
    <col min="5" max="5" width="9.5" customWidth="1"/>
  </cols>
  <sheetData>
    <row r="1" spans="1:11" s="554" customFormat="1" ht="16.5" thickBot="1"/>
    <row r="2" spans="1:11">
      <c r="A2" s="1409" t="s">
        <v>1128</v>
      </c>
      <c r="B2" s="1410"/>
      <c r="C2" s="1410"/>
      <c r="D2" s="1410"/>
      <c r="E2" s="1411"/>
      <c r="F2" s="145"/>
      <c r="G2" s="145"/>
      <c r="H2" s="145"/>
      <c r="I2" s="974"/>
      <c r="J2" s="974"/>
      <c r="K2" s="974"/>
    </row>
    <row r="3" spans="1:11">
      <c r="A3" s="383" t="s">
        <v>1088</v>
      </c>
      <c r="B3" s="384" t="s">
        <v>1105</v>
      </c>
      <c r="C3" s="384" t="s">
        <v>1136</v>
      </c>
      <c r="D3" s="385" t="s">
        <v>1137</v>
      </c>
      <c r="E3" s="392" t="s">
        <v>127</v>
      </c>
      <c r="F3" s="145"/>
      <c r="G3" s="1212" t="s">
        <v>1392</v>
      </c>
      <c r="H3" s="1213" t="s">
        <v>1391</v>
      </c>
      <c r="I3" s="974"/>
      <c r="J3" s="975" t="s">
        <v>1393</v>
      </c>
      <c r="K3" s="975" t="s">
        <v>1347</v>
      </c>
    </row>
    <row r="4" spans="1:11">
      <c r="A4" s="387" t="str">
        <f>INPUTS!C73</f>
        <v>Rice (Oryza sativa) - bran (with germs)</v>
      </c>
      <c r="B4" s="388" t="str">
        <f>INPUTS!D73</f>
        <v>Purchased</v>
      </c>
      <c r="C4" s="625">
        <f>'Land Requirement '!L21</f>
        <v>0</v>
      </c>
      <c r="D4" s="625">
        <f>'Land Requirement '!M21</f>
        <v>0</v>
      </c>
      <c r="E4" s="626">
        <f>C4+D4</f>
        <v>0</v>
      </c>
      <c r="F4" s="145"/>
      <c r="G4" s="1211">
        <f>IF(VLOOKUP(B4,'Crop parameters'!$A$2:$Z$43,22)="grass",E4,0)</f>
        <v>0</v>
      </c>
      <c r="H4" s="1211">
        <f>IF(VLOOKUP(B4,'Crop parameters'!$A$2:$Z$43,22)="tree crop",E4,0)</f>
        <v>0</v>
      </c>
      <c r="I4" s="974"/>
      <c r="J4" s="974" t="str">
        <f t="shared" ref="J4:J10" si="0">IF(VLOOKUP(H4,$H$4:$H$10,1),B4,"")</f>
        <v/>
      </c>
      <c r="K4" s="974" t="str">
        <f t="shared" ref="K4:K10" si="1">IF(VLOOKUP(H4,$H$4:$H$10,1),H4,"")</f>
        <v/>
      </c>
    </row>
    <row r="5" spans="1:11">
      <c r="A5" s="387" t="str">
        <f>INPUTS!C74</f>
        <v>Maize (Zea mays) - whole grain</v>
      </c>
      <c r="B5" s="388" t="str">
        <f>INPUTS!D74</f>
        <v>Maize</v>
      </c>
      <c r="C5" s="625">
        <f>'Land Requirement '!X21</f>
        <v>0</v>
      </c>
      <c r="D5" s="625">
        <f>'Land Requirement '!Y21</f>
        <v>0</v>
      </c>
      <c r="E5" s="626">
        <f t="shared" ref="E5:E10" si="2">C5+D5</f>
        <v>0</v>
      </c>
      <c r="F5" s="145"/>
      <c r="G5" s="1211">
        <f>IF(VLOOKUP(B5,'Crop parameters'!$A$2:$Z$43,22)="grass",E5,0)</f>
        <v>0</v>
      </c>
      <c r="H5" s="1211">
        <f>IF(VLOOKUP(B5,'Crop parameters'!$A$2:$Z$43,22)="tree crop",E5,0)</f>
        <v>0</v>
      </c>
      <c r="I5" s="974"/>
      <c r="J5" s="974" t="str">
        <f t="shared" si="0"/>
        <v/>
      </c>
      <c r="K5" s="974" t="str">
        <f t="shared" si="1"/>
        <v/>
      </c>
    </row>
    <row r="6" spans="1:11">
      <c r="A6" s="387" t="str">
        <f>INPUTS!C75</f>
        <v>Brachiaria brizantha (forage)</v>
      </c>
      <c r="B6" s="388" t="str">
        <f>INPUTS!D75</f>
        <v xml:space="preserve">Brachiaria brizantha </v>
      </c>
      <c r="C6" s="625">
        <f>'Land Requirement '!AJ21</f>
        <v>0.23446270017811258</v>
      </c>
      <c r="D6" s="625">
        <f>'Land Requirement '!AK21</f>
        <v>0.16921128833609067</v>
      </c>
      <c r="E6" s="626">
        <f t="shared" si="2"/>
        <v>0.40367398851420322</v>
      </c>
      <c r="F6" s="145"/>
      <c r="G6" s="1211">
        <f>IF(VLOOKUP(B6,'Crop parameters'!$A$2:$Z$43,22)="grass",E6,0)</f>
        <v>0.40367398851420322</v>
      </c>
      <c r="H6" s="1211">
        <f>IF(VLOOKUP(B6,'Crop parameters'!$A$2:$Z$43,22)="tree crop",E6,0)</f>
        <v>0</v>
      </c>
      <c r="I6" s="974"/>
      <c r="J6" s="974" t="str">
        <f t="shared" si="0"/>
        <v/>
      </c>
      <c r="K6" s="974" t="str">
        <f t="shared" si="1"/>
        <v/>
      </c>
    </row>
    <row r="7" spans="1:11">
      <c r="A7" s="387" t="str">
        <f>INPUTS!C76</f>
        <v>Concentrate (commercial)</v>
      </c>
      <c r="B7" s="388" t="str">
        <f>INPUTS!D76</f>
        <v>Purchased</v>
      </c>
      <c r="C7" s="625">
        <f>'Land Requirement '!AV21</f>
        <v>0</v>
      </c>
      <c r="D7" s="625">
        <f>'Land Requirement '!AW21</f>
        <v>0</v>
      </c>
      <c r="E7" s="626">
        <f t="shared" si="2"/>
        <v>0</v>
      </c>
      <c r="F7" s="145"/>
      <c r="G7" s="1211">
        <f>IF(VLOOKUP(B7,'Crop parameters'!$A$2:$Z$43,22)="grass",E7,0)</f>
        <v>0</v>
      </c>
      <c r="H7" s="1211">
        <f>IF(VLOOKUP(B7,'Crop parameters'!$A$2:$Z$43,22)="tree crop",E7,0)</f>
        <v>0</v>
      </c>
      <c r="I7" s="974"/>
      <c r="J7" s="974" t="str">
        <f t="shared" si="0"/>
        <v/>
      </c>
      <c r="K7" s="974" t="str">
        <f t="shared" si="1"/>
        <v/>
      </c>
    </row>
    <row r="8" spans="1:11">
      <c r="A8" s="387" t="str">
        <f>INPUTS!C77</f>
        <v>Rice (Oryza sativa) - straw</v>
      </c>
      <c r="B8" s="388" t="str">
        <f>INPUTS!D77</f>
        <v>Rice</v>
      </c>
      <c r="C8" s="625">
        <f>'Land Requirement '!BH21</f>
        <v>0.89465857411061256</v>
      </c>
      <c r="D8" s="625">
        <f>'Land Requirement '!BI21</f>
        <v>0.64567340490058367</v>
      </c>
      <c r="E8" s="626">
        <f t="shared" si="2"/>
        <v>1.5403319790111962</v>
      </c>
      <c r="F8" s="145"/>
      <c r="G8" s="1211">
        <f>IF(VLOOKUP(B8,'Crop parameters'!$A$2:$Z$43,22)="grass",E8,0)</f>
        <v>0</v>
      </c>
      <c r="H8" s="1211">
        <f>IF(VLOOKUP(B8,'Crop parameters'!$A$2:$Z$43,22)="tree crop",E8,0)</f>
        <v>0</v>
      </c>
      <c r="I8" s="974"/>
      <c r="J8" s="974" t="str">
        <f t="shared" si="0"/>
        <v/>
      </c>
      <c r="K8" s="974" t="str">
        <f t="shared" si="1"/>
        <v/>
      </c>
    </row>
    <row r="9" spans="1:11">
      <c r="A9" s="387" t="str">
        <f>INPUTS!C78</f>
        <v>Naturally occuring pasture - grazing</v>
      </c>
      <c r="B9" s="388" t="str">
        <f>INPUTS!D78</f>
        <v>Natural pasture</v>
      </c>
      <c r="C9" s="625">
        <f>'Land Requirement '!BT21</f>
        <v>0</v>
      </c>
      <c r="D9" s="625">
        <f>'Land Requirement '!BU21</f>
        <v>0</v>
      </c>
      <c r="E9" s="626">
        <f t="shared" si="2"/>
        <v>0</v>
      </c>
      <c r="F9" s="145"/>
      <c r="G9" s="1211">
        <f>IF(VLOOKUP(B9,'Crop parameters'!$A$2:$Z$43,22)="grass",E9,0)</f>
        <v>0</v>
      </c>
      <c r="H9" s="1211">
        <f>IF(VLOOKUP(B9,'Crop parameters'!$A$2:$Z$43,22)="tree crop",E9,0)</f>
        <v>0</v>
      </c>
      <c r="I9" s="974"/>
      <c r="J9" s="974" t="str">
        <f t="shared" si="0"/>
        <v/>
      </c>
      <c r="K9" s="974" t="str">
        <f t="shared" si="1"/>
        <v/>
      </c>
    </row>
    <row r="10" spans="1:11">
      <c r="A10" s="387" t="str">
        <f>INPUTS!C79</f>
        <v>Pennisetum purpureum - forage</v>
      </c>
      <c r="B10" s="388" t="str">
        <f>INPUTS!D79</f>
        <v>Pennisetum purpureum</v>
      </c>
      <c r="C10" s="625">
        <f>'Land Requirement '!CF21</f>
        <v>0.31460957383068688</v>
      </c>
      <c r="D10" s="625">
        <f>'Land Requirement '!CG21</f>
        <v>0.22705313583063724</v>
      </c>
      <c r="E10" s="626">
        <f t="shared" si="2"/>
        <v>0.54166270966132413</v>
      </c>
      <c r="F10" s="145"/>
      <c r="G10" s="1211">
        <f>IF(VLOOKUP(B10,'Crop parameters'!$A$2:$Z$43,22)="grass",E10,0)</f>
        <v>0.54166270966132413</v>
      </c>
      <c r="H10" s="1211">
        <f>IF(VLOOKUP(B10,'Crop parameters'!$A$2:$Z$43,22)="tree crop",E10,0)</f>
        <v>0</v>
      </c>
      <c r="I10" s="974"/>
      <c r="J10" s="974" t="str">
        <f t="shared" si="0"/>
        <v/>
      </c>
      <c r="K10" s="974" t="str">
        <f t="shared" si="1"/>
        <v/>
      </c>
    </row>
    <row r="11" spans="1:11">
      <c r="A11" s="387"/>
      <c r="B11" s="389" t="s">
        <v>1097</v>
      </c>
      <c r="C11" s="627">
        <f>SUM(C4:C10)</f>
        <v>1.443730848119412</v>
      </c>
      <c r="D11" s="627">
        <f>SUM(D4:D10)</f>
        <v>1.0419378290673116</v>
      </c>
      <c r="E11" s="628">
        <f>SUM(E4:E10)</f>
        <v>2.4856686771867236</v>
      </c>
      <c r="F11" s="145"/>
      <c r="G11" s="1211">
        <f>SUM(G4:G10)</f>
        <v>0.94533669817552735</v>
      </c>
      <c r="H11" s="1211">
        <f>SUM(H4:H10)</f>
        <v>0</v>
      </c>
      <c r="I11" s="974"/>
      <c r="J11" s="974"/>
      <c r="K11" s="974"/>
    </row>
    <row r="12" spans="1:11" ht="16.5" thickBot="1">
      <c r="A12" s="390"/>
      <c r="B12" s="391" t="s">
        <v>1584</v>
      </c>
      <c r="C12" s="391"/>
      <c r="D12" s="391"/>
      <c r="E12" s="393">
        <f>E11/Productivity!B14*1000</f>
        <v>0.20691145383301063</v>
      </c>
      <c r="F12" s="145"/>
      <c r="G12" s="145"/>
      <c r="H12" s="145"/>
    </row>
    <row r="13" spans="1:11">
      <c r="F13" s="145"/>
      <c r="G13" s="145"/>
      <c r="H13" s="145"/>
    </row>
    <row r="14" spans="1:11" ht="16.5" thickBot="1">
      <c r="F14" s="145"/>
      <c r="G14" s="145"/>
      <c r="H14" s="145"/>
    </row>
    <row r="15" spans="1:11">
      <c r="A15" s="1409" t="s">
        <v>1127</v>
      </c>
      <c r="B15" s="1410"/>
      <c r="C15" s="1410"/>
      <c r="D15" s="1410"/>
      <c r="E15" s="1411"/>
      <c r="F15" s="145"/>
      <c r="G15" s="145"/>
      <c r="H15" s="145"/>
    </row>
    <row r="16" spans="1:11">
      <c r="A16" s="383" t="s">
        <v>1088</v>
      </c>
      <c r="B16" s="384" t="s">
        <v>1105</v>
      </c>
      <c r="C16" s="385" t="s">
        <v>1136</v>
      </c>
      <c r="D16" s="385" t="s">
        <v>1137</v>
      </c>
      <c r="E16" s="386" t="s">
        <v>127</v>
      </c>
      <c r="F16" s="145"/>
      <c r="G16" s="145"/>
      <c r="H16" s="1214"/>
    </row>
    <row r="17" spans="1:8">
      <c r="A17" s="387" t="str">
        <f>INPUTS!C73</f>
        <v>Rice (Oryza sativa) - bran (with germs)</v>
      </c>
      <c r="B17" s="388" t="str">
        <f>INPUTS!D73</f>
        <v>Purchased</v>
      </c>
      <c r="C17" s="402">
        <f xml:space="preserve"> 'Land Requirement '!B20</f>
        <v>1561.6075210141364</v>
      </c>
      <c r="D17" s="402">
        <f xml:space="preserve"> 'Land Requirement '!C20</f>
        <v>1127.0092014866177</v>
      </c>
      <c r="E17" s="403">
        <f>SUM(C17:D17)</f>
        <v>2688.6167225007539</v>
      </c>
      <c r="F17" s="145"/>
      <c r="G17" s="145"/>
      <c r="H17" s="145"/>
    </row>
    <row r="18" spans="1:8">
      <c r="A18" s="387" t="str">
        <f>INPUTS!C74</f>
        <v>Maize (Zea mays) - whole grain</v>
      </c>
      <c r="B18" s="388" t="str">
        <f>INPUTS!D74</f>
        <v>Maize</v>
      </c>
      <c r="C18" s="402">
        <f>'Land Requirement '!N20</f>
        <v>0</v>
      </c>
      <c r="D18" s="402">
        <f>'Land Requirement '!O20</f>
        <v>0</v>
      </c>
      <c r="E18" s="403">
        <f t="shared" ref="E18:E23" si="3">SUM(C18:D18)</f>
        <v>0</v>
      </c>
      <c r="F18" s="145"/>
      <c r="G18" s="145"/>
      <c r="H18" s="145"/>
    </row>
    <row r="19" spans="1:8">
      <c r="A19" s="387" t="str">
        <f>INPUTS!C75</f>
        <v>Brachiaria brizantha (forage)</v>
      </c>
      <c r="B19" s="388" t="str">
        <f>INPUTS!D75</f>
        <v xml:space="preserve">Brachiaria brizantha </v>
      </c>
      <c r="C19" s="402">
        <f>'Land Requirement '!Z20</f>
        <v>3301.6844730013172</v>
      </c>
      <c r="D19" s="402">
        <f>'Land Requirement '!AA20</f>
        <v>2382.819454571706</v>
      </c>
      <c r="E19" s="403">
        <f t="shared" si="3"/>
        <v>5684.5039275730232</v>
      </c>
      <c r="F19" s="145"/>
      <c r="G19" s="145"/>
      <c r="H19" s="145"/>
    </row>
    <row r="20" spans="1:8">
      <c r="A20" s="387" t="str">
        <f>INPUTS!C76</f>
        <v>Concentrate (commercial)</v>
      </c>
      <c r="B20" s="388" t="str">
        <f>INPUTS!D76</f>
        <v>Purchased</v>
      </c>
      <c r="C20" s="402">
        <f>'Land Requirement '!AL20</f>
        <v>0</v>
      </c>
      <c r="D20" s="402">
        <f>'Land Requirement '!AM20</f>
        <v>0</v>
      </c>
      <c r="E20" s="403">
        <f t="shared" si="3"/>
        <v>0</v>
      </c>
      <c r="F20" s="145"/>
      <c r="G20" s="145"/>
      <c r="H20" s="145"/>
    </row>
    <row r="21" spans="1:8">
      <c r="A21" s="387" t="str">
        <f>INPUTS!C77</f>
        <v>Rice (Oryza sativa) - straw</v>
      </c>
      <c r="B21" s="388" t="str">
        <f>INPUTS!D77</f>
        <v>Rice</v>
      </c>
      <c r="C21" s="402">
        <f>'Land Requirement '!AX20</f>
        <v>3153.4175611160199</v>
      </c>
      <c r="D21" s="402">
        <f>'Land Requirement '!AY20</f>
        <v>2275.8155040129768</v>
      </c>
      <c r="E21" s="403">
        <f t="shared" si="3"/>
        <v>5429.2330651289967</v>
      </c>
      <c r="F21" s="145"/>
      <c r="G21" s="145"/>
      <c r="H21" s="145"/>
    </row>
    <row r="22" spans="1:8">
      <c r="A22" s="387" t="str">
        <f>INPUTS!C78</f>
        <v>Naturally occuring pasture - grazing</v>
      </c>
      <c r="B22" s="388" t="str">
        <f>INPUTS!D78</f>
        <v>Natural pasture</v>
      </c>
      <c r="C22" s="402">
        <f>'Land Requirement '!BJ20</f>
        <v>3088.8939976103802</v>
      </c>
      <c r="D22" s="402">
        <f>'Land Requirement '!BK20</f>
        <v>2229.2489699735293</v>
      </c>
      <c r="E22" s="403">
        <f t="shared" si="3"/>
        <v>5318.1429675839099</v>
      </c>
      <c r="F22" s="145"/>
      <c r="G22" s="145"/>
      <c r="H22" s="145"/>
    </row>
    <row r="23" spans="1:8">
      <c r="A23" s="387" t="str">
        <f>INPUTS!C79</f>
        <v>Pennisetum purpureum - forage</v>
      </c>
      <c r="B23" s="388" t="str">
        <f>INPUTS!D79</f>
        <v>Pennisetum purpureum</v>
      </c>
      <c r="C23" s="402">
        <f>'Land Requirement '!BV20</f>
        <v>1698.8916986857093</v>
      </c>
      <c r="D23" s="402">
        <f>'Land Requirement '!BW20</f>
        <v>1226.0869334854413</v>
      </c>
      <c r="E23" s="403">
        <f t="shared" si="3"/>
        <v>2924.9786321711508</v>
      </c>
      <c r="F23" s="145"/>
      <c r="G23" s="145"/>
      <c r="H23" s="145"/>
    </row>
    <row r="24" spans="1:8">
      <c r="A24" s="387"/>
      <c r="B24" s="389" t="s">
        <v>1129</v>
      </c>
      <c r="C24" s="404">
        <f>SUM(C17:C23)</f>
        <v>12804.495251427563</v>
      </c>
      <c r="D24" s="404">
        <f>SUM(D17:D23)</f>
        <v>9240.9800635302709</v>
      </c>
      <c r="E24" s="405">
        <f>SUM(E17:E23)</f>
        <v>22045.475314957836</v>
      </c>
      <c r="F24" s="145"/>
      <c r="G24" s="145"/>
      <c r="H24" s="145"/>
    </row>
    <row r="25" spans="1:8" ht="16.5" thickBot="1">
      <c r="A25" s="390"/>
      <c r="B25" s="391" t="s">
        <v>1583</v>
      </c>
      <c r="C25" s="406"/>
      <c r="D25" s="406"/>
      <c r="E25" s="401">
        <f>E24/Productivity!B14</f>
        <v>1.8351043281521855</v>
      </c>
      <c r="F25" s="145"/>
      <c r="G25" s="145"/>
      <c r="H25" s="145"/>
    </row>
    <row r="29" spans="1:8">
      <c r="A29" s="1412"/>
      <c r="B29" s="1412"/>
      <c r="C29" s="1412"/>
      <c r="D29" s="1412"/>
      <c r="E29" s="1412"/>
    </row>
    <row r="30" spans="1:8">
      <c r="A30" s="522"/>
      <c r="B30" s="522"/>
      <c r="C30" s="522"/>
      <c r="D30" s="389"/>
      <c r="E30" s="525"/>
    </row>
    <row r="31" spans="1:8">
      <c r="A31" s="388"/>
      <c r="B31" s="388"/>
      <c r="C31" s="523"/>
      <c r="D31" s="523"/>
      <c r="E31" s="523"/>
    </row>
    <row r="32" spans="1:8">
      <c r="A32" s="388"/>
      <c r="B32" s="388"/>
      <c r="C32" s="523"/>
      <c r="D32" s="523"/>
      <c r="E32" s="523"/>
    </row>
    <row r="33" spans="1:5">
      <c r="A33" s="388"/>
      <c r="B33" s="388"/>
      <c r="C33" s="523"/>
      <c r="D33" s="523"/>
      <c r="E33" s="523"/>
    </row>
    <row r="34" spans="1:5">
      <c r="A34" s="388"/>
      <c r="B34" s="388"/>
      <c r="C34" s="523"/>
      <c r="D34" s="523"/>
      <c r="E34" s="523"/>
    </row>
    <row r="35" spans="1:5">
      <c r="A35" s="388"/>
      <c r="B35" s="388"/>
      <c r="C35" s="523"/>
      <c r="D35" s="523"/>
      <c r="E35" s="523"/>
    </row>
    <row r="36" spans="1:5">
      <c r="A36" s="388"/>
      <c r="B36" s="388"/>
      <c r="C36" s="523"/>
      <c r="D36" s="523"/>
      <c r="E36" s="523"/>
    </row>
    <row r="37" spans="1:5">
      <c r="A37" s="388"/>
      <c r="B37" s="388"/>
      <c r="C37" s="523"/>
      <c r="D37" s="523"/>
      <c r="E37" s="523"/>
    </row>
    <row r="38" spans="1:5">
      <c r="A38" s="388"/>
      <c r="B38" s="389"/>
      <c r="C38" s="524"/>
      <c r="D38" s="524"/>
      <c r="E38" s="524"/>
    </row>
    <row r="39" spans="1:5">
      <c r="A39" s="388"/>
      <c r="B39" s="388"/>
      <c r="C39" s="388"/>
      <c r="D39" s="388"/>
      <c r="E39" s="526"/>
    </row>
    <row r="42" spans="1:5">
      <c r="A42" s="1412"/>
      <c r="B42" s="1412"/>
      <c r="C42" s="1412"/>
      <c r="D42" s="1412"/>
      <c r="E42" s="1412"/>
    </row>
    <row r="43" spans="1:5">
      <c r="A43" s="522"/>
      <c r="B43" s="522"/>
      <c r="C43" s="389"/>
      <c r="D43" s="389"/>
      <c r="E43" s="389"/>
    </row>
    <row r="44" spans="1:5">
      <c r="A44" s="388"/>
      <c r="B44" s="388"/>
      <c r="C44" s="402"/>
      <c r="D44" s="402"/>
      <c r="E44" s="527"/>
    </row>
    <row r="45" spans="1:5">
      <c r="A45" s="388"/>
      <c r="B45" s="388"/>
      <c r="C45" s="402"/>
      <c r="D45" s="402"/>
      <c r="E45" s="527"/>
    </row>
    <row r="46" spans="1:5">
      <c r="A46" s="388"/>
      <c r="B46" s="388"/>
      <c r="C46" s="402"/>
      <c r="D46" s="402"/>
      <c r="E46" s="527"/>
    </row>
    <row r="47" spans="1:5">
      <c r="A47" s="388"/>
      <c r="B47" s="388"/>
      <c r="C47" s="402"/>
      <c r="D47" s="402"/>
      <c r="E47" s="527"/>
    </row>
    <row r="48" spans="1:5">
      <c r="A48" s="388"/>
      <c r="B48" s="388"/>
      <c r="C48" s="402"/>
      <c r="D48" s="402"/>
      <c r="E48" s="527"/>
    </row>
    <row r="49" spans="1:5">
      <c r="A49" s="388"/>
      <c r="B49" s="388"/>
      <c r="C49" s="402"/>
      <c r="D49" s="402"/>
      <c r="E49" s="527"/>
    </row>
    <row r="50" spans="1:5">
      <c r="A50" s="388"/>
      <c r="B50" s="388"/>
      <c r="C50" s="402"/>
      <c r="D50" s="402"/>
      <c r="E50" s="527"/>
    </row>
    <row r="51" spans="1:5">
      <c r="A51" s="388"/>
      <c r="B51" s="389"/>
      <c r="C51" s="404"/>
      <c r="D51" s="404"/>
      <c r="E51" s="404"/>
    </row>
    <row r="52" spans="1:5">
      <c r="A52" s="388"/>
      <c r="B52" s="388"/>
      <c r="C52" s="528"/>
      <c r="D52" s="528"/>
      <c r="E52" s="529"/>
    </row>
  </sheetData>
  <mergeCells count="4">
    <mergeCell ref="A2:E2"/>
    <mergeCell ref="A15:E15"/>
    <mergeCell ref="A29:E29"/>
    <mergeCell ref="A42:E42"/>
  </mergeCells>
  <pageMargins left="0.75" right="0.75" top="1" bottom="1" header="0.5" footer="0.5"/>
  <pageSetup paperSize="9" orientation="portrait" horizontalDpi="4294967292" verticalDpi="4294967292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tabColor rgb="FFFF0000"/>
  </sheetPr>
  <dimension ref="A1:S61"/>
  <sheetViews>
    <sheetView workbookViewId="0">
      <selection activeCell="B14" sqref="B14"/>
    </sheetView>
  </sheetViews>
  <sheetFormatPr defaultColWidth="8.875" defaultRowHeight="15.75"/>
  <cols>
    <col min="1" max="1" width="43.375" customWidth="1"/>
    <col min="2" max="2" width="16.5" bestFit="1" customWidth="1"/>
    <col min="3" max="3" width="20.625" customWidth="1"/>
    <col min="4" max="4" width="16.375" customWidth="1"/>
    <col min="5" max="5" width="13" customWidth="1"/>
    <col min="6" max="6" width="18.875" customWidth="1"/>
    <col min="7" max="7" width="23.375" bestFit="1" customWidth="1"/>
    <col min="8" max="9" width="19.125" customWidth="1"/>
    <col min="10" max="10" width="23.875" bestFit="1" customWidth="1"/>
    <col min="12" max="12" width="13.125" customWidth="1"/>
    <col min="14" max="14" width="13.5" customWidth="1"/>
  </cols>
  <sheetData>
    <row r="1" spans="1:19" ht="16.5" thickBot="1"/>
    <row r="2" spans="1:19" ht="31.5">
      <c r="A2" s="314"/>
      <c r="B2" s="315" t="s">
        <v>1073</v>
      </c>
      <c r="C2" s="316" t="s">
        <v>1072</v>
      </c>
      <c r="D2" s="301"/>
    </row>
    <row r="3" spans="1:19">
      <c r="A3" s="311" t="s">
        <v>1102</v>
      </c>
      <c r="B3" s="394">
        <f>C17</f>
        <v>11774904.000000002</v>
      </c>
      <c r="C3" s="395">
        <f>B3/2500</f>
        <v>4709.9616000000005</v>
      </c>
      <c r="D3" s="300"/>
    </row>
    <row r="4" spans="1:19">
      <c r="A4" s="311"/>
      <c r="B4" s="394"/>
      <c r="C4" s="395"/>
      <c r="D4" s="300"/>
    </row>
    <row r="5" spans="1:19" ht="16.5" thickBot="1">
      <c r="A5" s="313"/>
      <c r="B5" s="396"/>
      <c r="C5" s="397"/>
      <c r="D5" s="301"/>
    </row>
    <row r="6" spans="1:19">
      <c r="A6" s="301" t="s">
        <v>1070</v>
      </c>
      <c r="B6" s="301"/>
      <c r="C6" s="301"/>
      <c r="D6" s="301"/>
    </row>
    <row r="7" spans="1:19">
      <c r="A7" s="301"/>
      <c r="B7" s="301"/>
      <c r="C7" s="301"/>
      <c r="D7" s="301"/>
    </row>
    <row r="8" spans="1:19" ht="16.5" thickBot="1">
      <c r="A8" s="301"/>
      <c r="B8" s="301"/>
      <c r="C8" s="301"/>
      <c r="D8" s="301"/>
    </row>
    <row r="9" spans="1:19">
      <c r="A9" s="302" t="s">
        <v>826</v>
      </c>
      <c r="B9" s="303"/>
      <c r="C9" s="303"/>
      <c r="D9" s="303"/>
      <c r="E9" s="303"/>
      <c r="F9" s="304"/>
    </row>
    <row r="10" spans="1:19">
      <c r="A10" s="764" t="s">
        <v>1349</v>
      </c>
      <c r="B10" s="765">
        <f>SUM('Meat &amp; Milk '!D3:D9)</f>
        <v>7.8000000000000007</v>
      </c>
      <c r="C10" s="765"/>
      <c r="D10" s="765"/>
      <c r="E10" s="765"/>
      <c r="F10" s="766"/>
    </row>
    <row r="11" spans="1:19">
      <c r="A11" s="305" t="s">
        <v>1069</v>
      </c>
      <c r="B11" s="306"/>
      <c r="C11" s="306"/>
      <c r="D11" s="306"/>
      <c r="E11" s="306"/>
      <c r="F11" s="312"/>
    </row>
    <row r="12" spans="1:19" ht="31.5">
      <c r="A12" s="309"/>
      <c r="B12" s="310" t="s">
        <v>1019</v>
      </c>
      <c r="C12" s="310" t="s">
        <v>1021</v>
      </c>
      <c r="D12" s="310" t="s">
        <v>1321</v>
      </c>
      <c r="E12" s="310"/>
      <c r="F12" s="308" t="s">
        <v>1071</v>
      </c>
      <c r="S12" s="220"/>
    </row>
    <row r="13" spans="1:19">
      <c r="A13" s="307"/>
      <c r="B13" s="301"/>
      <c r="C13" s="301"/>
      <c r="D13" s="301"/>
      <c r="E13" s="301"/>
      <c r="F13" s="308"/>
    </row>
    <row r="14" spans="1:19">
      <c r="A14" s="307" t="s">
        <v>1020</v>
      </c>
      <c r="B14" s="398">
        <f>'Meat &amp; Milk '!B33</f>
        <v>12013.2</v>
      </c>
      <c r="C14" s="398">
        <f>'Meat &amp; Milk '!B35</f>
        <v>11652804.000000002</v>
      </c>
      <c r="D14" s="398">
        <f>'Meat &amp; Milk '!B36</f>
        <v>392.35590000000002</v>
      </c>
      <c r="E14" s="398"/>
      <c r="F14" s="1015">
        <f>C14/2500</f>
        <v>4661.1216000000004</v>
      </c>
      <c r="G14" s="976"/>
    </row>
    <row r="15" spans="1:19">
      <c r="A15" s="307" t="s">
        <v>1022</v>
      </c>
      <c r="B15" s="398">
        <f>'Meat &amp; Milk '!B29</f>
        <v>55.5</v>
      </c>
      <c r="C15" s="398">
        <f>'Meat &amp; Milk '!B28</f>
        <v>122100</v>
      </c>
      <c r="D15" s="398">
        <f>'Meat &amp; Milk '!B30</f>
        <v>14.43</v>
      </c>
      <c r="E15" s="398"/>
      <c r="F15" s="1015">
        <f>C15/2500</f>
        <v>48.84</v>
      </c>
      <c r="G15" s="976"/>
    </row>
    <row r="16" spans="1:19">
      <c r="A16" s="307"/>
      <c r="B16" s="400"/>
      <c r="C16" s="400"/>
      <c r="D16" s="400"/>
      <c r="E16" s="400"/>
      <c r="F16" s="399"/>
    </row>
    <row r="17" spans="1:6" ht="16.5" thickBot="1">
      <c r="A17" s="1012" t="s">
        <v>209</v>
      </c>
      <c r="B17" s="1013"/>
      <c r="C17" s="1013">
        <f>SUM(C14:C15)</f>
        <v>11774904.000000002</v>
      </c>
      <c r="D17" s="1013">
        <f t="shared" ref="D17:F17" si="0">SUM(D14:D15)</f>
        <v>406.78590000000003</v>
      </c>
      <c r="E17" s="1013">
        <f t="shared" si="0"/>
        <v>0</v>
      </c>
      <c r="F17" s="1014">
        <f t="shared" si="0"/>
        <v>4709.9616000000005</v>
      </c>
    </row>
    <row r="18" spans="1:6" ht="16.5" thickBot="1">
      <c r="A18" s="455"/>
      <c r="C18" s="301"/>
      <c r="D18" s="301"/>
    </row>
    <row r="19" spans="1:6" ht="31.5">
      <c r="A19" s="998"/>
      <c r="B19" s="999" t="s">
        <v>1019</v>
      </c>
      <c r="C19" s="301"/>
      <c r="D19" s="301"/>
    </row>
    <row r="20" spans="1:6" ht="16.5" thickBot="1">
      <c r="A20" s="1000" t="s">
        <v>748</v>
      </c>
      <c r="B20" s="1001">
        <f>Feed!E175</f>
        <v>8046.5984899596097</v>
      </c>
      <c r="C20" s="301"/>
      <c r="D20" s="301"/>
    </row>
    <row r="21" spans="1:6">
      <c r="A21" s="455"/>
      <c r="B21" s="301"/>
      <c r="C21" s="301"/>
      <c r="D21" s="301"/>
    </row>
    <row r="22" spans="1:6">
      <c r="A22" s="455"/>
      <c r="B22" s="301"/>
      <c r="C22" s="301"/>
      <c r="D22" s="301"/>
    </row>
    <row r="23" spans="1:6">
      <c r="A23" s="455"/>
      <c r="B23" s="301"/>
      <c r="C23" s="301"/>
      <c r="D23" s="301"/>
    </row>
    <row r="24" spans="1:6">
      <c r="A24" s="455"/>
      <c r="B24" s="301"/>
      <c r="C24" s="301"/>
      <c r="D24" s="301"/>
    </row>
    <row r="25" spans="1:6">
      <c r="A25" s="455"/>
      <c r="B25" s="301"/>
      <c r="C25" s="301"/>
      <c r="D25" s="301"/>
    </row>
    <row r="26" spans="1:6">
      <c r="A26" s="455"/>
      <c r="B26" s="301"/>
      <c r="C26" s="301"/>
      <c r="D26" s="301"/>
    </row>
    <row r="27" spans="1:6">
      <c r="A27" s="455"/>
      <c r="B27" s="301"/>
      <c r="C27" s="301"/>
      <c r="D27" s="301"/>
    </row>
    <row r="28" spans="1:6">
      <c r="A28" s="455"/>
      <c r="B28" s="301"/>
      <c r="C28" s="301"/>
      <c r="D28" s="301"/>
    </row>
    <row r="29" spans="1:6">
      <c r="A29" s="455"/>
      <c r="B29" s="301"/>
      <c r="C29" s="301"/>
      <c r="D29" s="301"/>
    </row>
    <row r="30" spans="1:6">
      <c r="A30" s="455"/>
      <c r="B30" s="301"/>
      <c r="C30" s="301"/>
      <c r="D30" s="301"/>
    </row>
    <row r="31" spans="1:6">
      <c r="A31" s="455"/>
      <c r="B31" s="301"/>
      <c r="C31" s="301"/>
      <c r="D31" s="301"/>
      <c r="F31" s="39"/>
    </row>
    <row r="32" spans="1:6">
      <c r="A32" s="455"/>
      <c r="B32" s="301"/>
      <c r="C32" s="301"/>
      <c r="D32" s="301"/>
    </row>
    <row r="33" spans="1:4">
      <c r="A33" s="455"/>
      <c r="B33" s="301"/>
      <c r="C33" s="301"/>
      <c r="D33" s="301"/>
    </row>
    <row r="34" spans="1:4">
      <c r="A34" s="455"/>
      <c r="B34" s="301"/>
      <c r="C34" s="301"/>
      <c r="D34" s="301"/>
    </row>
    <row r="35" spans="1:4">
      <c r="A35" s="455"/>
      <c r="B35" s="301"/>
      <c r="C35" s="301"/>
      <c r="D35" s="301"/>
    </row>
    <row r="36" spans="1:4">
      <c r="A36" s="455"/>
      <c r="B36" s="301"/>
      <c r="C36" s="301"/>
      <c r="D36" s="301"/>
    </row>
    <row r="37" spans="1:4">
      <c r="A37" s="455"/>
      <c r="B37" s="301"/>
      <c r="C37" s="301"/>
      <c r="D37" s="301"/>
    </row>
    <row r="38" spans="1:4">
      <c r="A38" s="455"/>
      <c r="B38" s="301"/>
      <c r="C38" s="301"/>
      <c r="D38" s="301"/>
    </row>
    <row r="39" spans="1:4">
      <c r="A39" s="455"/>
      <c r="B39" s="301"/>
      <c r="C39" s="301"/>
      <c r="D39" s="301"/>
    </row>
    <row r="40" spans="1:4">
      <c r="A40" s="455"/>
      <c r="B40" s="301"/>
      <c r="C40" s="301"/>
      <c r="D40" s="301"/>
    </row>
    <row r="41" spans="1:4">
      <c r="A41" s="455"/>
      <c r="B41" s="301"/>
      <c r="C41" s="301"/>
      <c r="D41" s="301"/>
    </row>
    <row r="42" spans="1:4">
      <c r="A42" s="455"/>
      <c r="B42" s="301"/>
      <c r="C42" s="301"/>
      <c r="D42" s="301"/>
    </row>
    <row r="43" spans="1:4">
      <c r="A43" s="455"/>
      <c r="B43" s="301"/>
      <c r="C43" s="301"/>
      <c r="D43" s="301"/>
    </row>
    <row r="44" spans="1:4">
      <c r="A44" s="455"/>
      <c r="B44" s="301"/>
      <c r="C44" s="301"/>
      <c r="D44" s="301"/>
    </row>
    <row r="45" spans="1:4">
      <c r="A45" s="455"/>
      <c r="B45" s="301"/>
      <c r="C45" s="301"/>
      <c r="D45" s="301"/>
    </row>
    <row r="46" spans="1:4">
      <c r="A46" s="455"/>
      <c r="B46" s="301"/>
      <c r="C46" s="301"/>
      <c r="D46" s="301"/>
    </row>
    <row r="47" spans="1:4">
      <c r="A47" s="455"/>
      <c r="B47" s="301"/>
      <c r="C47" s="301"/>
      <c r="D47" s="301"/>
    </row>
    <row r="48" spans="1:4">
      <c r="A48" s="455"/>
      <c r="B48" s="301"/>
      <c r="C48" s="301"/>
      <c r="D48" s="301"/>
    </row>
    <row r="49" spans="1:9">
      <c r="A49" s="455"/>
      <c r="B49" s="301"/>
      <c r="C49" s="301"/>
      <c r="D49" s="301"/>
    </row>
    <row r="50" spans="1:9">
      <c r="A50" s="455"/>
      <c r="B50" s="301"/>
      <c r="C50" s="301"/>
      <c r="D50" s="301"/>
    </row>
    <row r="51" spans="1:9">
      <c r="A51" s="455"/>
      <c r="B51" s="301"/>
      <c r="C51" s="301"/>
      <c r="D51" s="301"/>
    </row>
    <row r="52" spans="1:9">
      <c r="A52" s="455"/>
      <c r="B52" s="301"/>
      <c r="C52" s="301"/>
      <c r="D52" s="301"/>
    </row>
    <row r="53" spans="1:9">
      <c r="A53" s="455"/>
      <c r="B53" s="301"/>
      <c r="C53" s="301"/>
      <c r="D53" s="301"/>
    </row>
    <row r="54" spans="1:9">
      <c r="A54" s="455"/>
      <c r="B54" s="301"/>
      <c r="C54" s="301"/>
      <c r="D54" s="301"/>
    </row>
    <row r="55" spans="1:9">
      <c r="A55" s="301"/>
      <c r="B55" s="301"/>
      <c r="C55" s="301"/>
      <c r="D55" s="301"/>
    </row>
    <row r="56" spans="1:9">
      <c r="A56" s="301"/>
      <c r="B56" s="301"/>
      <c r="C56" s="301"/>
      <c r="D56" s="301"/>
    </row>
    <row r="57" spans="1:9">
      <c r="F57" s="301"/>
      <c r="G57" s="301"/>
      <c r="H57" s="301"/>
      <c r="I57" s="301"/>
    </row>
    <row r="58" spans="1:9">
      <c r="F58" s="301"/>
      <c r="G58" s="301"/>
      <c r="H58" s="301"/>
      <c r="I58" s="301"/>
    </row>
    <row r="59" spans="1:9">
      <c r="F59" s="301"/>
      <c r="G59" s="301"/>
      <c r="H59" s="301"/>
      <c r="I59" s="301"/>
    </row>
    <row r="60" spans="1:9">
      <c r="F60" s="301"/>
      <c r="G60" s="301"/>
      <c r="H60" s="301"/>
      <c r="I60" s="301"/>
    </row>
    <row r="61" spans="1:9">
      <c r="F61" s="301"/>
      <c r="G61" s="301"/>
      <c r="H61" s="301"/>
      <c r="I61" s="301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>
    <tabColor rgb="FFFF0000"/>
  </sheetPr>
  <dimension ref="B1:E26"/>
  <sheetViews>
    <sheetView workbookViewId="0">
      <selection activeCell="F20" sqref="F20"/>
    </sheetView>
  </sheetViews>
  <sheetFormatPr defaultRowHeight="15.75"/>
  <cols>
    <col min="2" max="2" width="33" bestFit="1" customWidth="1"/>
    <col min="3" max="3" width="16" customWidth="1"/>
    <col min="4" max="4" width="18.875" bestFit="1" customWidth="1"/>
    <col min="5" max="5" width="37.875" bestFit="1" customWidth="1"/>
  </cols>
  <sheetData>
    <row r="1" spans="2:5">
      <c r="B1" s="37" t="s">
        <v>1595</v>
      </c>
    </row>
    <row r="2" spans="2:5">
      <c r="B2" s="37"/>
    </row>
    <row r="3" spans="2:5">
      <c r="B3" s="13" t="s">
        <v>1211</v>
      </c>
      <c r="C3" s="607">
        <f>'Economics_Payback '!E18</f>
        <v>4983.988329090068</v>
      </c>
    </row>
    <row r="4" spans="2:5">
      <c r="B4" s="13" t="s">
        <v>1288</v>
      </c>
      <c r="C4" s="607">
        <f>'Economics_Payback '!E18/'Land requirements'!E11</f>
        <v>2005.0895659718169</v>
      </c>
    </row>
    <row r="5" spans="2:5">
      <c r="C5" s="651"/>
    </row>
    <row r="7" spans="2:5">
      <c r="B7" s="37" t="s">
        <v>1223</v>
      </c>
    </row>
    <row r="9" spans="2:5">
      <c r="B9" s="13" t="s">
        <v>1069</v>
      </c>
      <c r="C9" s="13" t="s">
        <v>1218</v>
      </c>
      <c r="D9" s="13" t="s">
        <v>1287</v>
      </c>
      <c r="E9" s="13" t="s">
        <v>1659</v>
      </c>
    </row>
    <row r="10" spans="2:5">
      <c r="B10" t="s">
        <v>1656</v>
      </c>
      <c r="C10" s="651" t="str">
        <f ca="1">IFERROR('Economics_Payback '!B$63, "")</f>
        <v/>
      </c>
      <c r="D10" s="591" t="str">
        <f ca="1">IFERROR('Economics_Payback '!B88,"")</f>
        <v/>
      </c>
      <c r="E10" s="592" t="str">
        <f ca="1">IFERROR(C10/'Land Requirement '!CI$21+'Land Requirement '!$CH$21,"")</f>
        <v/>
      </c>
    </row>
    <row r="11" spans="2:5">
      <c r="B11" s="1076">
        <f>'Economics_Payback '!A71</f>
        <v>1</v>
      </c>
      <c r="C11" s="651" t="str">
        <f ca="1">IFERROR('Economics_Payback '!C$63, "")</f>
        <v/>
      </c>
      <c r="D11" s="591" t="str">
        <f ca="1">IFERROR('Economics_Payback '!B89,"")</f>
        <v/>
      </c>
      <c r="E11" s="592" t="str">
        <f ca="1">IFERROR(C11/'Land Requirement '!CI$21+'Land Requirement '!$CH$21,"")</f>
        <v/>
      </c>
    </row>
    <row r="12" spans="2:5">
      <c r="B12" s="1076">
        <f>'Economics_Payback '!A72</f>
        <v>2</v>
      </c>
      <c r="C12" s="651" t="str">
        <f ca="1">IFERROR('Economics_Payback '!D$63, "")</f>
        <v/>
      </c>
      <c r="D12" s="591" t="str">
        <f ca="1">IFERROR('Economics_Payback '!B90,"")</f>
        <v/>
      </c>
      <c r="E12" s="592" t="str">
        <f ca="1">IFERROR(C12/'Land Requirement '!CI$21+'Land Requirement '!$CH$21,"")</f>
        <v/>
      </c>
    </row>
    <row r="13" spans="2:5">
      <c r="B13" s="1076">
        <f>'Economics_Payback '!A73</f>
        <v>3</v>
      </c>
      <c r="C13" s="651" t="str">
        <f ca="1">IFERROR('Economics_Payback '!E$63, "")</f>
        <v/>
      </c>
      <c r="D13" s="591" t="str">
        <f ca="1">IFERROR('Economics_Payback '!B91,"")</f>
        <v/>
      </c>
      <c r="E13" s="592" t="str">
        <f ca="1">IFERROR(C13/'Land Requirement '!CI$21+'Land Requirement '!$CH$21,"")</f>
        <v/>
      </c>
    </row>
    <row r="14" spans="2:5">
      <c r="B14" s="1076">
        <f>'Economics_Payback '!A74</f>
        <v>4</v>
      </c>
      <c r="C14" s="651" t="str">
        <f ca="1">IFERROR('Economics_Payback '!F$63, "")</f>
        <v/>
      </c>
      <c r="D14" s="591" t="str">
        <f ca="1">IFERROR('Economics_Payback '!B92,"")</f>
        <v/>
      </c>
      <c r="E14" s="592" t="str">
        <f ca="1">IFERROR(C14/'Land Requirement '!CI$21+'Land Requirement '!$CH$21,"")</f>
        <v/>
      </c>
    </row>
    <row r="15" spans="2:5">
      <c r="B15" s="1076">
        <f>'Economics_Payback '!A75</f>
        <v>5</v>
      </c>
      <c r="C15" s="651" t="str">
        <f ca="1">IFERROR('Economics_Payback '!G$63, "")</f>
        <v/>
      </c>
      <c r="D15" s="591" t="str">
        <f ca="1">IFERROR('Economics_Payback '!B93,"")</f>
        <v/>
      </c>
      <c r="E15" s="592" t="str">
        <f ca="1">IFERROR(C15/'Land Requirement '!CI$21+'Land Requirement '!$CH$21,"")</f>
        <v/>
      </c>
    </row>
    <row r="16" spans="2:5">
      <c r="B16" s="1076">
        <f>'Economics_Payback '!A76</f>
        <v>6</v>
      </c>
      <c r="C16" s="651" t="str">
        <f ca="1">IFERROR('Economics_Payback '!H$63, "")</f>
        <v/>
      </c>
      <c r="D16" s="591" t="str">
        <f ca="1">IFERROR('Economics_Payback '!B94,"")</f>
        <v/>
      </c>
      <c r="E16" s="592" t="str">
        <f ca="1">IFERROR(C16/'Land Requirement '!CI$21+'Land Requirement '!$CH$21,"")</f>
        <v/>
      </c>
    </row>
    <row r="17" spans="2:5">
      <c r="B17" s="1076">
        <f>'Economics_Payback '!A77</f>
        <v>7</v>
      </c>
      <c r="C17" s="651" t="str">
        <f ca="1">IFERROR('Economics_Payback '!I$63, "")</f>
        <v/>
      </c>
      <c r="D17" s="591" t="str">
        <f ca="1">IFERROR('Economics_Payback '!B95,"")</f>
        <v/>
      </c>
      <c r="E17" s="592" t="str">
        <f ca="1">IFERROR(C17/'Land Requirement '!CI$21+'Land Requirement '!$CH$21,"")</f>
        <v/>
      </c>
    </row>
    <row r="18" spans="2:5">
      <c r="B18" s="1076">
        <f>'Economics_Payback '!A78</f>
        <v>8</v>
      </c>
      <c r="C18" s="651" t="str">
        <f ca="1">IFERROR('Economics_Payback '!J$63, "")</f>
        <v/>
      </c>
      <c r="D18" s="591" t="str">
        <f ca="1">IFERROR('Economics_Payback '!B96,"")</f>
        <v/>
      </c>
      <c r="E18" s="592" t="str">
        <f ca="1">IFERROR(C18/'Land Requirement '!CI$21+'Land Requirement '!$CH$21,"")</f>
        <v/>
      </c>
    </row>
    <row r="19" spans="2:5">
      <c r="B19" s="1076">
        <f>'Economics_Payback '!A79</f>
        <v>9</v>
      </c>
      <c r="C19" s="651" t="str">
        <f ca="1">IFERROR('Economics_Payback '!K$63, "")</f>
        <v/>
      </c>
      <c r="D19" s="591" t="str">
        <f ca="1">IFERROR('Economics_Payback '!B97,"")</f>
        <v/>
      </c>
      <c r="E19" s="592" t="str">
        <f ca="1">IFERROR(C19/'Land Requirement '!CI$21+'Land Requirement '!$CH$21,"")</f>
        <v/>
      </c>
    </row>
    <row r="22" spans="2:5" ht="47.25">
      <c r="B22" s="10" t="s">
        <v>1224</v>
      </c>
      <c r="C22" s="1080" t="e">
        <f ca="1">'Economics_Payback '!D83</f>
        <v>#REF!</v>
      </c>
      <c r="D22" s="1079" t="s">
        <v>1655</v>
      </c>
    </row>
    <row r="23" spans="2:5" s="1076" customFormat="1">
      <c r="B23" s="10"/>
      <c r="C23" s="39"/>
      <c r="D23" s="1079"/>
    </row>
    <row r="24" spans="2:5">
      <c r="B24" s="10"/>
    </row>
    <row r="25" spans="2:5">
      <c r="B25" s="603" t="str">
        <f>'Economics_Payback '!A85</f>
        <v>NPV</v>
      </c>
      <c r="C25" s="603" t="str">
        <f ca="1">IFERROR('Economics_Payback '!B85,"")</f>
        <v/>
      </c>
    </row>
    <row r="26" spans="2:5">
      <c r="B26" s="603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J29"/>
  <sheetViews>
    <sheetView workbookViewId="0">
      <selection activeCell="B3" sqref="B3"/>
    </sheetView>
  </sheetViews>
  <sheetFormatPr defaultColWidth="8.875" defaultRowHeight="15.75"/>
  <cols>
    <col min="1" max="1" width="41.25" customWidth="1"/>
    <col min="2" max="2" width="11.625" customWidth="1"/>
    <col min="3" max="3" width="11.375" customWidth="1"/>
    <col min="4" max="4" width="10.375" customWidth="1"/>
    <col min="5" max="5" width="11.625" customWidth="1"/>
    <col min="6" max="6" width="13.375" customWidth="1"/>
    <col min="7" max="7" width="13.125" customWidth="1"/>
    <col min="8" max="8" width="13.375" customWidth="1"/>
    <col min="9" max="9" width="10.875" customWidth="1"/>
    <col min="10" max="10" width="14.375" customWidth="1"/>
    <col min="12" max="12" width="20.125" customWidth="1"/>
  </cols>
  <sheetData>
    <row r="1" spans="1:10" ht="31.5">
      <c r="A1" s="456" t="s">
        <v>791</v>
      </c>
      <c r="B1" s="316"/>
      <c r="C1" s="30" t="str">
        <f>'N balance'!BV8</f>
        <v>% area mining</v>
      </c>
      <c r="D1" s="30" t="str">
        <f>'N balance'!BW8</f>
        <v>% area leaching</v>
      </c>
    </row>
    <row r="2" spans="1:10">
      <c r="A2" s="309" t="s">
        <v>967</v>
      </c>
      <c r="B2" s="597" t="e">
        <f ca="1">'N balance'!BU6</f>
        <v>#NAME?</v>
      </c>
      <c r="C2" s="1164">
        <f ca="1">'N balance'!BV9/100</f>
        <v>0</v>
      </c>
      <c r="D2" s="1150">
        <f ca="1">'N balance'!BW9/100</f>
        <v>0</v>
      </c>
    </row>
    <row r="3" spans="1:10" ht="16.5" thickBot="1">
      <c r="A3" s="457" t="s">
        <v>968</v>
      </c>
      <c r="B3" s="464">
        <f>'Soil erosion'!Q3</f>
        <v>5.14598988896359</v>
      </c>
    </row>
    <row r="5" spans="1:10" ht="16.5" thickBot="1">
      <c r="F5" s="774"/>
      <c r="H5" s="774"/>
    </row>
    <row r="6" spans="1:10" s="37" customFormat="1">
      <c r="A6" s="456" t="s">
        <v>1139</v>
      </c>
      <c r="B6" s="459"/>
      <c r="C6" s="459"/>
      <c r="D6" s="459"/>
      <c r="E6" s="459"/>
      <c r="F6" s="773"/>
      <c r="G6" s="459"/>
      <c r="H6" s="459"/>
      <c r="I6" s="459"/>
      <c r="J6" s="595"/>
    </row>
    <row r="7" spans="1:10" ht="63">
      <c r="A7" s="383"/>
      <c r="B7" s="384"/>
      <c r="C7" s="557" t="s">
        <v>1140</v>
      </c>
      <c r="D7" s="557" t="s">
        <v>1141</v>
      </c>
      <c r="E7" s="556" t="s">
        <v>1180</v>
      </c>
      <c r="F7" s="556" t="s">
        <v>1181</v>
      </c>
      <c r="G7" s="556" t="s">
        <v>1366</v>
      </c>
      <c r="H7" s="556" t="s">
        <v>1367</v>
      </c>
      <c r="I7" s="556" t="s">
        <v>1368</v>
      </c>
      <c r="J7" s="596" t="s">
        <v>1369</v>
      </c>
    </row>
    <row r="8" spans="1:10">
      <c r="A8" s="465"/>
      <c r="B8" s="467"/>
      <c r="C8" s="301"/>
      <c r="D8" s="301"/>
      <c r="J8" s="466"/>
    </row>
    <row r="9" spans="1:10">
      <c r="A9" s="460" t="str">
        <f>INPUTS!C73</f>
        <v>Rice (Oryza sativa) - bran (with germs)</v>
      </c>
      <c r="B9" s="39" t="str">
        <f>'N balance'!A9</f>
        <v>Purchased</v>
      </c>
      <c r="C9" s="39">
        <f>'N balance'!BL9</f>
        <v>0</v>
      </c>
      <c r="D9" s="39">
        <f>'N balance'!BM9</f>
        <v>0</v>
      </c>
      <c r="E9" s="39">
        <f>'N balance'!BN9</f>
        <v>0</v>
      </c>
      <c r="F9" s="39" t="str">
        <f>'N balance'!BO9</f>
        <v/>
      </c>
      <c r="G9" s="39">
        <f>'N balance'!BP9</f>
        <v>0</v>
      </c>
      <c r="H9" s="39" t="str">
        <f>'N balance'!BQ9</f>
        <v/>
      </c>
      <c r="I9" s="39">
        <f>E9-G9</f>
        <v>0</v>
      </c>
      <c r="J9" s="298" t="str">
        <f>IFERROR(F9-H9,"")</f>
        <v/>
      </c>
    </row>
    <row r="10" spans="1:10">
      <c r="A10" s="460" t="str">
        <f>INPUTS!C74</f>
        <v>Maize (Zea mays) - whole grain</v>
      </c>
      <c r="B10" s="39" t="str">
        <f>'N balance'!A10</f>
        <v>Maize</v>
      </c>
      <c r="C10" s="39">
        <f>'N balance'!BL10</f>
        <v>0</v>
      </c>
      <c r="D10" s="39">
        <f>'N balance'!BM10</f>
        <v>0</v>
      </c>
      <c r="E10" s="39">
        <f>'N balance'!BN10</f>
        <v>0</v>
      </c>
      <c r="F10" s="39" t="str">
        <f>'N balance'!BO10</f>
        <v/>
      </c>
      <c r="G10" s="39">
        <f>'N balance'!BP10</f>
        <v>0</v>
      </c>
      <c r="H10" s="39" t="str">
        <f>'N balance'!BQ10</f>
        <v/>
      </c>
      <c r="I10" s="39">
        <f t="shared" ref="I10:I15" si="0">E10-G10</f>
        <v>0</v>
      </c>
      <c r="J10" s="298" t="str">
        <f t="shared" ref="J10:J15" si="1">IFERROR(F10-H10,"")</f>
        <v/>
      </c>
    </row>
    <row r="11" spans="1:10" ht="31.5">
      <c r="A11" s="461" t="str">
        <f>INPUTS!C75</f>
        <v>Brachiaria brizantha (forage)</v>
      </c>
      <c r="B11" s="458" t="str">
        <f>'N balance'!A11</f>
        <v xml:space="preserve">Brachiaria brizantha </v>
      </c>
      <c r="C11" s="39" t="e">
        <f ca="1">'N balance'!BL11</f>
        <v>#NAME?</v>
      </c>
      <c r="D11" s="39" t="e">
        <f ca="1">'N balance'!BM11</f>
        <v>#NAME?</v>
      </c>
      <c r="E11" s="39" t="e">
        <f ca="1">'N balance'!BN11</f>
        <v>#NAME?</v>
      </c>
      <c r="F11" s="39" t="str">
        <f ca="1">'N balance'!BO11</f>
        <v/>
      </c>
      <c r="G11" s="39" t="e">
        <f ca="1">'N balance'!BP11</f>
        <v>#NAME?</v>
      </c>
      <c r="H11" s="39" t="str">
        <f ca="1">'N balance'!BQ11</f>
        <v/>
      </c>
      <c r="I11" s="39" t="e">
        <f t="shared" ca="1" si="0"/>
        <v>#NAME?</v>
      </c>
      <c r="J11" s="298" t="str">
        <f t="shared" ca="1" si="1"/>
        <v/>
      </c>
    </row>
    <row r="12" spans="1:10">
      <c r="A12" s="460" t="str">
        <f>INPUTS!C76</f>
        <v>Concentrate (commercial)</v>
      </c>
      <c r="B12" s="39" t="str">
        <f>'N balance'!A12</f>
        <v>Purchased</v>
      </c>
      <c r="C12" s="39">
        <f>'N balance'!BL12</f>
        <v>0</v>
      </c>
      <c r="D12" s="39">
        <f>'N balance'!BM12</f>
        <v>0</v>
      </c>
      <c r="E12" s="39">
        <f>'N balance'!BN12</f>
        <v>0</v>
      </c>
      <c r="F12" s="39" t="str">
        <f>'N balance'!BO12</f>
        <v/>
      </c>
      <c r="G12" s="39">
        <f>'N balance'!BP12</f>
        <v>0</v>
      </c>
      <c r="H12" s="39" t="str">
        <f>'N balance'!BQ12</f>
        <v/>
      </c>
      <c r="I12" s="39">
        <f t="shared" si="0"/>
        <v>0</v>
      </c>
      <c r="J12" s="298" t="str">
        <f t="shared" si="1"/>
        <v/>
      </c>
    </row>
    <row r="13" spans="1:10">
      <c r="A13" s="460" t="str">
        <f>INPUTS!C77</f>
        <v>Rice (Oryza sativa) - straw</v>
      </c>
      <c r="B13" s="39" t="str">
        <f>'N balance'!A13</f>
        <v>Rice</v>
      </c>
      <c r="C13" s="39" t="e">
        <f ca="1">'N balance'!BL13</f>
        <v>#NAME?</v>
      </c>
      <c r="D13" s="39" t="e">
        <f ca="1">'N balance'!BM13</f>
        <v>#NAME?</v>
      </c>
      <c r="E13" s="39" t="e">
        <f ca="1">'N balance'!BN13</f>
        <v>#NAME?</v>
      </c>
      <c r="F13" s="39" t="str">
        <f ca="1">'N balance'!BO13</f>
        <v/>
      </c>
      <c r="G13" s="39" t="e">
        <f ca="1">'N balance'!BP13</f>
        <v>#NAME?</v>
      </c>
      <c r="H13" s="39" t="str">
        <f ca="1">'N balance'!BQ13</f>
        <v/>
      </c>
      <c r="I13" s="39" t="e">
        <f t="shared" ca="1" si="0"/>
        <v>#NAME?</v>
      </c>
      <c r="J13" s="298" t="str">
        <f t="shared" ca="1" si="1"/>
        <v/>
      </c>
    </row>
    <row r="14" spans="1:10">
      <c r="A14" s="460" t="str">
        <f>INPUTS!C78</f>
        <v>Naturally occuring pasture - grazing</v>
      </c>
      <c r="B14" s="39" t="str">
        <f>'N balance'!A14</f>
        <v>Natural pasture</v>
      </c>
      <c r="C14" s="39">
        <f>'N balance'!BL14</f>
        <v>0</v>
      </c>
      <c r="D14" s="39">
        <f>'N balance'!BM14</f>
        <v>0</v>
      </c>
      <c r="E14" s="39">
        <f>'N balance'!BN14</f>
        <v>0</v>
      </c>
      <c r="F14" s="39" t="str">
        <f>'N balance'!BO14</f>
        <v/>
      </c>
      <c r="G14" s="39">
        <f>'N balance'!BP14</f>
        <v>0</v>
      </c>
      <c r="H14" s="39" t="str">
        <f>'N balance'!BQ14</f>
        <v/>
      </c>
      <c r="I14" s="39">
        <f t="shared" si="0"/>
        <v>0</v>
      </c>
      <c r="J14" s="298" t="str">
        <f t="shared" si="1"/>
        <v/>
      </c>
    </row>
    <row r="15" spans="1:10" ht="16.5" thickBot="1">
      <c r="A15" s="462" t="str">
        <f>INPUTS!C79</f>
        <v>Pennisetum purpureum - forage</v>
      </c>
      <c r="B15" s="463" t="str">
        <f>'N balance'!A15</f>
        <v>Pennisetum purpureum</v>
      </c>
      <c r="C15" s="463" t="e">
        <f ca="1">'N balance'!BL15</f>
        <v>#NAME?</v>
      </c>
      <c r="D15" s="463" t="e">
        <f ca="1">'N balance'!BM15</f>
        <v>#NAME?</v>
      </c>
      <c r="E15" s="463" t="e">
        <f ca="1">'N balance'!BN15</f>
        <v>#NAME?</v>
      </c>
      <c r="F15" s="463" t="str">
        <f ca="1">'N balance'!BO15</f>
        <v/>
      </c>
      <c r="G15" s="463" t="e">
        <f ca="1">'N balance'!BP15</f>
        <v>#NAME?</v>
      </c>
      <c r="H15" s="463" t="str">
        <f ca="1">'N balance'!BQ15</f>
        <v/>
      </c>
      <c r="I15" s="463" t="e">
        <f t="shared" ca="1" si="0"/>
        <v>#NAME?</v>
      </c>
      <c r="J15" s="464" t="str">
        <f t="shared" ca="1" si="1"/>
        <v/>
      </c>
    </row>
    <row r="16" spans="1:10">
      <c r="A16" s="39" t="s">
        <v>132</v>
      </c>
      <c r="B16" s="39"/>
      <c r="C16" s="39" t="e">
        <f ca="1">SUM(C9:C15)</f>
        <v>#NAME?</v>
      </c>
      <c r="D16" s="39" t="e">
        <f t="shared" ref="D16:I16" ca="1" si="2">SUM(D9:D15)</f>
        <v>#NAME?</v>
      </c>
      <c r="E16" s="39" t="e">
        <f t="shared" ca="1" si="2"/>
        <v>#NAME?</v>
      </c>
      <c r="F16" s="39"/>
      <c r="G16" s="39" t="e">
        <f t="shared" ca="1" si="2"/>
        <v>#NAME?</v>
      </c>
      <c r="H16" s="39"/>
      <c r="I16" s="39" t="e">
        <f t="shared" ca="1" si="2"/>
        <v>#NAME?</v>
      </c>
      <c r="J16" s="39"/>
    </row>
    <row r="17" spans="1:4">
      <c r="A17" s="39"/>
      <c r="B17" s="39"/>
      <c r="C17" s="39"/>
      <c r="D17" s="39"/>
    </row>
    <row r="18" spans="1:4">
      <c r="A18" s="39"/>
      <c r="B18" s="39"/>
      <c r="C18" s="39"/>
      <c r="D18" s="39"/>
    </row>
    <row r="19" spans="1:4">
      <c r="A19" s="39"/>
      <c r="B19" s="39"/>
      <c r="C19" s="39"/>
      <c r="D19" s="39"/>
    </row>
    <row r="20" spans="1:4">
      <c r="A20" s="39"/>
      <c r="B20" s="39"/>
      <c r="C20" s="39"/>
      <c r="D20" s="39"/>
    </row>
    <row r="21" spans="1:4">
      <c r="A21" s="39"/>
      <c r="B21" s="39"/>
      <c r="C21" s="39"/>
      <c r="D21" s="39"/>
    </row>
    <row r="22" spans="1:4">
      <c r="A22" s="39"/>
      <c r="B22" s="39"/>
      <c r="C22" s="39"/>
      <c r="D22" s="39"/>
    </row>
    <row r="23" spans="1:4">
      <c r="A23" s="39"/>
    </row>
    <row r="25" spans="1:4" s="37" customFormat="1"/>
    <row r="29" spans="1:4">
      <c r="B29" s="171"/>
    </row>
  </sheetData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8">
    <tabColor rgb="FFFF0000"/>
  </sheetPr>
  <dimension ref="A1:C17"/>
  <sheetViews>
    <sheetView workbookViewId="0">
      <selection activeCell="B2" sqref="B2"/>
    </sheetView>
  </sheetViews>
  <sheetFormatPr defaultRowHeight="15.75"/>
  <cols>
    <col min="1" max="1" width="43.375" customWidth="1"/>
    <col min="2" max="2" width="10.375" bestFit="1" customWidth="1"/>
  </cols>
  <sheetData>
    <row r="1" spans="1:3" ht="19.5" thickBot="1">
      <c r="B1" s="910" t="s">
        <v>132</v>
      </c>
    </row>
    <row r="2" spans="1:3">
      <c r="A2" s="550" t="str">
        <f>Water!A13</f>
        <v>ET (mm/year)</v>
      </c>
      <c r="B2" s="1019">
        <f>Water!B13</f>
        <v>1258.7992251036485</v>
      </c>
      <c r="C2" s="551"/>
    </row>
    <row r="3" spans="1:3">
      <c r="A3" s="297" t="str">
        <f>Water!A14</f>
        <v>fraction of precipitation used for feed production</v>
      </c>
      <c r="B3" s="1020">
        <f>Water!B14</f>
        <v>0.41959974170121617</v>
      </c>
      <c r="C3" s="466"/>
    </row>
    <row r="4" spans="1:3">
      <c r="A4" s="297" t="str">
        <f>Water!A15</f>
        <v>Total water use (m3)</v>
      </c>
      <c r="B4" s="653">
        <f>Water!B15</f>
        <v>3128.9578047070586</v>
      </c>
      <c r="C4" s="466"/>
    </row>
    <row r="5" spans="1:3">
      <c r="A5" s="297" t="str">
        <f>Water!A16</f>
        <v>Water use (m3/kg FPCM)</v>
      </c>
      <c r="B5" s="39">
        <f>Water!B16</f>
        <v>0.26045997775006313</v>
      </c>
      <c r="C5" s="466"/>
    </row>
    <row r="6" spans="1:3">
      <c r="A6" s="297" t="str">
        <f>Water!A17</f>
        <v>Water use (m3/kg meat)</v>
      </c>
      <c r="B6" s="39">
        <f>Water!B17</f>
        <v>56.377618102829885</v>
      </c>
      <c r="C6" s="466"/>
    </row>
    <row r="7" spans="1:3">
      <c r="A7" s="297" t="str">
        <f>Water!A18</f>
        <v>Water use (m3/kg protein)</v>
      </c>
      <c r="B7" s="39">
        <f>Water!B18</f>
        <v>7.6919032953380597</v>
      </c>
      <c r="C7" s="466"/>
    </row>
    <row r="8" spans="1:3">
      <c r="A8" s="297"/>
      <c r="C8" s="466"/>
    </row>
    <row r="9" spans="1:3">
      <c r="A9" s="903" t="s">
        <v>1373</v>
      </c>
      <c r="B9" s="904" t="s">
        <v>1360</v>
      </c>
      <c r="C9" s="905" t="s">
        <v>1361</v>
      </c>
    </row>
    <row r="10" spans="1:3">
      <c r="A10" s="906" t="str">
        <f>INPUTS!C73</f>
        <v>Rice (Oryza sativa) - bran (with germs)</v>
      </c>
      <c r="B10" s="653">
        <f>Water!$B$10</f>
        <v>0</v>
      </c>
      <c r="C10" s="907">
        <f>Water!$B$11</f>
        <v>0</v>
      </c>
    </row>
    <row r="11" spans="1:3">
      <c r="A11" s="906" t="str">
        <f>INPUTS!C74</f>
        <v>Maize (Zea mays) - whole grain</v>
      </c>
      <c r="B11" s="653">
        <f>Water!$C$10</f>
        <v>0</v>
      </c>
      <c r="C11" s="907">
        <f>Water!$C$11</f>
        <v>0</v>
      </c>
    </row>
    <row r="12" spans="1:3">
      <c r="A12" s="906" t="str">
        <f>INPUTS!C75</f>
        <v>Brachiaria brizantha (forage)</v>
      </c>
      <c r="B12" s="653">
        <f>Water!$D$10</f>
        <v>481.04483631275889</v>
      </c>
      <c r="C12" s="907">
        <f>Water!$D$11</f>
        <v>0</v>
      </c>
    </row>
    <row r="13" spans="1:3">
      <c r="A13" s="906" t="str">
        <f>INPUTS!C76</f>
        <v>Concentrate (commercial)</v>
      </c>
      <c r="B13" s="653">
        <f>Water!$E$10</f>
        <v>0</v>
      </c>
      <c r="C13" s="907">
        <f>Water!$E$11</f>
        <v>0</v>
      </c>
    </row>
    <row r="14" spans="1:3">
      <c r="A14" s="906" t="str">
        <f>INPUTS!C77</f>
        <v>Rice (Oryza sativa) - straw</v>
      </c>
      <c r="B14" s="653">
        <f>Water!$F$10</f>
        <v>1093.4532768165129</v>
      </c>
      <c r="C14" s="907">
        <f>Water!$F$11</f>
        <v>908.97829589804223</v>
      </c>
    </row>
    <row r="15" spans="1:3">
      <c r="A15" s="906" t="str">
        <f>INPUTS!C78</f>
        <v>Naturally occuring pasture - grazing</v>
      </c>
      <c r="B15" s="653">
        <f>Water!$G$10</f>
        <v>0</v>
      </c>
      <c r="C15" s="907">
        <f>Water!$G$11</f>
        <v>0</v>
      </c>
    </row>
    <row r="16" spans="1:3">
      <c r="A16" s="906" t="str">
        <f>INPUTS!C79</f>
        <v>Pennisetum purpureum - forage</v>
      </c>
      <c r="B16" s="653">
        <f>Water!$H$10</f>
        <v>645.48139567974454</v>
      </c>
      <c r="C16" s="907">
        <f>Water!$H$11</f>
        <v>0</v>
      </c>
    </row>
    <row r="17" spans="1:3" ht="16.5" thickBot="1">
      <c r="A17" s="908" t="s">
        <v>132</v>
      </c>
      <c r="B17" s="736">
        <f>SUM(B10:B16)</f>
        <v>2219.9795088090164</v>
      </c>
      <c r="C17" s="909">
        <f>SUM(C10:C16)</f>
        <v>908.97829589804223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1:N60"/>
  <sheetViews>
    <sheetView zoomScale="70" zoomScaleNormal="70" workbookViewId="0">
      <selection activeCell="K2" sqref="K2"/>
    </sheetView>
  </sheetViews>
  <sheetFormatPr defaultColWidth="11" defaultRowHeight="15.75"/>
  <cols>
    <col min="2" max="2" width="27.125" style="10" bestFit="1" customWidth="1"/>
    <col min="3" max="3" width="13.5" customWidth="1"/>
    <col min="4" max="4" width="12.5" style="12" customWidth="1"/>
    <col min="5" max="5" width="14.125" style="12" customWidth="1"/>
    <col min="9" max="9" width="32.5" style="10" customWidth="1"/>
    <col min="11" max="11" width="12.875" bestFit="1" customWidth="1"/>
  </cols>
  <sheetData>
    <row r="1" spans="1:14" ht="16.5" thickBot="1">
      <c r="B1" s="146"/>
      <c r="C1" s="7"/>
      <c r="F1" s="7"/>
      <c r="G1" s="7"/>
    </row>
    <row r="2" spans="1:14" ht="16.5" thickBot="1">
      <c r="B2" s="318" t="s">
        <v>596</v>
      </c>
      <c r="C2" s="319"/>
      <c r="D2" s="319"/>
      <c r="E2" s="319"/>
      <c r="F2" s="319"/>
      <c r="G2" s="335"/>
      <c r="H2" s="12"/>
      <c r="I2" s="334" t="s">
        <v>788</v>
      </c>
      <c r="J2" s="332"/>
      <c r="K2" s="333"/>
      <c r="L2" s="332"/>
      <c r="M2" s="332"/>
      <c r="N2" s="337"/>
    </row>
    <row r="3" spans="1:14" ht="18.75">
      <c r="B3" s="321"/>
      <c r="C3" s="322"/>
      <c r="D3" s="323"/>
      <c r="E3" s="1413" t="s">
        <v>1080</v>
      </c>
      <c r="F3" s="1414"/>
      <c r="G3" s="336"/>
      <c r="H3" s="12"/>
      <c r="I3" s="342"/>
      <c r="J3" s="330"/>
      <c r="K3" s="320"/>
      <c r="L3" s="1413" t="s">
        <v>1080</v>
      </c>
      <c r="M3" s="1414"/>
      <c r="N3" s="338"/>
    </row>
    <row r="4" spans="1:14" ht="18.75" thickBot="1">
      <c r="B4" s="327" t="s">
        <v>374</v>
      </c>
      <c r="C4" s="328" t="s">
        <v>81</v>
      </c>
      <c r="D4" s="325" t="s">
        <v>82</v>
      </c>
      <c r="E4" s="340" t="s">
        <v>1078</v>
      </c>
      <c r="F4" s="299" t="s">
        <v>1079</v>
      </c>
      <c r="G4" s="339" t="s">
        <v>83</v>
      </c>
      <c r="H4" s="12"/>
      <c r="I4" s="327" t="s">
        <v>374</v>
      </c>
      <c r="J4" s="328" t="s">
        <v>81</v>
      </c>
      <c r="K4" s="325" t="s">
        <v>82</v>
      </c>
      <c r="L4" s="324" t="s">
        <v>586</v>
      </c>
      <c r="M4" s="299" t="s">
        <v>899</v>
      </c>
      <c r="N4" s="339" t="s">
        <v>83</v>
      </c>
    </row>
    <row r="5" spans="1:14" ht="18.75">
      <c r="B5" s="329" t="s">
        <v>590</v>
      </c>
      <c r="C5" s="330" t="s">
        <v>1081</v>
      </c>
      <c r="D5" s="326">
        <f>'GHG Ent fermentation'!E22/'Land requirements'!E11</f>
        <v>242.99296424477873</v>
      </c>
      <c r="E5" s="317">
        <f>D5*C26</f>
        <v>6803.8029988538046</v>
      </c>
      <c r="F5" s="296">
        <f>(E5*'Land requirements'!$E$11/'Meat &amp; Milk '!$B$33)</f>
        <v>1.4077847700862385</v>
      </c>
      <c r="G5" s="341" t="e">
        <f ca="1">E5*('Land requirements'!E11)/(E$16*'Land requirements'!E11)*100</f>
        <v>#NAME?</v>
      </c>
      <c r="H5" s="12"/>
      <c r="I5" s="811" t="s">
        <v>590</v>
      </c>
      <c r="J5" s="812" t="s">
        <v>1409</v>
      </c>
      <c r="K5" s="813">
        <f>'GHG Ent fermentation'!F45/'Land requirements'!E11</f>
        <v>178.58658171246066</v>
      </c>
      <c r="L5" s="331">
        <f>K5*C$26</f>
        <v>5000.4242879488984</v>
      </c>
      <c r="M5" s="814">
        <f>(L5*'Land requirements'!$E$11)/'Meat &amp; Milk '!$B$33</f>
        <v>1.0346450592014036</v>
      </c>
      <c r="N5" s="815" t="e">
        <f ca="1">L5*('Land requirements'!$E$11)/(SUM(L$5:L$14)*'Land requirements'!$E$11)*100</f>
        <v>#NAME?</v>
      </c>
    </row>
    <row r="6" spans="1:14" ht="18.75">
      <c r="B6" s="329" t="s">
        <v>587</v>
      </c>
      <c r="C6" s="330" t="s">
        <v>1081</v>
      </c>
      <c r="D6" s="326">
        <f>'GHG Manure'!E23/'Land requirements'!E11</f>
        <v>4.4857144889557663</v>
      </c>
      <c r="E6" s="317">
        <f>D6*C26</f>
        <v>125.60000569076146</v>
      </c>
      <c r="F6" s="296">
        <f>(E6*'Land requirements'!$E$11/'Meat &amp; Milk '!$B$33)</f>
        <v>2.5988079778909864E-2</v>
      </c>
      <c r="G6" s="341" t="e">
        <f ca="1">E6*('Land requirements'!E11)/(E$16*'Land requirements'!E11)*100</f>
        <v>#NAME?</v>
      </c>
      <c r="H6" s="12"/>
      <c r="I6" s="811" t="s">
        <v>587</v>
      </c>
      <c r="J6" s="812" t="s">
        <v>1409</v>
      </c>
      <c r="K6" s="813">
        <f>'GHG Manure'!P46/'Land requirements'!E11</f>
        <v>12.488537066534967</v>
      </c>
      <c r="L6" s="331">
        <f>K6*C$26</f>
        <v>349.67903786297904</v>
      </c>
      <c r="M6" s="814">
        <f>(L6*'Land requirements'!$E$11)/'Meat &amp; Milk '!$B$33</f>
        <v>7.2352598099157367E-2</v>
      </c>
      <c r="N6" s="815" t="e">
        <f ca="1">L6*('Land requirements'!$E$11)/(SUM(L$5:L$14)*'Land requirements'!$E$11)*100</f>
        <v>#NAME?</v>
      </c>
    </row>
    <row r="7" spans="1:14" ht="18.75">
      <c r="B7" s="329" t="s">
        <v>588</v>
      </c>
      <c r="C7" s="330" t="s">
        <v>1082</v>
      </c>
      <c r="D7" s="326">
        <f>'GHG Manure'!I121/'Land requirements'!E11</f>
        <v>1.7331965425170088</v>
      </c>
      <c r="E7" s="317">
        <f>D7*C27</f>
        <v>459.29708376700734</v>
      </c>
      <c r="F7" s="296">
        <f>(E7*'Land requirements'!$E$11/'Meat &amp; Milk '!$B$33)</f>
        <v>9.5033827343493554E-2</v>
      </c>
      <c r="G7" s="341" t="e">
        <f ca="1">E7*('Land requirements'!E11)/(E$16*'Land requirements'!E11)*100</f>
        <v>#NAME?</v>
      </c>
      <c r="H7" s="12"/>
      <c r="I7" s="811" t="s">
        <v>1410</v>
      </c>
      <c r="J7" s="812" t="s">
        <v>1411</v>
      </c>
      <c r="K7" s="813">
        <f>'GHG Manure'!J121/'Land requirements'!E11</f>
        <v>0.75875706802700704</v>
      </c>
      <c r="L7" s="331">
        <f>K7*C27</f>
        <v>201.07062302715687</v>
      </c>
      <c r="M7" s="814">
        <f>(L7*'Land requirements'!$E$11)/'Meat &amp; Milk '!$B$33</f>
        <v>4.1603814933658258E-2</v>
      </c>
      <c r="N7" s="815" t="e">
        <f ca="1">L7*('Land requirements'!$E$11)/(SUM(L$5:L$14)*'Land requirements'!$E$11)*100</f>
        <v>#NAME?</v>
      </c>
    </row>
    <row r="8" spans="1:14" ht="18.75">
      <c r="B8" s="329" t="s">
        <v>589</v>
      </c>
      <c r="C8" s="330" t="s">
        <v>1082</v>
      </c>
      <c r="D8" s="326">
        <f>'GHG Manure'!L144/'Land requirements'!E11</f>
        <v>0.70099032746877565</v>
      </c>
      <c r="E8" s="317">
        <f>D8*C27</f>
        <v>185.76243677922554</v>
      </c>
      <c r="F8" s="296">
        <f>(E8*'Land requirements'!$E$11/'Meat &amp; Milk '!$B$33)</f>
        <v>3.8436375861552283E-2</v>
      </c>
      <c r="G8" s="341" t="e">
        <f ca="1">E8*('Land requirements'!E11)/(E$16*'Land requirements'!E11)*100</f>
        <v>#NAME?</v>
      </c>
      <c r="H8" s="12"/>
      <c r="I8" s="811" t="s">
        <v>1412</v>
      </c>
      <c r="J8" s="812" t="s">
        <v>1411</v>
      </c>
      <c r="K8" s="813">
        <f>'GHG Manure'!M144/'Land requirements'!E11</f>
        <v>0.4552542408162043</v>
      </c>
      <c r="L8" s="331">
        <f>K8*C27</f>
        <v>120.64237381629414</v>
      </c>
      <c r="M8" s="814">
        <f>(L8*'Land requirements'!$E$11)/'Meat &amp; Milk '!$B$33</f>
        <v>2.4962288960194954E-2</v>
      </c>
      <c r="N8" s="815" t="e">
        <f ca="1">L8*('Land requirements'!$E$11)/(SUM(L$5:L$14)*'Land requirements'!$E$11)*100</f>
        <v>#NAME?</v>
      </c>
    </row>
    <row r="9" spans="1:14" ht="18.75">
      <c r="B9" s="329" t="s">
        <v>591</v>
      </c>
      <c r="C9" s="330" t="s">
        <v>1082</v>
      </c>
      <c r="D9" s="326" t="e">
        <f ca="1">'GHG Soil'!B6/'Land requirements'!E11</f>
        <v>#NAME?</v>
      </c>
      <c r="E9" s="317" t="e">
        <f ca="1">D9*C27</f>
        <v>#NAME?</v>
      </c>
      <c r="F9" s="296" t="e">
        <f ca="1">(E9*'Land requirements'!$E$11/'Meat &amp; Milk '!$B$33)</f>
        <v>#NAME?</v>
      </c>
      <c r="G9" s="341" t="e">
        <f ca="1">E9*('Land requirements'!E11)/(E$16*'Land requirements'!E11)*100</f>
        <v>#NAME?</v>
      </c>
      <c r="H9" s="12"/>
      <c r="I9" s="811" t="s">
        <v>1413</v>
      </c>
      <c r="J9" s="812" t="s">
        <v>1411</v>
      </c>
      <c r="K9" s="813" t="e">
        <f ca="1">'GHG Soil'!C6/'Land requirements'!E11</f>
        <v>#NAME?</v>
      </c>
      <c r="L9" s="331" t="e">
        <f ca="1">K9*C27</f>
        <v>#NAME?</v>
      </c>
      <c r="M9" s="814" t="e">
        <f ca="1">(L9*'Land requirements'!$E$11)/'Meat &amp; Milk '!$B$33</f>
        <v>#NAME?</v>
      </c>
      <c r="N9" s="815" t="e">
        <f ca="1">L9*('Land requirements'!$E$11)/(SUM(L$5:L$14)*'Land requirements'!$E$11)*100</f>
        <v>#NAME?</v>
      </c>
    </row>
    <row r="10" spans="1:14" ht="19.5" customHeight="1">
      <c r="B10" s="329" t="s">
        <v>592</v>
      </c>
      <c r="C10" s="330" t="s">
        <v>1082</v>
      </c>
      <c r="D10" s="326" t="e">
        <f ca="1">'GHG Soil'!J49/'Land requirements'!E11</f>
        <v>#NAME?</v>
      </c>
      <c r="E10" s="317" t="e">
        <f ca="1">D10*C$27</f>
        <v>#NAME?</v>
      </c>
      <c r="F10" s="296" t="e">
        <f ca="1">(E10*'Land requirements'!$E$11/'Meat &amp; Milk '!$B$33)</f>
        <v>#NAME?</v>
      </c>
      <c r="G10" s="341" t="e">
        <f ca="1">E10*('Land requirements'!E11)/(E$16*'Land requirements'!E11)*100</f>
        <v>#NAME?</v>
      </c>
      <c r="H10" s="12"/>
      <c r="I10" s="811" t="s">
        <v>1414</v>
      </c>
      <c r="J10" s="812" t="s">
        <v>1411</v>
      </c>
      <c r="K10" s="813" t="e">
        <f ca="1">'GHG Soil'!J59/'Land requirements'!E11</f>
        <v>#NAME?</v>
      </c>
      <c r="L10" s="331" t="e">
        <f ca="1">K10*C$27</f>
        <v>#NAME?</v>
      </c>
      <c r="M10" s="814" t="e">
        <f ca="1">(L10*'Land requirements'!$E$11)/'Meat &amp; Milk '!$B$33</f>
        <v>#NAME?</v>
      </c>
      <c r="N10" s="815" t="e">
        <f ca="1">L10*('Land requirements'!$E$11)/(SUM(L$5:L$14)*'Land requirements'!$E$11)*100</f>
        <v>#NAME?</v>
      </c>
    </row>
    <row r="11" spans="1:14" ht="18.75">
      <c r="B11" s="329" t="s">
        <v>952</v>
      </c>
      <c r="C11" s="330" t="s">
        <v>1082</v>
      </c>
      <c r="D11" s="326">
        <f>'GHG Soil'!B68/'Land requirements'!E11</f>
        <v>0</v>
      </c>
      <c r="E11" s="317">
        <f>D11*C$27</f>
        <v>0</v>
      </c>
      <c r="F11" s="296">
        <f>(E11*'Land requirements'!$E$11/'Meat &amp; Milk '!$B$33)</f>
        <v>0</v>
      </c>
      <c r="G11" s="341" t="e">
        <f ca="1">E11*('Land requirements'!E11)/(E$16*'Land requirements'!E11)*100</f>
        <v>#NAME?</v>
      </c>
      <c r="H11" s="12"/>
      <c r="I11" s="811" t="s">
        <v>1415</v>
      </c>
      <c r="J11" s="812" t="s">
        <v>1411</v>
      </c>
      <c r="K11" s="813">
        <f>'GHG Soil'!C68/'Land requirements'!E11</f>
        <v>0</v>
      </c>
      <c r="L11" s="331">
        <f>K11*C$27</f>
        <v>0</v>
      </c>
      <c r="M11" s="814">
        <f>(L11*'Land requirements'!$E$11)/'Meat &amp; Milk '!$B$33</f>
        <v>0</v>
      </c>
      <c r="N11" s="815" t="e">
        <f ca="1">L11*('Land requirements'!$E$11)/(SUM(L$5:L$14)*'Land requirements'!$E$11)*100</f>
        <v>#NAME?</v>
      </c>
    </row>
    <row r="12" spans="1:14" ht="18.75">
      <c r="B12" s="329" t="s">
        <v>953</v>
      </c>
      <c r="C12" s="330" t="s">
        <v>1082</v>
      </c>
      <c r="D12" s="326">
        <f>('GHG Soil'!K74+'GHG Soil'!K75)/'Land requirements'!E11</f>
        <v>0</v>
      </c>
      <c r="E12" s="317">
        <f>D12*C$27</f>
        <v>0</v>
      </c>
      <c r="F12" s="296">
        <f>(E12*'Land requirements'!$E$11/'Meat &amp; Milk '!$B$33)</f>
        <v>0</v>
      </c>
      <c r="G12" s="341" t="e">
        <f ca="1">E12*('Land requirements'!E11)/(E$16*'Land requirements'!E11)*100</f>
        <v>#NAME?</v>
      </c>
      <c r="H12" s="12"/>
      <c r="I12" s="811" t="s">
        <v>1416</v>
      </c>
      <c r="J12" s="812" t="s">
        <v>1411</v>
      </c>
      <c r="K12" s="813">
        <f>('GHG Soil'!K77+'GHG Soil'!K78)/'Land requirements'!E11</f>
        <v>0</v>
      </c>
      <c r="L12" s="331">
        <f>K12*C$27</f>
        <v>0</v>
      </c>
      <c r="M12" s="814">
        <f>(L12*'Land requirements'!$E$11)/'Meat &amp; Milk '!$B$33</f>
        <v>0</v>
      </c>
      <c r="N12" s="815" t="e">
        <f ca="1">L12*('Land requirements'!$E$11)/(SUM(L$5:L$14)*'Land requirements'!$E$11)*100</f>
        <v>#NAME?</v>
      </c>
    </row>
    <row r="13" spans="1:14" ht="18.75">
      <c r="B13" s="329" t="s">
        <v>890</v>
      </c>
      <c r="C13" s="330" t="s">
        <v>1082</v>
      </c>
      <c r="D13" s="326">
        <f>'GHG Burning'!O11*1000/'Land requirements'!E11</f>
        <v>0</v>
      </c>
      <c r="E13" s="317">
        <f>D13</f>
        <v>0</v>
      </c>
      <c r="F13" s="296">
        <f>(E13*'Land requirements'!$E$11/'Meat &amp; Milk '!$B$33)</f>
        <v>0</v>
      </c>
      <c r="G13" s="341" t="e">
        <f ca="1">E13*('Land requirements'!E11)/(E$16*'Land requirements'!E11)*100</f>
        <v>#NAME?</v>
      </c>
      <c r="H13" s="12"/>
      <c r="I13" s="811" t="s">
        <v>890</v>
      </c>
      <c r="J13" s="812" t="s">
        <v>1411</v>
      </c>
      <c r="K13" s="813">
        <f>'GHG Burning'!O11/'Land requirements'!E11*1000</f>
        <v>0</v>
      </c>
      <c r="L13" s="331">
        <f>K13</f>
        <v>0</v>
      </c>
      <c r="M13" s="814">
        <f>(L13*'Land requirements'!$E$11)/'Meat &amp; Milk '!$B$33</f>
        <v>0</v>
      </c>
      <c r="N13" s="815" t="e">
        <f ca="1">L13*('Land requirements'!$E$11)/(SUM(L$5:L$14)*'Land requirements'!$E$11)*100</f>
        <v>#NAME?</v>
      </c>
    </row>
    <row r="14" spans="1:14" ht="18.75">
      <c r="B14" s="329" t="s">
        <v>593</v>
      </c>
      <c r="C14" s="330" t="s">
        <v>1081</v>
      </c>
      <c r="D14" s="326">
        <f>'GHG Rice'!M13/'Land requirements'!E11</f>
        <v>0</v>
      </c>
      <c r="E14" s="317">
        <f>D14*C26</f>
        <v>0</v>
      </c>
      <c r="F14" s="296">
        <f>(E14*'Land requirements'!$E$11/'Meat &amp; Milk '!$B$33)</f>
        <v>0</v>
      </c>
      <c r="G14" s="341" t="e">
        <f ca="1">E14*('Land requirements'!E11)/(E$16*'Land requirements'!E11)*100</f>
        <v>#NAME?</v>
      </c>
      <c r="H14" s="12"/>
      <c r="I14" s="811" t="s">
        <v>593</v>
      </c>
      <c r="J14" s="812" t="s">
        <v>1409</v>
      </c>
      <c r="K14" s="813">
        <f>'GHG Rice'!M13/'Land requirements'!E11</f>
        <v>0</v>
      </c>
      <c r="L14" s="331">
        <f>K14*C26</f>
        <v>0</v>
      </c>
      <c r="M14" s="814">
        <f>(L14*'Land requirements'!$E$11)/'Meat &amp; Milk '!$B$33</f>
        <v>0</v>
      </c>
      <c r="N14" s="815" t="e">
        <f ca="1">L14*('Land requirements'!$E$11)/(SUM(L$5:L$14)*'Land requirements'!$E$11)*100</f>
        <v>#NAME?</v>
      </c>
    </row>
    <row r="15" spans="1:14">
      <c r="B15" s="1250" t="s">
        <v>1044</v>
      </c>
      <c r="C15" s="1251" t="s">
        <v>1083</v>
      </c>
      <c r="D15" s="1252" t="s">
        <v>636</v>
      </c>
      <c r="E15" s="1253">
        <f>'GHG Off-farm'!E10</f>
        <v>19.845766434097573</v>
      </c>
      <c r="F15" s="1254">
        <f>(E15*'Land requirements'!E11)/'Meat &amp; Milk '!$B$33</f>
        <v>4.1063163853094923E-3</v>
      </c>
      <c r="G15" s="341" t="e">
        <f ca="1">E15*('Land requirements'!E11)/(E$16*'Land requirements'!E11)*100</f>
        <v>#NAME?</v>
      </c>
      <c r="H15" s="12"/>
      <c r="I15" s="1255" t="s">
        <v>1044</v>
      </c>
      <c r="J15" s="1256" t="s">
        <v>1083</v>
      </c>
      <c r="K15" s="1257" t="s">
        <v>636</v>
      </c>
      <c r="L15" s="1258">
        <f>'GHG Off-farm'!E10</f>
        <v>19.845766434097573</v>
      </c>
      <c r="M15" s="1257">
        <f>(L15*'Land requirements'!E11)/'Meat &amp; Milk '!$B$33</f>
        <v>4.1063163853094923E-3</v>
      </c>
      <c r="N15" s="815" t="e">
        <f ca="1">L15*('Land requirements'!E11)/(L$16*'Land requirements'!E11)*100</f>
        <v>#NAME?</v>
      </c>
    </row>
    <row r="16" spans="1:14" ht="16.5" thickBot="1">
      <c r="A16" s="12"/>
      <c r="B16" s="816" t="s">
        <v>1800</v>
      </c>
      <c r="C16" s="817"/>
      <c r="D16" s="818"/>
      <c r="E16" s="819" t="e">
        <f ca="1">SUM(E5:E14)+E15</f>
        <v>#NAME?</v>
      </c>
      <c r="F16" s="819" t="e">
        <f ca="1">(E16*'Land requirements'!E11)/'Meat &amp; Milk '!$B$33</f>
        <v>#NAME?</v>
      </c>
      <c r="G16" s="820" t="e">
        <f ca="1">E16*('Land requirements'!E11)/(E$16*'Land requirements'!E11)*100</f>
        <v>#NAME?</v>
      </c>
      <c r="H16" s="12"/>
      <c r="I16" s="816" t="s">
        <v>1800</v>
      </c>
      <c r="J16" s="821"/>
      <c r="K16" s="822"/>
      <c r="L16" s="819" t="e">
        <f ca="1">SUM(L5:L14)+L15</f>
        <v>#NAME?</v>
      </c>
      <c r="M16" s="823" t="e">
        <f ca="1">(L16*'Land requirements'!E11)/'Meat &amp; Milk '!$B$33</f>
        <v>#NAME?</v>
      </c>
      <c r="N16" s="824" t="e">
        <f ca="1">L16*('Land requirements'!E11)/(L$16*'Land requirements'!E11)*100</f>
        <v>#NAME?</v>
      </c>
    </row>
    <row r="17" spans="2:14">
      <c r="D17"/>
      <c r="E17"/>
      <c r="M17" s="145"/>
      <c r="N17" s="145"/>
    </row>
    <row r="18" spans="2:14">
      <c r="D18"/>
      <c r="E18"/>
      <c r="M18" s="145"/>
      <c r="N18" s="145"/>
    </row>
    <row r="19" spans="2:14">
      <c r="D19"/>
      <c r="E19"/>
      <c r="M19" s="145"/>
      <c r="N19" s="145"/>
    </row>
    <row r="20" spans="2:14">
      <c r="D20"/>
      <c r="E20"/>
      <c r="M20" s="145"/>
      <c r="N20" s="145"/>
    </row>
    <row r="21" spans="2:14" ht="47.25">
      <c r="B21" s="10" t="s">
        <v>85</v>
      </c>
      <c r="C21" s="7"/>
    </row>
    <row r="22" spans="2:14" ht="31.5">
      <c r="B22" s="10" t="s">
        <v>86</v>
      </c>
      <c r="C22" s="7"/>
    </row>
    <row r="23" spans="2:14">
      <c r="F23" t="s">
        <v>44</v>
      </c>
    </row>
    <row r="25" spans="2:14">
      <c r="B25" s="10" t="s">
        <v>88</v>
      </c>
    </row>
    <row r="26" spans="2:14">
      <c r="B26" s="10" t="s">
        <v>84</v>
      </c>
      <c r="C26">
        <v>28</v>
      </c>
      <c r="F26" s="7"/>
      <c r="G26" s="7"/>
    </row>
    <row r="27" spans="2:14">
      <c r="B27" s="10" t="s">
        <v>87</v>
      </c>
      <c r="C27">
        <v>265</v>
      </c>
      <c r="F27" s="7"/>
      <c r="G27" s="7"/>
    </row>
    <row r="28" spans="2:14">
      <c r="B28" s="24"/>
      <c r="C28" s="27" t="s">
        <v>97</v>
      </c>
      <c r="D28" s="27" t="s">
        <v>483</v>
      </c>
    </row>
    <row r="29" spans="2:14" s="30" customFormat="1">
      <c r="B29" s="24" t="s">
        <v>594</v>
      </c>
      <c r="C29" s="147" t="s">
        <v>1074</v>
      </c>
      <c r="D29" s="147" t="s">
        <v>1074</v>
      </c>
    </row>
    <row r="30" spans="2:14" s="30" customFormat="1">
      <c r="B30" s="24" t="s">
        <v>597</v>
      </c>
      <c r="C30" s="45" t="e">
        <f ca="1">(E9+E10)/1000</f>
        <v>#NAME?</v>
      </c>
      <c r="D30" s="45" t="e">
        <f ca="1">(L9+L10)/1000</f>
        <v>#NAME?</v>
      </c>
    </row>
    <row r="31" spans="2:14" s="30" customFormat="1">
      <c r="B31" s="24" t="s">
        <v>954</v>
      </c>
      <c r="C31" s="45">
        <f>(E11+E12)/1000</f>
        <v>0</v>
      </c>
      <c r="D31" s="45">
        <f>(L11+L12)/1000</f>
        <v>0</v>
      </c>
    </row>
    <row r="32" spans="2:14" s="30" customFormat="1">
      <c r="B32" s="24" t="s">
        <v>1084</v>
      </c>
      <c r="C32" s="45">
        <f>(E6+E7+E8)/1000</f>
        <v>0.77065952623699419</v>
      </c>
      <c r="D32" s="45">
        <f>(L6+L7+L8)/1000</f>
        <v>0.67139203470643005</v>
      </c>
    </row>
    <row r="33" spans="2:5" s="30" customFormat="1">
      <c r="B33" s="24" t="s">
        <v>1085</v>
      </c>
      <c r="C33" s="45">
        <f>E5/1000</f>
        <v>6.8038029988538042</v>
      </c>
      <c r="D33" s="45">
        <f>L5/1000</f>
        <v>5.0004242879488983</v>
      </c>
    </row>
    <row r="34" spans="2:5" s="30" customFormat="1">
      <c r="B34" s="24" t="s">
        <v>890</v>
      </c>
      <c r="C34" s="45">
        <f>D13/1000</f>
        <v>0</v>
      </c>
      <c r="D34" s="45">
        <f>K13/1000</f>
        <v>0</v>
      </c>
    </row>
    <row r="35" spans="2:5" s="30" customFormat="1">
      <c r="B35" s="24" t="s">
        <v>642</v>
      </c>
      <c r="C35" s="45">
        <f>E14/1000</f>
        <v>0</v>
      </c>
      <c r="D35" s="45">
        <f>L14/1000</f>
        <v>0</v>
      </c>
    </row>
    <row r="36" spans="2:5" s="30" customFormat="1">
      <c r="B36" s="81" t="s">
        <v>1044</v>
      </c>
      <c r="C36" s="45">
        <f>E15/1000</f>
        <v>1.9845766434097575E-2</v>
      </c>
      <c r="D36" s="45">
        <f>L15/1000</f>
        <v>1.9845766434097575E-2</v>
      </c>
    </row>
    <row r="37" spans="2:5" s="30" customFormat="1">
      <c r="B37" s="31" t="s">
        <v>640</v>
      </c>
      <c r="C37" s="47" t="e">
        <f ca="1">SUM(C30:C35)</f>
        <v>#NAME?</v>
      </c>
      <c r="D37" s="47" t="e">
        <f ca="1">SUM(D30:D35)</f>
        <v>#NAME?</v>
      </c>
    </row>
    <row r="38" spans="2:5">
      <c r="D38"/>
      <c r="E38"/>
    </row>
    <row r="39" spans="2:5">
      <c r="D39"/>
      <c r="E39"/>
    </row>
    <row r="40" spans="2:5">
      <c r="D40"/>
      <c r="E40"/>
    </row>
    <row r="41" spans="2:5">
      <c r="B41" s="173" t="s">
        <v>906</v>
      </c>
      <c r="C41" s="37"/>
      <c r="D41" s="37" t="s">
        <v>406</v>
      </c>
      <c r="E41"/>
    </row>
    <row r="42" spans="2:5">
      <c r="B42" s="69" t="s">
        <v>907</v>
      </c>
      <c r="C42" s="147" t="s">
        <v>1075</v>
      </c>
      <c r="D42" s="69" t="e">
        <f ca="1">D37*'Land requirements'!E11</f>
        <v>#NAME?</v>
      </c>
      <c r="E42"/>
    </row>
    <row r="43" spans="2:5">
      <c r="B43" s="47" t="s">
        <v>907</v>
      </c>
      <c r="C43" s="221" t="s">
        <v>1076</v>
      </c>
      <c r="D43" s="69" t="e">
        <f ca="1">D37</f>
        <v>#NAME?</v>
      </c>
      <c r="E43"/>
    </row>
    <row r="44" spans="2:5" ht="31.5">
      <c r="B44" s="47" t="s">
        <v>908</v>
      </c>
      <c r="C44" s="221" t="s">
        <v>1077</v>
      </c>
      <c r="D44" s="69" t="e">
        <f ca="1">D42*1000/'Meat &amp; Milk '!B33</f>
        <v>#NAME?</v>
      </c>
      <c r="E44"/>
    </row>
    <row r="45" spans="2:5">
      <c r="D45"/>
      <c r="E45"/>
    </row>
    <row r="46" spans="2:5">
      <c r="D46"/>
      <c r="E46"/>
    </row>
    <row r="47" spans="2:5">
      <c r="D47"/>
      <c r="E47"/>
    </row>
    <row r="48" spans="2:5">
      <c r="D48"/>
      <c r="E48"/>
    </row>
    <row r="49" spans="4:5">
      <c r="D49"/>
      <c r="E49"/>
    </row>
    <row r="50" spans="4:5">
      <c r="D50"/>
      <c r="E50"/>
    </row>
    <row r="51" spans="4:5">
      <c r="D51"/>
      <c r="E51"/>
    </row>
    <row r="52" spans="4:5">
      <c r="D52"/>
      <c r="E52"/>
    </row>
    <row r="53" spans="4:5">
      <c r="D53"/>
      <c r="E53"/>
    </row>
    <row r="54" spans="4:5">
      <c r="D54"/>
      <c r="E54"/>
    </row>
    <row r="55" spans="4:5">
      <c r="D55"/>
      <c r="E55"/>
    </row>
    <row r="56" spans="4:5">
      <c r="D56"/>
      <c r="E56"/>
    </row>
    <row r="57" spans="4:5">
      <c r="D57"/>
      <c r="E57"/>
    </row>
    <row r="58" spans="4:5">
      <c r="D58"/>
      <c r="E58"/>
    </row>
    <row r="59" spans="4:5">
      <c r="D59"/>
      <c r="E59"/>
    </row>
    <row r="60" spans="4:5">
      <c r="D60"/>
      <c r="E60"/>
    </row>
  </sheetData>
  <mergeCells count="2">
    <mergeCell ref="E3:F3"/>
    <mergeCell ref="L3:M3"/>
  </mergeCells>
  <pageMargins left="0.75" right="0.75" top="1" bottom="1" header="0.5" footer="0.5"/>
  <pageSetup paperSize="9" scale="15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1">
    <tabColor rgb="FFFF0000"/>
  </sheetPr>
  <dimension ref="B1:K81"/>
  <sheetViews>
    <sheetView workbookViewId="0">
      <selection activeCell="C6" sqref="C6"/>
    </sheetView>
  </sheetViews>
  <sheetFormatPr defaultColWidth="9" defaultRowHeight="15.75"/>
  <cols>
    <col min="3" max="3" width="36.75" customWidth="1"/>
    <col min="4" max="4" width="16.75" customWidth="1"/>
    <col min="6" max="6" width="35.5" customWidth="1"/>
    <col min="7" max="7" width="15.875" customWidth="1"/>
    <col min="9" max="9" width="34.75" customWidth="1"/>
    <col min="10" max="10" width="14.375" customWidth="1"/>
    <col min="11" max="11" width="20.125" bestFit="1" customWidth="1"/>
  </cols>
  <sheetData>
    <row r="1" spans="2:11">
      <c r="B1" s="72"/>
      <c r="C1" s="72"/>
      <c r="D1" s="72"/>
      <c r="E1" s="72"/>
      <c r="F1" s="72"/>
      <c r="G1" s="72"/>
      <c r="H1" s="72"/>
      <c r="I1" s="72"/>
      <c r="J1" s="72"/>
      <c r="K1" s="72"/>
    </row>
    <row r="2" spans="2:11" ht="16.5" thickBot="1">
      <c r="B2" s="411"/>
      <c r="C2" s="72"/>
      <c r="D2" s="72"/>
      <c r="E2" s="72"/>
      <c r="F2" s="72"/>
      <c r="G2" s="72"/>
      <c r="H2" s="72"/>
      <c r="I2" s="72"/>
      <c r="J2" s="72"/>
      <c r="K2" s="72"/>
    </row>
    <row r="3" spans="2:11">
      <c r="B3" s="411"/>
      <c r="C3" s="756" t="s">
        <v>1099</v>
      </c>
      <c r="D3" s="757"/>
      <c r="E3" s="810"/>
      <c r="F3" s="756" t="s">
        <v>1100</v>
      </c>
      <c r="G3" s="757"/>
      <c r="H3" s="72"/>
      <c r="I3" s="756" t="s">
        <v>1098</v>
      </c>
      <c r="J3" s="913" t="s">
        <v>1101</v>
      </c>
      <c r="K3" s="757" t="s">
        <v>1111</v>
      </c>
    </row>
    <row r="4" spans="2:11">
      <c r="B4" s="411"/>
      <c r="C4" s="838"/>
      <c r="D4" s="839"/>
      <c r="E4" s="469"/>
      <c r="F4" s="838"/>
      <c r="G4" s="839"/>
      <c r="H4" s="72"/>
      <c r="I4" s="838"/>
      <c r="J4" s="911"/>
      <c r="K4" s="839"/>
    </row>
    <row r="5" spans="2:11">
      <c r="B5" s="411"/>
      <c r="C5" s="371" t="s">
        <v>1116</v>
      </c>
      <c r="D5" s="629"/>
      <c r="E5" s="887"/>
      <c r="F5" s="371"/>
      <c r="G5" s="629"/>
      <c r="H5" s="72"/>
      <c r="I5" s="1022" t="s">
        <v>1116</v>
      </c>
      <c r="J5" s="1023"/>
      <c r="K5" s="1024"/>
    </row>
    <row r="6" spans="2:11">
      <c r="B6" s="411"/>
      <c r="C6" s="381" t="s">
        <v>1117</v>
      </c>
      <c r="D6" s="656">
        <f>'Land requirements'!$E$11</f>
        <v>2.4856686771867236</v>
      </c>
      <c r="E6" s="810"/>
      <c r="F6" s="381"/>
      <c r="G6" s="656"/>
      <c r="H6" s="72"/>
      <c r="I6" s="381" t="s">
        <v>1588</v>
      </c>
      <c r="J6" s="912">
        <f>IFERROR(D6/D9,0)*1000</f>
        <v>0.20691145383301063</v>
      </c>
      <c r="K6" s="1025">
        <f>IFERROR(D6/D10,0)*1000</f>
        <v>0.23620624884829927</v>
      </c>
    </row>
    <row r="7" spans="2:11">
      <c r="B7" s="411"/>
      <c r="C7" s="888"/>
      <c r="D7" s="886"/>
      <c r="E7" s="72"/>
      <c r="F7" s="877"/>
      <c r="G7" s="885"/>
      <c r="H7" s="72"/>
      <c r="I7" s="888"/>
      <c r="J7" s="1026"/>
      <c r="K7" s="1027"/>
    </row>
    <row r="8" spans="2:11">
      <c r="B8" s="411"/>
      <c r="C8" s="733" t="s">
        <v>1114</v>
      </c>
      <c r="D8" s="886"/>
      <c r="E8" s="72"/>
      <c r="F8" s="733" t="s">
        <v>1114</v>
      </c>
      <c r="G8" s="835"/>
      <c r="H8" s="72"/>
      <c r="I8" s="733" t="s">
        <v>1114</v>
      </c>
      <c r="J8" s="1026"/>
      <c r="K8" s="1027"/>
    </row>
    <row r="9" spans="2:11">
      <c r="B9" s="411"/>
      <c r="C9" s="888" t="s">
        <v>1091</v>
      </c>
      <c r="D9" s="892">
        <f>Productivity!$B$14</f>
        <v>12013.2</v>
      </c>
      <c r="E9" s="72"/>
      <c r="F9" s="888" t="s">
        <v>1118</v>
      </c>
      <c r="G9" s="892">
        <f>D9/D6</f>
        <v>4832.9852285850602</v>
      </c>
      <c r="H9" s="72"/>
      <c r="I9" s="1028" t="s">
        <v>1589</v>
      </c>
      <c r="J9" s="1026"/>
      <c r="K9" s="1027"/>
    </row>
    <row r="10" spans="2:11">
      <c r="B10" s="411"/>
      <c r="C10" s="888" t="s">
        <v>1115</v>
      </c>
      <c r="D10" s="892">
        <f>D9*(1-INPUTS!D53/100)</f>
        <v>10523.297708280003</v>
      </c>
      <c r="E10" s="72"/>
      <c r="F10" s="888" t="s">
        <v>1432</v>
      </c>
      <c r="G10" s="892">
        <f>D10/D6</f>
        <v>4233.5882512669614</v>
      </c>
      <c r="H10" s="72"/>
      <c r="I10" s="1028" t="s">
        <v>1589</v>
      </c>
      <c r="J10" s="1026"/>
      <c r="K10" s="1027"/>
    </row>
    <row r="11" spans="2:11">
      <c r="B11" s="411"/>
      <c r="C11" s="888" t="s">
        <v>1442</v>
      </c>
      <c r="D11" s="892">
        <f>Productivity!$B$15</f>
        <v>55.5</v>
      </c>
      <c r="E11" s="72"/>
      <c r="F11" s="888" t="s">
        <v>1444</v>
      </c>
      <c r="G11" s="892">
        <f>D11/D6</f>
        <v>22.327995886730498</v>
      </c>
      <c r="H11" s="72"/>
      <c r="I11" s="1028" t="s">
        <v>1589</v>
      </c>
      <c r="J11" s="1026"/>
      <c r="K11" s="1027"/>
    </row>
    <row r="12" spans="2:11">
      <c r="B12" s="411"/>
      <c r="C12" s="888" t="s">
        <v>1443</v>
      </c>
      <c r="D12" s="892">
        <f>D11*(1-INPUTS!E53/100)</f>
        <v>48.616773450000004</v>
      </c>
      <c r="E12" s="72"/>
      <c r="F12" s="888" t="s">
        <v>1445</v>
      </c>
      <c r="G12" s="892">
        <f>D12/D6</f>
        <v>19.55883094806682</v>
      </c>
      <c r="H12" s="72"/>
      <c r="I12" s="1028" t="s">
        <v>1589</v>
      </c>
      <c r="J12" s="1026"/>
      <c r="K12" s="1027"/>
    </row>
    <row r="13" spans="2:11">
      <c r="B13" s="411"/>
      <c r="C13" s="888" t="s">
        <v>1429</v>
      </c>
      <c r="D13" s="892">
        <f>Productivity!D17</f>
        <v>406.78590000000003</v>
      </c>
      <c r="E13" s="72"/>
      <c r="F13" s="888" t="s">
        <v>1433</v>
      </c>
      <c r="G13" s="892">
        <f>D13/D6</f>
        <v>163.65250273837773</v>
      </c>
      <c r="H13" s="72"/>
      <c r="I13" s="1028" t="s">
        <v>1589</v>
      </c>
      <c r="J13" s="1026"/>
      <c r="K13" s="1027"/>
    </row>
    <row r="14" spans="2:11">
      <c r="B14" s="411"/>
      <c r="C14" s="888"/>
      <c r="D14" s="892"/>
      <c r="E14" s="833"/>
      <c r="F14" s="834"/>
      <c r="G14" s="892"/>
      <c r="H14" s="72"/>
      <c r="I14" s="888"/>
      <c r="J14" s="1026"/>
      <c r="K14" s="1027"/>
    </row>
    <row r="15" spans="2:11">
      <c r="B15" s="411"/>
      <c r="C15" s="733" t="s">
        <v>828</v>
      </c>
      <c r="D15" s="886"/>
      <c r="E15" s="833"/>
      <c r="F15" s="733" t="s">
        <v>828</v>
      </c>
      <c r="G15" s="892"/>
      <c r="H15" s="72"/>
      <c r="I15" s="733" t="s">
        <v>828</v>
      </c>
      <c r="J15" s="72"/>
      <c r="K15" s="890"/>
    </row>
    <row r="16" spans="2:11">
      <c r="B16" s="411"/>
      <c r="C16" s="834" t="s">
        <v>1057</v>
      </c>
      <c r="D16" s="894" t="e">
        <f ca="1">'Soil impacts'!$B$2</f>
        <v>#NAME?</v>
      </c>
      <c r="E16" s="72"/>
      <c r="F16" s="834" t="s">
        <v>1060</v>
      </c>
      <c r="G16" s="895" t="e">
        <f ca="1">D16/D6</f>
        <v>#NAME?</v>
      </c>
      <c r="H16" s="72"/>
      <c r="I16" s="834" t="s">
        <v>1090</v>
      </c>
      <c r="J16" s="891">
        <f ca="1">IFERROR(D16/D9,0)</f>
        <v>0</v>
      </c>
      <c r="K16" s="889">
        <f ca="1">IFERROR(D16/D10,0)</f>
        <v>0</v>
      </c>
    </row>
    <row r="17" spans="2:11">
      <c r="B17" s="411"/>
      <c r="C17" s="834" t="s">
        <v>1352</v>
      </c>
      <c r="D17" s="1151">
        <f ca="1">'Soil impacts'!$C$2</f>
        <v>0</v>
      </c>
      <c r="E17" s="72"/>
      <c r="F17" s="1028" t="s">
        <v>1589</v>
      </c>
      <c r="G17" s="895"/>
      <c r="H17" s="72"/>
      <c r="I17" s="1028" t="s">
        <v>1589</v>
      </c>
      <c r="J17" s="891"/>
      <c r="K17" s="889"/>
    </row>
    <row r="18" spans="2:11">
      <c r="B18" s="411"/>
      <c r="C18" s="834" t="s">
        <v>1353</v>
      </c>
      <c r="D18" s="1151">
        <f ca="1">'Soil impacts'!$D$2</f>
        <v>0</v>
      </c>
      <c r="E18" s="72"/>
      <c r="F18" s="1028" t="s">
        <v>1589</v>
      </c>
      <c r="G18" s="895"/>
      <c r="H18" s="72"/>
      <c r="I18" s="1028" t="s">
        <v>1589</v>
      </c>
      <c r="J18" s="891"/>
      <c r="K18" s="889"/>
    </row>
    <row r="19" spans="2:11">
      <c r="B19" s="411"/>
      <c r="C19" s="834"/>
      <c r="D19" s="835"/>
      <c r="E19" s="72"/>
      <c r="F19" s="834"/>
      <c r="G19" s="895"/>
      <c r="H19" s="72"/>
      <c r="I19" s="834"/>
      <c r="J19" s="72"/>
      <c r="K19" s="889"/>
    </row>
    <row r="20" spans="2:11">
      <c r="B20" s="411"/>
      <c r="C20" s="733" t="s">
        <v>1058</v>
      </c>
      <c r="D20" s="886"/>
      <c r="E20" s="72"/>
      <c r="F20" s="896" t="s">
        <v>1058</v>
      </c>
      <c r="G20" s="892"/>
      <c r="H20" s="72"/>
      <c r="I20" s="733" t="s">
        <v>1058</v>
      </c>
      <c r="J20" s="833"/>
      <c r="K20" s="889"/>
    </row>
    <row r="21" spans="2:11">
      <c r="B21" s="411"/>
      <c r="C21" s="834" t="s">
        <v>1059</v>
      </c>
      <c r="D21" s="898">
        <f>'Soil impacts'!$B$3</f>
        <v>5.14598988896359</v>
      </c>
      <c r="E21" s="72"/>
      <c r="F21" s="897" t="s">
        <v>1061</v>
      </c>
      <c r="G21" s="898">
        <f>D21/D6</f>
        <v>2.0702638031339777</v>
      </c>
      <c r="H21" s="72"/>
      <c r="I21" s="893" t="s">
        <v>1094</v>
      </c>
      <c r="J21" s="833">
        <f>IFERROR(D21/D9,0)*1000</f>
        <v>0.42836129332430906</v>
      </c>
      <c r="K21" s="840">
        <f>IFERROR(D21/D10,0)*1000</f>
        <v>0.48900924706469073</v>
      </c>
    </row>
    <row r="22" spans="2:11">
      <c r="B22" s="411"/>
      <c r="C22" s="834"/>
      <c r="D22" s="898"/>
      <c r="E22" s="72"/>
      <c r="F22" s="834"/>
      <c r="G22" s="892"/>
      <c r="H22" s="72"/>
      <c r="I22" s="893"/>
      <c r="J22" s="833"/>
      <c r="K22" s="840"/>
    </row>
    <row r="23" spans="2:11">
      <c r="B23" s="411"/>
      <c r="C23" s="733" t="s">
        <v>957</v>
      </c>
      <c r="D23" s="886"/>
      <c r="E23" s="72"/>
      <c r="F23" s="733" t="s">
        <v>974</v>
      </c>
      <c r="G23" s="892"/>
      <c r="H23" s="72"/>
      <c r="I23" s="733" t="s">
        <v>957</v>
      </c>
      <c r="J23" s="72"/>
      <c r="K23" s="889"/>
    </row>
    <row r="24" spans="2:11">
      <c r="B24" s="411"/>
      <c r="C24" s="834" t="s">
        <v>961</v>
      </c>
      <c r="D24" s="899" t="e">
        <f ca="1">'GHG emissions'!$D$42</f>
        <v>#NAME?</v>
      </c>
      <c r="E24" s="370"/>
      <c r="F24" s="834" t="s">
        <v>1119</v>
      </c>
      <c r="G24" s="899" t="e">
        <f ca="1">D24/D6</f>
        <v>#NAME?</v>
      </c>
      <c r="H24" s="72"/>
      <c r="I24" s="834" t="s">
        <v>1103</v>
      </c>
      <c r="J24" s="833">
        <f ca="1">IFERROR(D24/D9,0)*1000</f>
        <v>0</v>
      </c>
      <c r="K24" s="840">
        <f ca="1">IFERROR(D24/D10,0)*1000</f>
        <v>0</v>
      </c>
    </row>
    <row r="25" spans="2:11">
      <c r="B25" s="411"/>
      <c r="C25" s="834"/>
      <c r="D25" s="899"/>
      <c r="E25" s="370"/>
      <c r="F25" s="834"/>
      <c r="G25" s="899"/>
      <c r="H25" s="72"/>
      <c r="I25" s="834" t="s">
        <v>1463</v>
      </c>
      <c r="J25" s="833">
        <f ca="1">IFERROR(D24/D11*1000,0)</f>
        <v>0</v>
      </c>
      <c r="K25" s="840">
        <f ca="1">IFERROR(D24/D12*1000,0)</f>
        <v>0</v>
      </c>
    </row>
    <row r="26" spans="2:11">
      <c r="B26" s="411"/>
      <c r="C26" s="733" t="s">
        <v>1473</v>
      </c>
      <c r="D26" s="899"/>
      <c r="E26" s="370"/>
      <c r="F26" s="733" t="s">
        <v>1473</v>
      </c>
      <c r="G26" s="899"/>
      <c r="H26" s="72"/>
      <c r="I26" s="834" t="s">
        <v>1462</v>
      </c>
      <c r="J26" s="833">
        <f ca="1">IFERROR(D24/D13*1000,0)</f>
        <v>0</v>
      </c>
      <c r="K26" s="840"/>
    </row>
    <row r="27" spans="2:11">
      <c r="B27" s="411"/>
      <c r="C27" s="297" t="s">
        <v>1590</v>
      </c>
      <c r="D27" s="1030">
        <f>Water!B14*100</f>
        <v>41.959974170121619</v>
      </c>
      <c r="E27" s="370"/>
      <c r="F27" s="834" t="s">
        <v>1475</v>
      </c>
      <c r="G27" s="899">
        <f>D28/D6</f>
        <v>1258.7992251036485</v>
      </c>
      <c r="H27" s="72"/>
      <c r="I27" s="834"/>
      <c r="J27" s="833"/>
      <c r="K27" s="840"/>
    </row>
    <row r="28" spans="2:11">
      <c r="B28" s="411"/>
      <c r="C28" s="834" t="s">
        <v>1474</v>
      </c>
      <c r="D28" s="1029">
        <f>'Water Impacts'!$B$4</f>
        <v>3128.9578047070586</v>
      </c>
      <c r="E28" s="370"/>
      <c r="F28" s="834"/>
      <c r="G28" s="899"/>
      <c r="H28" s="72"/>
      <c r="I28" s="733" t="s">
        <v>1476</v>
      </c>
      <c r="J28" s="72"/>
      <c r="K28" s="835"/>
    </row>
    <row r="29" spans="2:11">
      <c r="B29" s="411"/>
      <c r="C29" s="834"/>
      <c r="D29" s="899"/>
      <c r="E29" s="72"/>
      <c r="F29" s="733" t="s">
        <v>1417</v>
      </c>
      <c r="G29" s="899"/>
      <c r="H29" s="72"/>
      <c r="I29" s="888" t="s">
        <v>1478</v>
      </c>
      <c r="J29" s="833">
        <f>IFERROR('Water Impacts'!$B$5,0)</f>
        <v>0.26045997775006313</v>
      </c>
      <c r="K29" s="840">
        <f>IFERROR('Water Impacts'!$B$5*(D9/D10),0)</f>
        <v>0.29733624301487865</v>
      </c>
    </row>
    <row r="30" spans="2:11">
      <c r="B30" s="411"/>
      <c r="C30" s="733" t="s">
        <v>1417</v>
      </c>
      <c r="D30" s="899"/>
      <c r="E30" s="72"/>
      <c r="F30" s="834" t="s">
        <v>1431</v>
      </c>
      <c r="G30" s="895">
        <f>D31/D6</f>
        <v>-0.49401955045397583</v>
      </c>
      <c r="H30" s="72"/>
      <c r="I30" s="888" t="s">
        <v>1477</v>
      </c>
      <c r="J30" s="833">
        <f>IFERROR('Water Impacts'!$B$6,0)</f>
        <v>56.377618102829885</v>
      </c>
      <c r="K30" s="840">
        <f>IFERROR('Water Impacts'!$B$6*(D9/D10),0)</f>
        <v>64.359635217771896</v>
      </c>
    </row>
    <row r="31" spans="2:11">
      <c r="B31" s="411"/>
      <c r="C31" s="834" t="s">
        <v>961</v>
      </c>
      <c r="D31" s="898">
        <f>SOC!$G$50</f>
        <v>-1.227968922481314</v>
      </c>
      <c r="E31" s="72"/>
      <c r="F31" s="834"/>
      <c r="G31" s="892"/>
      <c r="H31" s="72"/>
      <c r="I31" s="888" t="s">
        <v>1479</v>
      </c>
      <c r="J31" s="833">
        <f>'Water Impacts'!$B$7</f>
        <v>7.6919032953380597</v>
      </c>
      <c r="K31" s="840">
        <f>'Water Impacts'!$B$7*(D9/D10)</f>
        <v>8.7809330524640608</v>
      </c>
    </row>
    <row r="32" spans="2:11">
      <c r="B32" s="72"/>
      <c r="C32" s="834"/>
      <c r="D32" s="886"/>
      <c r="E32" s="72"/>
      <c r="F32" s="733" t="s">
        <v>962</v>
      </c>
      <c r="G32" s="892"/>
      <c r="H32" s="72"/>
      <c r="I32" s="733"/>
      <c r="J32" s="833"/>
      <c r="K32" s="840"/>
    </row>
    <row r="33" spans="2:11">
      <c r="B33" s="72"/>
      <c r="C33" s="733" t="s">
        <v>962</v>
      </c>
      <c r="D33" s="886"/>
      <c r="E33" s="72"/>
      <c r="F33" s="834" t="s">
        <v>1446</v>
      </c>
      <c r="G33" s="900">
        <f>D34/D6</f>
        <v>4687995.6717275083</v>
      </c>
      <c r="H33" s="72"/>
      <c r="I33" s="733" t="s">
        <v>1417</v>
      </c>
      <c r="J33" s="72"/>
      <c r="K33" s="835"/>
    </row>
    <row r="34" spans="2:11">
      <c r="B34" s="72"/>
      <c r="C34" s="834" t="s">
        <v>1434</v>
      </c>
      <c r="D34" s="892">
        <f>Productivity!C14</f>
        <v>11652804.000000002</v>
      </c>
      <c r="E34" s="72"/>
      <c r="F34" s="834" t="s">
        <v>1447</v>
      </c>
      <c r="G34" s="900">
        <f>D35/D6</f>
        <v>49121.590950807091</v>
      </c>
      <c r="H34" s="72"/>
      <c r="I34" s="834" t="s">
        <v>1103</v>
      </c>
      <c r="J34" s="833">
        <f>IFERROR(D31*1000/D9,0)</f>
        <v>-0.1022183034063625</v>
      </c>
      <c r="K34" s="840">
        <f>IFERROR(D31*1000/D10,0)</f>
        <v>-0.11669050487045675</v>
      </c>
    </row>
    <row r="35" spans="2:11">
      <c r="B35" s="72"/>
      <c r="C35" s="834" t="s">
        <v>1435</v>
      </c>
      <c r="D35" s="892">
        <f>Productivity!C15</f>
        <v>122100</v>
      </c>
      <c r="E35" s="72"/>
      <c r="F35" s="834" t="s">
        <v>1448</v>
      </c>
      <c r="G35" s="900">
        <f>SUM(G33:G34)</f>
        <v>4737117.2626783159</v>
      </c>
      <c r="H35" s="72"/>
      <c r="I35" s="834"/>
      <c r="J35" s="833"/>
      <c r="K35" s="835"/>
    </row>
    <row r="36" spans="2:11">
      <c r="B36" s="72"/>
      <c r="C36" s="893" t="s">
        <v>1430</v>
      </c>
      <c r="D36" s="892">
        <f>SUM(D34:D35)</f>
        <v>11774904.000000002</v>
      </c>
      <c r="E36" s="72"/>
      <c r="F36" s="834"/>
      <c r="G36" s="900"/>
      <c r="H36" s="72"/>
      <c r="I36" s="733" t="s">
        <v>1592</v>
      </c>
      <c r="J36" s="72"/>
      <c r="K36" s="835"/>
    </row>
    <row r="37" spans="2:11">
      <c r="B37" s="72"/>
      <c r="C37" s="834"/>
      <c r="D37" s="886"/>
      <c r="E37" s="72"/>
      <c r="F37" s="834"/>
      <c r="G37" s="900"/>
      <c r="H37" s="72"/>
      <c r="I37" s="834" t="s">
        <v>1103</v>
      </c>
      <c r="J37" s="833">
        <f ca="1">J24-J34</f>
        <v>0.1022183034063625</v>
      </c>
      <c r="K37" s="840">
        <f ca="1">K24-K34</f>
        <v>0.11669050487045675</v>
      </c>
    </row>
    <row r="38" spans="2:11" ht="16.5" thickBot="1">
      <c r="B38" s="72"/>
      <c r="C38" s="834" t="s">
        <v>1436</v>
      </c>
      <c r="D38" s="892">
        <f>Productivity!F14</f>
        <v>4661.1216000000004</v>
      </c>
      <c r="E38" s="72"/>
      <c r="F38" s="834" t="s">
        <v>1449</v>
      </c>
      <c r="G38" s="900">
        <f>D38/D6</f>
        <v>1875.1982686910032</v>
      </c>
      <c r="H38" s="72"/>
      <c r="I38" s="837"/>
      <c r="J38" s="1032"/>
      <c r="K38" s="1033"/>
    </row>
    <row r="39" spans="2:11">
      <c r="B39" s="72"/>
      <c r="C39" s="834" t="s">
        <v>1437</v>
      </c>
      <c r="D39" s="892">
        <f>Productivity!F15</f>
        <v>48.84</v>
      </c>
      <c r="E39" s="72"/>
      <c r="F39" s="834" t="s">
        <v>1450</v>
      </c>
      <c r="G39" s="900">
        <f>D39/D6</f>
        <v>19.648636380322838</v>
      </c>
      <c r="H39" s="72"/>
      <c r="I39" s="72"/>
      <c r="J39" s="836"/>
      <c r="K39" s="836"/>
    </row>
    <row r="40" spans="2:11">
      <c r="B40" s="72"/>
      <c r="C40" s="834" t="s">
        <v>1438</v>
      </c>
      <c r="D40" s="892">
        <f>SUM(D38:D39)</f>
        <v>4709.9616000000005</v>
      </c>
      <c r="E40" s="72"/>
      <c r="F40" s="834" t="s">
        <v>1113</v>
      </c>
      <c r="G40" s="900">
        <f>SUM(G38:G39)</f>
        <v>1894.8469050713261</v>
      </c>
      <c r="H40" s="72"/>
      <c r="I40" s="72"/>
      <c r="J40" s="836"/>
      <c r="K40" s="836"/>
    </row>
    <row r="41" spans="2:11" ht="31.5">
      <c r="B41" s="72"/>
      <c r="C41" s="834"/>
      <c r="D41" s="892"/>
      <c r="E41" s="72"/>
      <c r="F41" s="1031" t="s">
        <v>1591</v>
      </c>
      <c r="G41" s="892">
        <f>G40/365</f>
        <v>5.1913613837570578</v>
      </c>
      <c r="H41" s="72"/>
      <c r="I41" s="72"/>
      <c r="J41" s="836"/>
      <c r="K41" s="836"/>
    </row>
    <row r="42" spans="2:11">
      <c r="B42" s="72"/>
      <c r="C42" s="834"/>
      <c r="D42" s="892"/>
      <c r="E42" s="72"/>
      <c r="F42" s="1031"/>
      <c r="G42" s="892"/>
      <c r="H42" s="72"/>
      <c r="I42" s="72"/>
      <c r="J42" s="836"/>
      <c r="K42" s="836"/>
    </row>
    <row r="43" spans="2:11">
      <c r="B43" s="72"/>
      <c r="C43" s="733" t="s">
        <v>1317</v>
      </c>
      <c r="D43" s="892"/>
      <c r="E43" s="72"/>
      <c r="F43" s="733" t="s">
        <v>1317</v>
      </c>
      <c r="G43" s="892"/>
      <c r="H43" s="72"/>
      <c r="I43" s="72"/>
      <c r="J43" s="72"/>
      <c r="K43" s="72"/>
    </row>
    <row r="44" spans="2:11">
      <c r="B44" s="72"/>
      <c r="C44" s="834" t="s">
        <v>1593</v>
      </c>
      <c r="D44" s="892">
        <f>'Economics '!C3</f>
        <v>4983.988329090068</v>
      </c>
      <c r="E44" s="72"/>
      <c r="F44" s="1031" t="s">
        <v>1594</v>
      </c>
      <c r="G44" s="892">
        <f>'Economics '!C4</f>
        <v>2005.0895659718169</v>
      </c>
      <c r="H44" s="72"/>
      <c r="I44" s="72"/>
      <c r="J44" s="72"/>
      <c r="K44" s="72"/>
    </row>
    <row r="45" spans="2:11" ht="16.5" thickBot="1">
      <c r="B45" s="72"/>
      <c r="C45" s="837" t="s">
        <v>1692</v>
      </c>
      <c r="D45" s="901" t="e">
        <f ca="1">INPUTS!K169</f>
        <v>#REF!</v>
      </c>
      <c r="E45" s="72"/>
      <c r="F45" s="837" t="s">
        <v>1693</v>
      </c>
      <c r="G45" s="901" t="e">
        <f ca="1">D45/D6</f>
        <v>#REF!</v>
      </c>
      <c r="H45" s="72"/>
      <c r="I45" s="72"/>
      <c r="J45" s="72"/>
      <c r="K45" s="72"/>
    </row>
    <row r="46" spans="2:11">
      <c r="B46" s="72"/>
      <c r="C46" s="72"/>
      <c r="D46" s="1021"/>
      <c r="E46" s="72"/>
      <c r="F46" s="760"/>
      <c r="G46" s="1021"/>
      <c r="H46" s="72"/>
      <c r="I46" s="72"/>
      <c r="J46" s="72"/>
      <c r="K46" s="72"/>
    </row>
    <row r="47" spans="2:11" ht="16.5" thickBot="1">
      <c r="B47" s="72"/>
      <c r="C47" s="72"/>
      <c r="D47" s="72"/>
      <c r="E47" s="72"/>
      <c r="F47" s="72"/>
      <c r="G47" s="72"/>
      <c r="H47" s="72"/>
      <c r="I47" s="72"/>
      <c r="J47" s="72"/>
      <c r="K47" s="72"/>
    </row>
    <row r="48" spans="2:11">
      <c r="B48" s="72"/>
      <c r="C48" s="756" t="s">
        <v>1480</v>
      </c>
      <c r="D48" s="913"/>
      <c r="E48" s="757"/>
      <c r="F48" s="72"/>
      <c r="G48" s="72"/>
      <c r="H48" s="72"/>
      <c r="I48" s="72"/>
      <c r="J48" s="72"/>
      <c r="K48" s="72"/>
    </row>
    <row r="49" spans="2:11">
      <c r="B49" s="72"/>
      <c r="C49" s="838"/>
      <c r="D49" s="911"/>
      <c r="E49" s="839"/>
      <c r="F49" s="72"/>
      <c r="G49" s="72"/>
      <c r="H49" s="72"/>
      <c r="I49" s="72"/>
      <c r="J49" s="72"/>
      <c r="K49" s="72"/>
    </row>
    <row r="50" spans="2:11">
      <c r="B50" s="72"/>
      <c r="C50" s="733" t="str">
        <f>'Water Impacts'!A9</f>
        <v>Water use per crop (m3)</v>
      </c>
      <c r="D50" s="871" t="str">
        <f>'Water Impacts'!B9</f>
        <v>feed</v>
      </c>
      <c r="E50" s="872" t="s">
        <v>1428</v>
      </c>
      <c r="F50" s="72"/>
      <c r="G50" s="72"/>
      <c r="H50" s="72"/>
      <c r="I50" s="72"/>
      <c r="J50" s="72"/>
      <c r="K50" s="72"/>
    </row>
    <row r="51" spans="2:11">
      <c r="B51" s="72"/>
      <c r="C51" s="834" t="str">
        <f>'Water Impacts'!A10</f>
        <v>Rice (Oryza sativa) - bran (with germs)</v>
      </c>
      <c r="D51" s="1021">
        <f>'Water Impacts'!B10</f>
        <v>0</v>
      </c>
      <c r="E51" s="1027">
        <f>'Water Impacts'!C10</f>
        <v>0</v>
      </c>
      <c r="F51" s="72"/>
      <c r="G51" s="72"/>
      <c r="H51" s="72"/>
      <c r="I51" s="72"/>
      <c r="J51" s="72"/>
      <c r="K51" s="72"/>
    </row>
    <row r="52" spans="2:11">
      <c r="B52" s="72"/>
      <c r="C52" s="873" t="str">
        <f>'Water Impacts'!A11</f>
        <v>Maize (Zea mays) - whole grain</v>
      </c>
      <c r="D52" s="874">
        <f>'Water Impacts'!B11</f>
        <v>0</v>
      </c>
      <c r="E52" s="875">
        <f>'Water Impacts'!C11</f>
        <v>0</v>
      </c>
      <c r="F52" s="72"/>
      <c r="G52" s="72"/>
      <c r="H52" s="72"/>
      <c r="I52" s="72"/>
      <c r="J52" s="72"/>
      <c r="K52" s="72"/>
    </row>
    <row r="53" spans="2:11">
      <c r="B53" s="72"/>
      <c r="C53" s="873" t="str">
        <f>'Water Impacts'!A12</f>
        <v>Brachiaria brizantha (forage)</v>
      </c>
      <c r="D53" s="874">
        <f>'Water Impacts'!B12</f>
        <v>481.04483631275889</v>
      </c>
      <c r="E53" s="875">
        <f>'Water Impacts'!C12</f>
        <v>0</v>
      </c>
      <c r="F53" s="72"/>
      <c r="G53" s="72"/>
      <c r="H53" s="72"/>
      <c r="I53" s="72"/>
      <c r="J53" s="72"/>
      <c r="K53" s="72"/>
    </row>
    <row r="54" spans="2:11">
      <c r="B54" s="72"/>
      <c r="C54" s="873" t="str">
        <f>'Water Impacts'!A13</f>
        <v>Concentrate (commercial)</v>
      </c>
      <c r="D54" s="874">
        <f>'Water Impacts'!B13</f>
        <v>0</v>
      </c>
      <c r="E54" s="875">
        <f>'Water Impacts'!C13</f>
        <v>0</v>
      </c>
      <c r="F54" s="72"/>
      <c r="G54" s="72"/>
      <c r="H54" s="72"/>
      <c r="I54" s="72"/>
      <c r="J54" s="72"/>
      <c r="K54" s="72"/>
    </row>
    <row r="55" spans="2:11">
      <c r="B55" s="72"/>
      <c r="C55" s="873" t="str">
        <f>'Water Impacts'!A14</f>
        <v>Rice (Oryza sativa) - straw</v>
      </c>
      <c r="D55" s="874">
        <f>'Water Impacts'!B14</f>
        <v>1093.4532768165129</v>
      </c>
      <c r="E55" s="875">
        <f>'Water Impacts'!C14</f>
        <v>908.97829589804223</v>
      </c>
      <c r="F55" s="72"/>
      <c r="G55" s="72"/>
      <c r="H55" s="72"/>
      <c r="I55" s="72"/>
      <c r="J55" s="72"/>
      <c r="K55" s="72"/>
    </row>
    <row r="56" spans="2:11">
      <c r="B56" s="72"/>
      <c r="C56" s="873" t="str">
        <f>'Water Impacts'!A15</f>
        <v>Naturally occuring pasture - grazing</v>
      </c>
      <c r="D56" s="874">
        <f>'Water Impacts'!B15</f>
        <v>0</v>
      </c>
      <c r="E56" s="875">
        <f>'Water Impacts'!C15</f>
        <v>0</v>
      </c>
      <c r="F56" s="72"/>
      <c r="G56" s="72"/>
      <c r="H56" s="72"/>
      <c r="I56" s="72"/>
      <c r="J56" s="72"/>
      <c r="K56" s="72"/>
    </row>
    <row r="57" spans="2:11">
      <c r="B57" s="72"/>
      <c r="C57" s="873" t="str">
        <f>'Water Impacts'!A16</f>
        <v>Pennisetum purpureum - forage</v>
      </c>
      <c r="D57" s="874">
        <f>'Water Impacts'!B16</f>
        <v>645.48139567974454</v>
      </c>
      <c r="E57" s="875">
        <f>'Water Impacts'!C16</f>
        <v>0</v>
      </c>
      <c r="F57" s="72"/>
      <c r="G57" s="72"/>
      <c r="H57" s="72"/>
      <c r="I57" s="72"/>
      <c r="J57" s="72"/>
      <c r="K57" s="72"/>
    </row>
    <row r="58" spans="2:11">
      <c r="B58" s="72"/>
      <c r="C58" s="873" t="str">
        <f>'Water Impacts'!A17</f>
        <v>total</v>
      </c>
      <c r="D58" s="874">
        <f>'Water Impacts'!B17</f>
        <v>2219.9795088090164</v>
      </c>
      <c r="E58" s="875">
        <f>'Water Impacts'!C17</f>
        <v>908.97829589804223</v>
      </c>
      <c r="F58" s="72"/>
      <c r="G58" s="72"/>
      <c r="H58" s="72"/>
      <c r="I58" s="72"/>
      <c r="J58" s="72"/>
      <c r="K58" s="72"/>
    </row>
    <row r="59" spans="2:11">
      <c r="B59" s="72"/>
      <c r="C59" s="588"/>
      <c r="D59" s="516"/>
      <c r="E59" s="876"/>
      <c r="F59" s="72"/>
      <c r="G59" s="72"/>
      <c r="H59" s="72"/>
      <c r="I59" s="72"/>
      <c r="J59" s="72"/>
      <c r="K59" s="72"/>
    </row>
    <row r="60" spans="2:11">
      <c r="B60" s="72"/>
      <c r="C60" s="588"/>
      <c r="D60" s="516"/>
      <c r="E60" s="876"/>
      <c r="F60" s="72"/>
      <c r="G60" s="72"/>
      <c r="H60" s="72"/>
      <c r="I60" s="72"/>
      <c r="J60" s="72"/>
      <c r="K60" s="72"/>
    </row>
    <row r="61" spans="2:11">
      <c r="B61" s="72"/>
      <c r="C61" s="877" t="s">
        <v>1374</v>
      </c>
      <c r="D61" s="871" t="str">
        <f>D50</f>
        <v>feed</v>
      </c>
      <c r="E61" s="872" t="str">
        <f>E50</f>
        <v>non-feed</v>
      </c>
      <c r="F61" s="72"/>
      <c r="G61" s="72"/>
      <c r="H61" s="72"/>
      <c r="I61" s="72"/>
      <c r="J61" s="72"/>
      <c r="K61" s="72"/>
    </row>
    <row r="62" spans="2:11">
      <c r="B62" s="72"/>
      <c r="C62" s="873" t="str">
        <f t="shared" ref="C62:C69" si="0">C51</f>
        <v>Rice (Oryza sativa) - bran (with germs)</v>
      </c>
      <c r="D62" s="878">
        <f>'Soil impacts'!G9</f>
        <v>0</v>
      </c>
      <c r="E62" s="879">
        <f>'Soil impacts'!I9</f>
        <v>0</v>
      </c>
      <c r="F62" s="72"/>
      <c r="G62" s="72"/>
      <c r="H62" s="72"/>
      <c r="I62" s="72"/>
      <c r="J62" s="72"/>
      <c r="K62" s="72"/>
    </row>
    <row r="63" spans="2:11">
      <c r="B63" s="72"/>
      <c r="C63" s="873" t="str">
        <f t="shared" si="0"/>
        <v>Maize (Zea mays) - whole grain</v>
      </c>
      <c r="D63" s="878">
        <f>'Soil impacts'!G10</f>
        <v>0</v>
      </c>
      <c r="E63" s="879">
        <f>'Soil impacts'!I10</f>
        <v>0</v>
      </c>
      <c r="F63" s="72"/>
      <c r="G63" s="72"/>
      <c r="H63" s="72"/>
      <c r="I63" s="72"/>
      <c r="J63" s="72"/>
      <c r="K63" s="72"/>
    </row>
    <row r="64" spans="2:11">
      <c r="B64" s="72"/>
      <c r="C64" s="873" t="str">
        <f t="shared" si="0"/>
        <v>Brachiaria brizantha (forage)</v>
      </c>
      <c r="D64" s="878" t="e">
        <f ca="1">'Soil impacts'!G11</f>
        <v>#NAME?</v>
      </c>
      <c r="E64" s="879" t="e">
        <f ca="1">'Soil impacts'!I11</f>
        <v>#NAME?</v>
      </c>
      <c r="F64" s="72"/>
      <c r="G64" s="72"/>
      <c r="H64" s="72"/>
      <c r="I64" s="72"/>
      <c r="J64" s="72"/>
      <c r="K64" s="72"/>
    </row>
    <row r="65" spans="2:11">
      <c r="B65" s="72"/>
      <c r="C65" s="873" t="str">
        <f t="shared" si="0"/>
        <v>Concentrate (commercial)</v>
      </c>
      <c r="D65" s="878">
        <f>'Soil impacts'!G12</f>
        <v>0</v>
      </c>
      <c r="E65" s="879">
        <f>'Soil impacts'!I12</f>
        <v>0</v>
      </c>
      <c r="F65" s="72"/>
      <c r="G65" s="72"/>
      <c r="H65" s="72"/>
      <c r="I65" s="72"/>
      <c r="J65" s="72"/>
      <c r="K65" s="72"/>
    </row>
    <row r="66" spans="2:11">
      <c r="B66" s="72"/>
      <c r="C66" s="873" t="str">
        <f t="shared" si="0"/>
        <v>Rice (Oryza sativa) - straw</v>
      </c>
      <c r="D66" s="878" t="e">
        <f ca="1">'Soil impacts'!G13</f>
        <v>#NAME?</v>
      </c>
      <c r="E66" s="879" t="e">
        <f ca="1">'Soil impacts'!I13</f>
        <v>#NAME?</v>
      </c>
      <c r="F66" s="72"/>
      <c r="G66" s="72"/>
      <c r="H66" s="72"/>
      <c r="I66" s="72"/>
      <c r="J66" s="72"/>
      <c r="K66" s="72"/>
    </row>
    <row r="67" spans="2:11">
      <c r="B67" s="72"/>
      <c r="C67" s="873" t="str">
        <f t="shared" si="0"/>
        <v>Naturally occuring pasture - grazing</v>
      </c>
      <c r="D67" s="878">
        <f>'Soil impacts'!G14</f>
        <v>0</v>
      </c>
      <c r="E67" s="879">
        <f>'Soil impacts'!I14</f>
        <v>0</v>
      </c>
      <c r="F67" s="72"/>
      <c r="G67" s="72"/>
      <c r="H67" s="72"/>
      <c r="I67" s="72"/>
      <c r="J67" s="72"/>
      <c r="K67" s="72"/>
    </row>
    <row r="68" spans="2:11">
      <c r="B68" s="72"/>
      <c r="C68" s="873" t="str">
        <f t="shared" si="0"/>
        <v>Pennisetum purpureum - forage</v>
      </c>
      <c r="D68" s="878" t="e">
        <f ca="1">'Soil impacts'!G15</f>
        <v>#NAME?</v>
      </c>
      <c r="E68" s="879" t="e">
        <f ca="1">'Soil impacts'!I15</f>
        <v>#NAME?</v>
      </c>
      <c r="F68" s="72"/>
      <c r="G68" s="72"/>
      <c r="H68" s="72"/>
      <c r="I68" s="72"/>
      <c r="J68" s="72"/>
      <c r="K68" s="72"/>
    </row>
    <row r="69" spans="2:11">
      <c r="B69" s="72"/>
      <c r="C69" s="873" t="str">
        <f t="shared" si="0"/>
        <v>total</v>
      </c>
      <c r="D69" s="878" t="e">
        <f ca="1">'Soil impacts'!G16</f>
        <v>#NAME?</v>
      </c>
      <c r="E69" s="879" t="e">
        <f ca="1">'Soil impacts'!I16</f>
        <v>#NAME?</v>
      </c>
      <c r="F69" s="72"/>
      <c r="G69" s="72"/>
      <c r="H69" s="72"/>
      <c r="I69" s="72"/>
      <c r="J69" s="72"/>
      <c r="K69" s="72"/>
    </row>
    <row r="70" spans="2:11">
      <c r="B70" s="72"/>
      <c r="C70" s="588"/>
      <c r="D70" s="411"/>
      <c r="E70" s="320"/>
      <c r="F70" s="72"/>
      <c r="G70" s="72"/>
      <c r="H70" s="72"/>
      <c r="I70" s="72"/>
      <c r="J70" s="72"/>
      <c r="K70" s="72"/>
    </row>
    <row r="71" spans="2:11">
      <c r="B71" s="72"/>
      <c r="C71" s="877" t="s">
        <v>1375</v>
      </c>
      <c r="D71" s="880" t="s">
        <v>1360</v>
      </c>
      <c r="E71" s="881" t="s">
        <v>1428</v>
      </c>
      <c r="F71" s="72"/>
      <c r="G71" s="72"/>
      <c r="H71" s="72"/>
      <c r="I71" s="72"/>
      <c r="J71" s="72"/>
      <c r="K71" s="72"/>
    </row>
    <row r="72" spans="2:11">
      <c r="B72" s="72"/>
      <c r="C72" s="873" t="str">
        <f t="shared" ref="C72:C79" si="1">C62</f>
        <v>Rice (Oryza sativa) - bran (with germs)</v>
      </c>
      <c r="D72" s="878">
        <f>'Land requirements'!E4</f>
        <v>0</v>
      </c>
      <c r="E72" s="879">
        <f>SUM('Land Requirement '!J21+'Land Requirement '!K21)</f>
        <v>0</v>
      </c>
      <c r="F72" s="72"/>
      <c r="G72" s="72"/>
      <c r="H72" s="72"/>
      <c r="I72" s="72"/>
      <c r="J72" s="72"/>
      <c r="K72" s="72"/>
    </row>
    <row r="73" spans="2:11">
      <c r="B73" s="72"/>
      <c r="C73" s="873" t="str">
        <f t="shared" si="1"/>
        <v>Maize (Zea mays) - whole grain</v>
      </c>
      <c r="D73" s="878">
        <f>'Land requirements'!E5</f>
        <v>0</v>
      </c>
      <c r="E73" s="879">
        <f>SUM('Land Requirement '!V21+'Land Requirement '!W21)</f>
        <v>0</v>
      </c>
      <c r="F73" s="72"/>
      <c r="G73" s="72"/>
      <c r="H73" s="72"/>
      <c r="I73" s="72"/>
      <c r="J73" s="72"/>
      <c r="K73" s="72"/>
    </row>
    <row r="74" spans="2:11">
      <c r="B74" s="72"/>
      <c r="C74" s="873" t="str">
        <f t="shared" si="1"/>
        <v>Brachiaria brizantha (forage)</v>
      </c>
      <c r="D74" s="878">
        <f>'Land requirements'!E6</f>
        <v>0.40367398851420322</v>
      </c>
      <c r="E74" s="879">
        <f>SUM('Land Requirement '!AH21+'Land Requirement '!AI21)</f>
        <v>0</v>
      </c>
      <c r="F74" s="72"/>
      <c r="G74" s="72"/>
      <c r="H74" s="72"/>
      <c r="I74" s="72"/>
      <c r="J74" s="72"/>
      <c r="K74" s="72"/>
    </row>
    <row r="75" spans="2:11">
      <c r="B75" s="72"/>
      <c r="C75" s="873" t="str">
        <f t="shared" si="1"/>
        <v>Concentrate (commercial)</v>
      </c>
      <c r="D75" s="878">
        <f>'Land requirements'!E7</f>
        <v>0</v>
      </c>
      <c r="E75" s="879">
        <f>SUM('Land Requirement '!AT21+'Land Requirement '!AU21)</f>
        <v>0</v>
      </c>
      <c r="F75" s="72"/>
      <c r="G75" s="72"/>
      <c r="H75" s="72"/>
      <c r="I75" s="72"/>
      <c r="J75" s="72"/>
      <c r="K75" s="72"/>
    </row>
    <row r="76" spans="2:11">
      <c r="B76" s="72"/>
      <c r="C76" s="873" t="str">
        <f t="shared" si="1"/>
        <v>Rice (Oryza sativa) - straw</v>
      </c>
      <c r="D76" s="878">
        <f>'Land requirements'!E8</f>
        <v>1.5403319790111962</v>
      </c>
      <c r="E76" s="879">
        <f>SUM('Land Requirement '!BF21+'Land Requirement '!BG21)</f>
        <v>1.2804647140252761</v>
      </c>
      <c r="F76" s="72"/>
      <c r="G76" s="72"/>
      <c r="H76" s="72"/>
      <c r="I76" s="72"/>
      <c r="J76" s="72"/>
      <c r="K76" s="72"/>
    </row>
    <row r="77" spans="2:11">
      <c r="B77" s="72"/>
      <c r="C77" s="873" t="str">
        <f t="shared" si="1"/>
        <v>Naturally occuring pasture - grazing</v>
      </c>
      <c r="D77" s="878">
        <f>'Land requirements'!E9</f>
        <v>0</v>
      </c>
      <c r="E77" s="879">
        <f>SUM('Land Requirement '!BR21+'Land Requirement '!BS21)</f>
        <v>0</v>
      </c>
      <c r="F77" s="72"/>
      <c r="G77" s="72"/>
      <c r="H77" s="72"/>
      <c r="I77" s="72"/>
      <c r="J77" s="72"/>
      <c r="K77" s="72"/>
    </row>
    <row r="78" spans="2:11">
      <c r="B78" s="72"/>
      <c r="C78" s="873" t="str">
        <f t="shared" si="1"/>
        <v>Pennisetum purpureum - forage</v>
      </c>
      <c r="D78" s="878">
        <f>'Land requirements'!E10</f>
        <v>0.54166270966132413</v>
      </c>
      <c r="E78" s="879">
        <f>SUM('Land Requirement '!CD21+'Land Requirement '!CE21)</f>
        <v>0</v>
      </c>
      <c r="F78" s="72"/>
      <c r="G78" s="72"/>
      <c r="H78" s="72"/>
      <c r="I78" s="72"/>
      <c r="J78" s="72"/>
      <c r="K78" s="72"/>
    </row>
    <row r="79" spans="2:11" ht="16.5" thickBot="1">
      <c r="C79" s="882" t="str">
        <f t="shared" si="1"/>
        <v>total</v>
      </c>
      <c r="D79" s="883">
        <f>SUM(D72:D78)</f>
        <v>2.4856686771867236</v>
      </c>
      <c r="E79" s="884">
        <f>SUM(E72:E78)</f>
        <v>1.2804647140252761</v>
      </c>
      <c r="F79" s="72"/>
      <c r="G79" s="72"/>
      <c r="H79" s="72"/>
      <c r="I79" s="72"/>
      <c r="J79" s="72"/>
      <c r="K79" s="72"/>
    </row>
    <row r="80" spans="2:11">
      <c r="C80" s="411"/>
      <c r="D80" s="411"/>
      <c r="E80" s="411"/>
      <c r="F80" s="72"/>
      <c r="G80" s="72"/>
      <c r="H80" s="72"/>
      <c r="I80" s="72"/>
      <c r="J80" s="72"/>
      <c r="K80" s="72"/>
    </row>
    <row r="81" spans="3:11">
      <c r="C81" s="72"/>
      <c r="D81" s="72"/>
      <c r="E81" s="72"/>
      <c r="I81" s="72"/>
      <c r="J81" s="72"/>
      <c r="K81" s="72"/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9">
    <tabColor theme="0" tint="-0.499984740745262"/>
  </sheetPr>
  <dimension ref="A1:H23"/>
  <sheetViews>
    <sheetView workbookViewId="0">
      <selection activeCell="I15" sqref="I15"/>
    </sheetView>
  </sheetViews>
  <sheetFormatPr defaultRowHeight="15.75"/>
  <cols>
    <col min="1" max="1" width="12.75" customWidth="1"/>
    <col min="2" max="2" width="15.875" bestFit="1" customWidth="1"/>
    <col min="3" max="3" width="13" customWidth="1"/>
    <col min="4" max="4" width="16.5" customWidth="1"/>
    <col min="7" max="7" width="25.5" customWidth="1"/>
  </cols>
  <sheetData>
    <row r="1" spans="1:8" ht="16.5" thickBot="1">
      <c r="B1" s="411"/>
      <c r="C1" s="117"/>
      <c r="D1" s="411"/>
      <c r="E1" s="411"/>
      <c r="F1" s="296"/>
      <c r="G1" s="1086"/>
      <c r="H1" s="1087"/>
    </row>
    <row r="2" spans="1:8" ht="31.5">
      <c r="A2" s="806" t="s">
        <v>760</v>
      </c>
      <c r="B2" s="416" t="s">
        <v>795</v>
      </c>
      <c r="C2" s="412" t="s">
        <v>792</v>
      </c>
      <c r="D2" s="344">
        <v>3000</v>
      </c>
      <c r="G2" s="1086"/>
      <c r="H2" s="1087"/>
    </row>
    <row r="3" spans="1:8">
      <c r="A3" s="807"/>
      <c r="B3" s="34" t="s">
        <v>996</v>
      </c>
      <c r="C3" s="91" t="s">
        <v>1063</v>
      </c>
      <c r="D3" s="657">
        <v>9</v>
      </c>
      <c r="G3" s="1086"/>
      <c r="H3" s="1087"/>
    </row>
    <row r="4" spans="1:8">
      <c r="A4" s="807"/>
      <c r="B4" s="24" t="s">
        <v>797</v>
      </c>
      <c r="C4" s="27" t="s">
        <v>793</v>
      </c>
      <c r="D4" s="657" t="s">
        <v>848</v>
      </c>
      <c r="G4" s="1086"/>
      <c r="H4" s="1087"/>
    </row>
    <row r="5" spans="1:8">
      <c r="A5" s="807"/>
      <c r="B5" s="24" t="s">
        <v>796</v>
      </c>
      <c r="C5" s="27" t="s">
        <v>794</v>
      </c>
      <c r="D5" s="657">
        <v>1.5</v>
      </c>
      <c r="G5" s="1086"/>
      <c r="H5" s="1087"/>
    </row>
    <row r="6" spans="1:8">
      <c r="A6" s="807"/>
      <c r="B6" s="24" t="s">
        <v>798</v>
      </c>
      <c r="C6" s="27" t="s">
        <v>794</v>
      </c>
      <c r="D6" s="657">
        <v>15</v>
      </c>
      <c r="G6" s="1086" t="s">
        <v>924</v>
      </c>
      <c r="H6" s="1087"/>
    </row>
    <row r="7" spans="1:8">
      <c r="A7" s="807"/>
      <c r="B7" s="24" t="s">
        <v>880</v>
      </c>
      <c r="C7" s="27" t="s">
        <v>83</v>
      </c>
      <c r="D7" s="346">
        <v>44</v>
      </c>
      <c r="G7" s="1086"/>
      <c r="H7" s="1087"/>
    </row>
    <row r="8" spans="1:8">
      <c r="A8" s="807"/>
      <c r="B8" s="417" t="s">
        <v>1062</v>
      </c>
      <c r="C8" s="166" t="s">
        <v>885</v>
      </c>
      <c r="D8" s="346">
        <v>1.03</v>
      </c>
      <c r="G8" s="1086"/>
      <c r="H8" s="1087"/>
    </row>
    <row r="9" spans="1:8" ht="16.5" thickBot="1">
      <c r="A9" s="808"/>
      <c r="B9" s="418" t="s">
        <v>1064</v>
      </c>
      <c r="C9" s="240" t="s">
        <v>888</v>
      </c>
      <c r="D9" s="657">
        <v>0.2</v>
      </c>
      <c r="G9" s="1086"/>
      <c r="H9" s="1087"/>
    </row>
    <row r="10" spans="1:8" ht="19.5" thickBot="1">
      <c r="B10" s="680" t="s">
        <v>1284</v>
      </c>
      <c r="C10" s="681" t="s">
        <v>1285</v>
      </c>
      <c r="D10" s="657">
        <v>1300</v>
      </c>
      <c r="G10" s="1087"/>
      <c r="H10" s="1087"/>
    </row>
    <row r="12" spans="1:8" ht="16.5" thickBot="1"/>
    <row r="13" spans="1:8" ht="30">
      <c r="A13" s="1087"/>
      <c r="B13" s="1088"/>
      <c r="C13" s="1415"/>
      <c r="D13" s="1089" t="s">
        <v>1376</v>
      </c>
      <c r="E13" s="1090" t="s">
        <v>1377</v>
      </c>
      <c r="F13" s="1090" t="s">
        <v>665</v>
      </c>
      <c r="G13" s="1091" t="s">
        <v>703</v>
      </c>
    </row>
    <row r="14" spans="1:8" ht="30">
      <c r="A14" s="1087"/>
      <c r="B14" s="1088"/>
      <c r="C14" s="1416"/>
      <c r="D14" s="783"/>
      <c r="E14" s="783" t="s">
        <v>1378</v>
      </c>
      <c r="F14" s="783" t="s">
        <v>665</v>
      </c>
      <c r="G14" s="784" t="s">
        <v>712</v>
      </c>
    </row>
    <row r="15" spans="1:8" ht="45">
      <c r="A15" s="1087"/>
      <c r="B15" s="1088"/>
      <c r="C15" s="1416"/>
      <c r="D15" s="783"/>
      <c r="E15" s="783" t="s">
        <v>1379</v>
      </c>
      <c r="F15" s="783" t="s">
        <v>665</v>
      </c>
      <c r="G15" s="784" t="s">
        <v>722</v>
      </c>
    </row>
    <row r="16" spans="1:8" ht="30">
      <c r="A16" s="1087"/>
      <c r="B16" s="1088"/>
      <c r="C16" s="1416"/>
      <c r="D16" s="783" t="s">
        <v>1380</v>
      </c>
      <c r="E16" s="783" t="s">
        <v>1381</v>
      </c>
      <c r="F16" s="783" t="s">
        <v>595</v>
      </c>
      <c r="G16" s="784" t="s">
        <v>735</v>
      </c>
    </row>
    <row r="17" spans="1:7" ht="90">
      <c r="A17" s="1087"/>
      <c r="B17" s="1088"/>
      <c r="C17" s="1416"/>
      <c r="D17" s="783"/>
      <c r="E17" s="783" t="s">
        <v>1382</v>
      </c>
      <c r="F17" s="783" t="s">
        <v>665</v>
      </c>
      <c r="G17" s="784" t="s">
        <v>741</v>
      </c>
    </row>
    <row r="18" spans="1:7" ht="45">
      <c r="A18" s="1087"/>
      <c r="B18" s="1088"/>
      <c r="C18" s="1416"/>
      <c r="D18" s="785" t="s">
        <v>1383</v>
      </c>
      <c r="E18" s="785" t="s">
        <v>1384</v>
      </c>
      <c r="F18" s="785" t="s">
        <v>126</v>
      </c>
      <c r="G18" s="784">
        <v>0</v>
      </c>
    </row>
    <row r="19" spans="1:7" ht="45.75" thickBot="1">
      <c r="A19" s="1087"/>
      <c r="B19" s="1088"/>
      <c r="C19" s="1417"/>
      <c r="D19" s="786" t="s">
        <v>1385</v>
      </c>
      <c r="E19" s="786" t="s">
        <v>1386</v>
      </c>
      <c r="F19" s="786" t="s">
        <v>1230</v>
      </c>
      <c r="G19" s="804">
        <v>0</v>
      </c>
    </row>
    <row r="20" spans="1:7">
      <c r="A20" s="1087"/>
      <c r="B20" s="1087"/>
    </row>
    <row r="21" spans="1:7">
      <c r="A21" s="1087"/>
      <c r="B21" s="1087"/>
    </row>
    <row r="22" spans="1:7">
      <c r="A22" s="1087"/>
      <c r="B22" s="1087"/>
    </row>
    <row r="23" spans="1:7">
      <c r="A23" s="1087"/>
      <c r="B23" s="1087"/>
    </row>
  </sheetData>
  <sheetProtection selectLockedCells="1"/>
  <mergeCells count="1">
    <mergeCell ref="C13:C19"/>
  </mergeCells>
  <dataValidations count="1">
    <dataValidation type="list" allowBlank="1" showInputMessage="1" showErrorMessage="1" sqref="D4" xr:uid="{00000000-0002-0000-0800-000000000000}">
      <formula1>Soil_class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800-000001000000}">
          <x14:formula1>
            <xm:f>'SOC parameters'!$E$6:$E$15</xm:f>
          </x14:formula1>
          <xm:sqref>G13</xm:sqref>
        </x14:dataValidation>
        <x14:dataValidation type="list" allowBlank="1" showInputMessage="1" showErrorMessage="1" xr:uid="{00000000-0002-0000-0800-000002000000}">
          <x14:formula1>
            <xm:f>'SOC parameters'!$E$16:$E$26</xm:f>
          </x14:formula1>
          <xm:sqref>G14</xm:sqref>
        </x14:dataValidation>
        <x14:dataValidation type="list" allowBlank="1" showInputMessage="1" showErrorMessage="1" xr:uid="{00000000-0002-0000-0800-000003000000}">
          <x14:formula1>
            <xm:f>'SOC parameters'!$E$27:$E$38</xm:f>
          </x14:formula1>
          <xm:sqref>G15</xm:sqref>
        </x14:dataValidation>
        <x14:dataValidation type="list" allowBlank="1" showInputMessage="1" showErrorMessage="1" xr:uid="{00000000-0002-0000-0800-000004000000}">
          <x14:formula1>
            <xm:f>'SOC parameters'!$D$45:$D$52</xm:f>
          </x14:formula1>
          <xm:sqref>G16</xm:sqref>
        </x14:dataValidation>
        <x14:dataValidation type="list" allowBlank="1" showInputMessage="1" showErrorMessage="1" xr:uid="{00000000-0002-0000-0800-000005000000}">
          <x14:formula1>
            <xm:f>'SOC parameters'!$D$53:$D$55</xm:f>
          </x14:formula1>
          <xm:sqref>G17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>
    <tabColor theme="0" tint="-0.499984740745262"/>
  </sheetPr>
  <dimension ref="A1:AZ138"/>
  <sheetViews>
    <sheetView workbookViewId="0">
      <pane xSplit="1" topLeftCell="M1" activePane="topRight" state="frozen"/>
      <selection pane="topRight" activeCell="AF20" sqref="AF20"/>
    </sheetView>
  </sheetViews>
  <sheetFormatPr defaultColWidth="8.875" defaultRowHeight="15.75"/>
  <cols>
    <col min="1" max="1" width="30.375" customWidth="1"/>
    <col min="2" max="3" width="13.25" customWidth="1"/>
    <col min="4" max="4" width="13.25" style="1138" customWidth="1"/>
    <col min="5" max="6" width="10.25" customWidth="1"/>
    <col min="7" max="7" width="11.25" style="847" customWidth="1"/>
    <col min="8" max="8" width="9.5" style="847" customWidth="1"/>
    <col min="9" max="9" width="14" style="847" customWidth="1"/>
    <col min="10" max="11" width="12.375" style="847" customWidth="1"/>
    <col min="12" max="12" width="12.25" style="847" customWidth="1"/>
    <col min="13" max="13" width="12.625" style="847" customWidth="1"/>
    <col min="14" max="14" width="10.5" style="847" customWidth="1"/>
    <col min="15" max="15" width="8.5" style="847" customWidth="1"/>
    <col min="16" max="16" width="7.875" style="847" customWidth="1"/>
    <col min="17" max="17" width="9.875" customWidth="1"/>
    <col min="18" max="18" width="9.625" customWidth="1"/>
    <col min="19" max="19" width="7.875" customWidth="1"/>
    <col min="20" max="20" width="6.5" customWidth="1"/>
    <col min="21" max="21" width="7.25" customWidth="1"/>
    <col min="22" max="22" width="7.875" customWidth="1"/>
    <col min="23" max="23" width="6.625" customWidth="1"/>
    <col min="27" max="27" width="12.125" customWidth="1"/>
    <col min="28" max="28" width="13.125" customWidth="1"/>
    <col min="29" max="29" width="11.75" customWidth="1"/>
    <col min="30" max="30" width="12" customWidth="1"/>
    <col min="38" max="38" width="25" customWidth="1"/>
    <col min="39" max="39" width="75.125" customWidth="1"/>
    <col min="40" max="40" width="15.375" customWidth="1"/>
    <col min="41" max="41" width="17.125" bestFit="1" customWidth="1"/>
  </cols>
  <sheetData>
    <row r="1" spans="1:36" s="1278" customFormat="1">
      <c r="G1" s="847"/>
      <c r="H1" s="847"/>
      <c r="I1" s="847"/>
      <c r="J1" s="847"/>
      <c r="K1" s="847"/>
      <c r="L1" s="847"/>
      <c r="M1" s="847"/>
      <c r="N1" s="847"/>
      <c r="O1" s="847"/>
      <c r="P1" s="847"/>
    </row>
    <row r="2" spans="1:36" s="1278" customFormat="1">
      <c r="A2" s="1278" t="str">
        <f>INPUTS!$C21</f>
        <v>Cows (local)</v>
      </c>
      <c r="B2" s="1278">
        <f t="shared" ref="B2:B15" si="0">IFERROR(VLOOKUP($A2,$A$20:$AJ$35,2,FALSE),0)</f>
        <v>350</v>
      </c>
      <c r="C2" s="1285">
        <f t="shared" ref="C2:C15" si="1">IFERROR(VLOOKUP($A2,$A$20:$AJ$35,3,FALSE),0)</f>
        <v>0</v>
      </c>
      <c r="D2" s="1285">
        <f t="shared" ref="D2:D15" si="2">IFERROR(VLOOKUP($A2,$A$20:$AJ$35,4,FALSE),0)</f>
        <v>0</v>
      </c>
      <c r="E2" s="1285">
        <f t="shared" ref="E2:E15" si="3">IFERROR(VLOOKUP($A2,$A$20:$AJ$35,5,FALSE),0)</f>
        <v>0</v>
      </c>
      <c r="F2" s="1285">
        <f t="shared" ref="F2:F15" si="4">IFERROR(VLOOKUP($A2,$A$20:$AJ$35,6,FALSE),0)</f>
        <v>0</v>
      </c>
      <c r="G2" s="1285">
        <f t="shared" ref="G2:G15" si="5">IFERROR(VLOOKUP($A2,$A$20:$AJ$35,7,FALSE),0)</f>
        <v>2</v>
      </c>
      <c r="H2" s="653">
        <f t="shared" ref="H2:H15" si="6">IFERROR(VLOOKUP($A2,$A$20:$AJ$35,8,FALSE),0)</f>
        <v>40.459549017674419</v>
      </c>
      <c r="I2" s="1285">
        <f t="shared" ref="I2:I15" si="7">IFERROR(VLOOKUP($A2,$A$20:$AJ$35,9,FALSE),0)</f>
        <v>2</v>
      </c>
      <c r="J2" s="653">
        <f t="shared" ref="J2:J15" si="8">IFERROR(VLOOKUP($A2,$A$20:$AJ$35,10,FALSE),0)</f>
        <v>1260</v>
      </c>
      <c r="K2" s="653">
        <f t="shared" ref="K2:K15" si="9">IFERROR(VLOOKUP($A2,$A$20:$AJ$35,11,FALSE),0)</f>
        <v>0</v>
      </c>
      <c r="L2" s="1285">
        <f t="shared" ref="L2:L15" si="10">IFERROR(VLOOKUP($A2,$A$20:$AJ$35,12,FALSE),0)</f>
        <v>5.5</v>
      </c>
      <c r="M2" s="1285">
        <f t="shared" ref="M2:M15" si="11">IFERROR(VLOOKUP($A2,$A$20:$AJ$35,13,FALSE),0)</f>
        <v>0</v>
      </c>
      <c r="N2" s="39">
        <f t="shared" ref="N2:N15" si="12">IFERROR(VLOOKUP($A2,$A$20:$AJ$35,14,FALSE),0)</f>
        <v>0.35000000000000003</v>
      </c>
      <c r="O2" s="1285">
        <f t="shared" ref="O2:O15" si="13">IFERROR(VLOOKUP($A2,$A$20:$AJ$35,15,FALSE),0)</f>
        <v>0</v>
      </c>
      <c r="P2" s="39">
        <f t="shared" ref="P2:P15" si="14">IFERROR(VLOOKUP($A2,$A$20:$AJ$35,16,FALSE),0)</f>
        <v>9.64</v>
      </c>
      <c r="Q2" s="39">
        <f t="shared" ref="Q2:Q15" si="15">IFERROR(VLOOKUP($A2,$A$20:$AJ$35,17,FALSE),0)</f>
        <v>0</v>
      </c>
      <c r="R2" s="1285">
        <f t="shared" ref="R2:R15" si="16">IFERROR(VLOOKUP($A2,$A$20:$AJ$35,18,FALSE),0)</f>
        <v>0.09</v>
      </c>
      <c r="S2" s="1285">
        <f t="shared" ref="S2:S15" si="17">IFERROR(VLOOKUP($A2,$A$20:$AJ$35,19,FALSE),0)</f>
        <v>0</v>
      </c>
      <c r="T2" s="1285">
        <f t="shared" ref="T2:T15" si="18">IFERROR(VLOOKUP($A2,$A$20:$AJ$35,20,FALSE),0)</f>
        <v>0</v>
      </c>
      <c r="U2" s="1285">
        <f t="shared" ref="U2:U15" si="19">IFERROR(VLOOKUP($A2,$A$20:$AJ$35,21,FALSE),0)</f>
        <v>0</v>
      </c>
      <c r="V2" s="1285">
        <f t="shared" ref="V2:V15" si="20">IFERROR(VLOOKUP($A2,$A$20:$AJ$35,22,FALSE),0)</f>
        <v>1.25</v>
      </c>
      <c r="W2" s="1285">
        <f t="shared" ref="W2:W15" si="21">IFERROR(VLOOKUP($A2,$A$20:$AJ$35,23,FALSE),0)</f>
        <v>3.2</v>
      </c>
      <c r="X2" s="1285">
        <f t="shared" ref="X2:X15" si="22">IFERROR(VLOOKUP($A2,$A$20:$AJ$35,24,FALSE),0)</f>
        <v>4</v>
      </c>
      <c r="Y2" s="1285">
        <f t="shared" ref="Y2:Y15" si="23">IFERROR(VLOOKUP($A2,$A$20:$AJ$35,25,FALSE),0)</f>
        <v>970</v>
      </c>
      <c r="Z2" s="1285">
        <f t="shared" ref="Z2:Z15" si="24">IFERROR(VLOOKUP($A2,$A$20:$AJ$35,26,FALSE),0)</f>
        <v>2200</v>
      </c>
      <c r="AA2" s="1285">
        <f t="shared" ref="AA2:AA15" si="25">IFERROR(VLOOKUP($A2,$A$20:$AJ$35,27,FALSE),0)</f>
        <v>26</v>
      </c>
      <c r="AB2" s="1285">
        <f t="shared" ref="AB2:AB15" si="26">IFERROR(VLOOKUP($A2,$A$20:$AJ$35,28,FALSE),0)</f>
        <v>0</v>
      </c>
      <c r="AC2" s="1285">
        <f t="shared" ref="AC2:AC15" si="27">IFERROR(VLOOKUP($A2,$A$20:$AJ$35,29,FALSE),0)</f>
        <v>0</v>
      </c>
      <c r="AD2" s="1285">
        <f t="shared" ref="AD2:AD15" si="28">IFERROR(VLOOKUP($A2,$A$20:$AJ$35,30,FALSE),0)</f>
        <v>2.9000000000000001E-2</v>
      </c>
      <c r="AE2" s="1285">
        <f t="shared" ref="AE2:AE15" si="29">IFERROR(VLOOKUP($A2,$A$20:$AJ$35,31,FALSE),0)</f>
        <v>0</v>
      </c>
      <c r="AF2" s="1285" t="str">
        <f t="shared" ref="AF2:AF15" si="30">IFERROR(VLOOKUP($A2,$A$20:$AJ$35,32,FALSE),0)</f>
        <v>beef</v>
      </c>
      <c r="AG2" s="1285">
        <f t="shared" ref="AG2:AG15" si="31">IFERROR(VLOOKUP($A2,$A$20:$AJ$35,33,FALSE),0)</f>
        <v>500</v>
      </c>
      <c r="AH2" s="1285">
        <f t="shared" ref="AH2:AH15" si="32">IFERROR(VLOOKUP($A2,$A$20:$AJ$35,34,FALSE),0)</f>
        <v>8</v>
      </c>
      <c r="AI2" s="1285">
        <f t="shared" ref="AI2:AI15" si="33">IFERROR(VLOOKUP($A2,$A$20:$AJ$35,35,FALSE),0)</f>
        <v>0</v>
      </c>
      <c r="AJ2" s="1285">
        <f t="shared" ref="AJ2:AJ15" si="34">IFERROR(VLOOKUP($A2,$A$20:$AJ$35,36,FALSE),0)</f>
        <v>4</v>
      </c>
    </row>
    <row r="3" spans="1:36" s="1278" customFormat="1">
      <c r="A3" s="1279" t="str">
        <f>INPUTS!$C22</f>
        <v>Cows (improved)</v>
      </c>
      <c r="B3" s="1285">
        <f t="shared" si="0"/>
        <v>450</v>
      </c>
      <c r="C3" s="1285">
        <f t="shared" si="1"/>
        <v>0</v>
      </c>
      <c r="D3" s="1285">
        <f t="shared" si="2"/>
        <v>0</v>
      </c>
      <c r="E3" s="1285">
        <f t="shared" si="3"/>
        <v>0</v>
      </c>
      <c r="F3" s="1285">
        <f t="shared" si="4"/>
        <v>0</v>
      </c>
      <c r="G3" s="1285">
        <f t="shared" si="5"/>
        <v>2</v>
      </c>
      <c r="H3" s="653">
        <f t="shared" si="6"/>
        <v>48.851667182447308</v>
      </c>
      <c r="I3" s="1285">
        <f t="shared" si="7"/>
        <v>2</v>
      </c>
      <c r="J3" s="653">
        <f t="shared" si="8"/>
        <v>1500</v>
      </c>
      <c r="K3" s="653">
        <f t="shared" si="9"/>
        <v>0</v>
      </c>
      <c r="L3" s="1285">
        <f t="shared" si="10"/>
        <v>5.5</v>
      </c>
      <c r="M3" s="1285">
        <f t="shared" si="11"/>
        <v>0</v>
      </c>
      <c r="N3" s="39">
        <f t="shared" si="12"/>
        <v>0.45</v>
      </c>
      <c r="O3" s="1285">
        <f t="shared" si="13"/>
        <v>0</v>
      </c>
      <c r="P3" s="39">
        <f t="shared" si="14"/>
        <v>12.21</v>
      </c>
      <c r="Q3" s="39">
        <f t="shared" si="15"/>
        <v>0</v>
      </c>
      <c r="R3" s="1285">
        <f t="shared" si="16"/>
        <v>0.09</v>
      </c>
      <c r="S3" s="1285">
        <f t="shared" si="17"/>
        <v>0</v>
      </c>
      <c r="T3" s="1285">
        <f t="shared" si="18"/>
        <v>0</v>
      </c>
      <c r="U3" s="1285">
        <f t="shared" si="19"/>
        <v>0</v>
      </c>
      <c r="V3" s="1285">
        <f t="shared" si="20"/>
        <v>1.1666666666666667</v>
      </c>
      <c r="W3" s="1285">
        <f t="shared" si="21"/>
        <v>3.2</v>
      </c>
      <c r="X3" s="1285">
        <f t="shared" si="22"/>
        <v>4</v>
      </c>
      <c r="Y3" s="1285">
        <f t="shared" si="23"/>
        <v>970</v>
      </c>
      <c r="Z3" s="1285">
        <f t="shared" si="24"/>
        <v>2200</v>
      </c>
      <c r="AA3" s="1285">
        <f t="shared" si="25"/>
        <v>26</v>
      </c>
      <c r="AB3" s="1285">
        <f t="shared" si="26"/>
        <v>0</v>
      </c>
      <c r="AC3" s="1285">
        <f t="shared" si="27"/>
        <v>0</v>
      </c>
      <c r="AD3" s="1285">
        <f t="shared" si="28"/>
        <v>2.9000000000000001E-2</v>
      </c>
      <c r="AE3" s="1285">
        <f t="shared" si="29"/>
        <v>0</v>
      </c>
      <c r="AF3" s="1285" t="str">
        <f t="shared" si="30"/>
        <v>beef</v>
      </c>
      <c r="AG3" s="1285">
        <f t="shared" si="31"/>
        <v>1500</v>
      </c>
      <c r="AH3" s="1285">
        <f t="shared" si="32"/>
        <v>20</v>
      </c>
      <c r="AI3" s="1285">
        <f t="shared" si="33"/>
        <v>0</v>
      </c>
      <c r="AJ3" s="1285">
        <f t="shared" si="34"/>
        <v>8</v>
      </c>
    </row>
    <row r="4" spans="1:36" s="1278" customFormat="1">
      <c r="A4" s="1279" t="str">
        <f>INPUTS!$C23</f>
        <v>Adult cattle - male</v>
      </c>
      <c r="B4" s="1285">
        <f t="shared" si="0"/>
        <v>400</v>
      </c>
      <c r="C4" s="1285">
        <f t="shared" si="1"/>
        <v>0</v>
      </c>
      <c r="D4" s="1285">
        <f t="shared" si="2"/>
        <v>0</v>
      </c>
      <c r="E4" s="1285">
        <f t="shared" si="3"/>
        <v>0</v>
      </c>
      <c r="F4" s="1285">
        <f t="shared" si="4"/>
        <v>0</v>
      </c>
      <c r="G4" s="1285">
        <f t="shared" si="5"/>
        <v>2</v>
      </c>
      <c r="H4" s="653">
        <f t="shared" si="6"/>
        <v>44.721359549995796</v>
      </c>
      <c r="I4" s="1285">
        <f t="shared" si="7"/>
        <v>2</v>
      </c>
      <c r="J4" s="653">
        <f t="shared" si="8"/>
        <v>0</v>
      </c>
      <c r="K4" s="653">
        <f t="shared" si="9"/>
        <v>0</v>
      </c>
      <c r="L4" s="1285">
        <f t="shared" si="10"/>
        <v>0</v>
      </c>
      <c r="M4" s="1285">
        <f t="shared" si="11"/>
        <v>0</v>
      </c>
      <c r="N4" s="39">
        <f t="shared" si="12"/>
        <v>0.4</v>
      </c>
      <c r="O4" s="1285">
        <f t="shared" si="13"/>
        <v>0</v>
      </c>
      <c r="P4" s="39">
        <f t="shared" si="14"/>
        <v>0</v>
      </c>
      <c r="Q4" s="39">
        <f t="shared" si="15"/>
        <v>0</v>
      </c>
      <c r="R4" s="1285">
        <f t="shared" si="16"/>
        <v>0</v>
      </c>
      <c r="S4" s="1285">
        <f t="shared" si="17"/>
        <v>0</v>
      </c>
      <c r="T4" s="1285">
        <f t="shared" si="18"/>
        <v>0</v>
      </c>
      <c r="U4" s="1285">
        <f t="shared" si="19"/>
        <v>0</v>
      </c>
      <c r="V4" s="1285">
        <f t="shared" si="20"/>
        <v>0</v>
      </c>
      <c r="W4" s="1285">
        <f t="shared" si="21"/>
        <v>0</v>
      </c>
      <c r="X4" s="1285">
        <f t="shared" si="22"/>
        <v>0</v>
      </c>
      <c r="Y4" s="1285">
        <f t="shared" si="23"/>
        <v>0</v>
      </c>
      <c r="Z4" s="1285">
        <f t="shared" si="24"/>
        <v>2200</v>
      </c>
      <c r="AA4" s="1285">
        <f t="shared" si="25"/>
        <v>26</v>
      </c>
      <c r="AB4" s="1285">
        <f t="shared" si="26"/>
        <v>0</v>
      </c>
      <c r="AC4" s="1285">
        <f t="shared" si="27"/>
        <v>0</v>
      </c>
      <c r="AD4" s="1285">
        <f t="shared" si="28"/>
        <v>2.9000000000000001E-2</v>
      </c>
      <c r="AE4" s="1285">
        <f t="shared" si="29"/>
        <v>0</v>
      </c>
      <c r="AF4" s="1285" t="str">
        <f t="shared" si="30"/>
        <v>beef</v>
      </c>
      <c r="AG4" s="1285">
        <f t="shared" si="31"/>
        <v>1500</v>
      </c>
      <c r="AH4" s="1285">
        <f t="shared" si="32"/>
        <v>8</v>
      </c>
      <c r="AI4" s="1285">
        <f t="shared" si="33"/>
        <v>0</v>
      </c>
      <c r="AJ4" s="1285">
        <f t="shared" si="34"/>
        <v>2</v>
      </c>
    </row>
    <row r="5" spans="1:36" s="1278" customFormat="1">
      <c r="A5" s="1279" t="str">
        <f>INPUTS!$C24</f>
        <v>Calves</v>
      </c>
      <c r="B5" s="1285">
        <f t="shared" si="0"/>
        <v>70</v>
      </c>
      <c r="C5" s="1285">
        <f t="shared" si="1"/>
        <v>0</v>
      </c>
      <c r="D5" s="1285">
        <f t="shared" si="2"/>
        <v>0</v>
      </c>
      <c r="E5" s="1285">
        <f t="shared" si="3"/>
        <v>0</v>
      </c>
      <c r="F5" s="1285">
        <f t="shared" si="4"/>
        <v>0</v>
      </c>
      <c r="G5" s="1285">
        <f t="shared" si="5"/>
        <v>2</v>
      </c>
      <c r="H5" s="653">
        <f t="shared" si="6"/>
        <v>12.100227462467942</v>
      </c>
      <c r="I5" s="1285">
        <f t="shared" si="7"/>
        <v>0</v>
      </c>
      <c r="J5" s="653">
        <f t="shared" si="8"/>
        <v>0</v>
      </c>
      <c r="K5" s="653">
        <f t="shared" si="9"/>
        <v>0</v>
      </c>
      <c r="L5" s="1285">
        <f t="shared" si="10"/>
        <v>0</v>
      </c>
      <c r="M5" s="1285">
        <f t="shared" si="11"/>
        <v>50</v>
      </c>
      <c r="N5" s="39">
        <f t="shared" si="12"/>
        <v>7.0000000000000007E-2</v>
      </c>
      <c r="O5" s="1285">
        <f t="shared" si="13"/>
        <v>0</v>
      </c>
      <c r="P5" s="39">
        <f t="shared" si="14"/>
        <v>0</v>
      </c>
      <c r="Q5" s="39">
        <f t="shared" si="15"/>
        <v>0</v>
      </c>
      <c r="R5" s="1285">
        <f t="shared" si="16"/>
        <v>0</v>
      </c>
      <c r="S5" s="1285">
        <f t="shared" si="17"/>
        <v>0.4</v>
      </c>
      <c r="T5" s="1285">
        <f t="shared" si="18"/>
        <v>0</v>
      </c>
      <c r="U5" s="1285">
        <f t="shared" si="19"/>
        <v>0</v>
      </c>
      <c r="V5" s="1285">
        <f t="shared" si="20"/>
        <v>0</v>
      </c>
      <c r="W5" s="1285">
        <f t="shared" si="21"/>
        <v>0</v>
      </c>
      <c r="X5" s="1285">
        <f t="shared" si="22"/>
        <v>0</v>
      </c>
      <c r="Y5" s="1285">
        <f t="shared" si="23"/>
        <v>0</v>
      </c>
      <c r="Z5" s="1285">
        <f t="shared" si="24"/>
        <v>2200</v>
      </c>
      <c r="AA5" s="1285">
        <f t="shared" si="25"/>
        <v>26</v>
      </c>
      <c r="AB5" s="1285">
        <f t="shared" si="26"/>
        <v>0.5</v>
      </c>
      <c r="AC5" s="1285">
        <f t="shared" si="27"/>
        <v>0</v>
      </c>
      <c r="AD5" s="1285">
        <f t="shared" si="28"/>
        <v>2.9000000000000001E-2</v>
      </c>
      <c r="AE5" s="1285">
        <f t="shared" si="29"/>
        <v>0</v>
      </c>
      <c r="AF5" s="1285" t="str">
        <f t="shared" si="30"/>
        <v>beef</v>
      </c>
      <c r="AG5" s="1285">
        <f t="shared" si="31"/>
        <v>200</v>
      </c>
      <c r="AH5" s="1285">
        <f t="shared" si="32"/>
        <v>5</v>
      </c>
      <c r="AI5" s="1285">
        <f t="shared" si="33"/>
        <v>0</v>
      </c>
      <c r="AJ5" s="1285">
        <f t="shared" si="34"/>
        <v>2</v>
      </c>
    </row>
    <row r="6" spans="1:36" s="1278" customFormat="1">
      <c r="A6" s="1279" t="str">
        <f>INPUTS!$C25</f>
        <v>Buffalo (dairy)</v>
      </c>
      <c r="B6" s="1285">
        <f t="shared" si="0"/>
        <v>450</v>
      </c>
      <c r="C6" s="1285">
        <f t="shared" si="1"/>
        <v>0</v>
      </c>
      <c r="D6" s="1285">
        <f t="shared" si="2"/>
        <v>0</v>
      </c>
      <c r="E6" s="1285">
        <f t="shared" si="3"/>
        <v>0</v>
      </c>
      <c r="F6" s="1285">
        <f t="shared" si="4"/>
        <v>0</v>
      </c>
      <c r="G6" s="1285">
        <f t="shared" si="5"/>
        <v>2</v>
      </c>
      <c r="H6" s="653">
        <f t="shared" si="6"/>
        <v>48.851667182447308</v>
      </c>
      <c r="I6" s="1285">
        <f t="shared" si="7"/>
        <v>2</v>
      </c>
      <c r="J6" s="653">
        <f t="shared" si="8"/>
        <v>1260</v>
      </c>
      <c r="K6" s="653">
        <f t="shared" si="9"/>
        <v>0</v>
      </c>
      <c r="L6" s="1285">
        <f t="shared" si="10"/>
        <v>5.5</v>
      </c>
      <c r="M6" s="1285">
        <f t="shared" si="11"/>
        <v>0</v>
      </c>
      <c r="N6" s="39">
        <f t="shared" si="12"/>
        <v>0.45</v>
      </c>
      <c r="O6" s="1285">
        <f t="shared" si="13"/>
        <v>0</v>
      </c>
      <c r="P6" s="39">
        <f t="shared" si="14"/>
        <v>9.64</v>
      </c>
      <c r="Q6" s="39">
        <f t="shared" si="15"/>
        <v>0</v>
      </c>
      <c r="R6" s="1285">
        <f t="shared" si="16"/>
        <v>0.09</v>
      </c>
      <c r="S6" s="1285">
        <f t="shared" si="17"/>
        <v>0</v>
      </c>
      <c r="T6" s="1285">
        <f t="shared" si="18"/>
        <v>0</v>
      </c>
      <c r="U6" s="1285">
        <f t="shared" si="19"/>
        <v>0</v>
      </c>
      <c r="V6" s="1285">
        <f t="shared" si="20"/>
        <v>1.2</v>
      </c>
      <c r="W6" s="1285">
        <f t="shared" si="21"/>
        <v>3.7</v>
      </c>
      <c r="X6" s="1285">
        <f t="shared" si="22"/>
        <v>4.3</v>
      </c>
      <c r="Y6" s="1285">
        <f t="shared" si="23"/>
        <v>970</v>
      </c>
      <c r="Z6" s="1285">
        <f t="shared" si="24"/>
        <v>2200</v>
      </c>
      <c r="AA6" s="1285">
        <f t="shared" si="25"/>
        <v>26</v>
      </c>
      <c r="AB6" s="1285">
        <f t="shared" si="26"/>
        <v>0</v>
      </c>
      <c r="AC6" s="1285">
        <f t="shared" si="27"/>
        <v>0</v>
      </c>
      <c r="AD6" s="1285">
        <f t="shared" si="28"/>
        <v>2.9000000000000001E-2</v>
      </c>
      <c r="AE6" s="1285">
        <f t="shared" si="29"/>
        <v>0</v>
      </c>
      <c r="AF6" s="1285" t="str">
        <f t="shared" si="30"/>
        <v>beef</v>
      </c>
      <c r="AG6" s="1285">
        <f t="shared" si="31"/>
        <v>1500</v>
      </c>
      <c r="AH6" s="1285">
        <f t="shared" si="32"/>
        <v>20</v>
      </c>
      <c r="AI6" s="1285">
        <f t="shared" si="33"/>
        <v>0</v>
      </c>
      <c r="AJ6" s="1285">
        <f t="shared" si="34"/>
        <v>8</v>
      </c>
    </row>
    <row r="7" spans="1:36" s="1278" customFormat="1">
      <c r="A7" s="1279" t="str">
        <f>INPUTS!$C26</f>
        <v>Sheep/Goats - Ewes/Does</v>
      </c>
      <c r="B7" s="1285">
        <f t="shared" si="0"/>
        <v>30</v>
      </c>
      <c r="C7" s="1285">
        <f t="shared" si="1"/>
        <v>0</v>
      </c>
      <c r="D7" s="1285">
        <f t="shared" si="2"/>
        <v>60</v>
      </c>
      <c r="E7" s="1285">
        <f t="shared" si="3"/>
        <v>0</v>
      </c>
      <c r="F7" s="1285">
        <f t="shared" si="4"/>
        <v>0</v>
      </c>
      <c r="G7" s="1285">
        <f t="shared" si="5"/>
        <v>2</v>
      </c>
      <c r="H7" s="653">
        <f t="shared" si="6"/>
        <v>5.6401884844302899</v>
      </c>
      <c r="I7" s="1285">
        <f t="shared" si="7"/>
        <v>0</v>
      </c>
      <c r="J7" s="653">
        <f t="shared" si="8"/>
        <v>338.41130906581742</v>
      </c>
      <c r="K7" s="653">
        <f t="shared" si="9"/>
        <v>846.02827266454346</v>
      </c>
      <c r="L7" s="1285">
        <f t="shared" si="10"/>
        <v>5.5</v>
      </c>
      <c r="M7" s="1285">
        <f t="shared" si="11"/>
        <v>0</v>
      </c>
      <c r="N7" s="39">
        <f t="shared" si="12"/>
        <v>0.06</v>
      </c>
      <c r="O7" s="1285">
        <f t="shared" si="13"/>
        <v>0</v>
      </c>
      <c r="P7" s="39">
        <f t="shared" si="14"/>
        <v>4.7399999999999993</v>
      </c>
      <c r="Q7" s="39">
        <f t="shared" si="15"/>
        <v>7.1999999999999993</v>
      </c>
      <c r="R7" s="1285">
        <f t="shared" si="16"/>
        <v>0.09</v>
      </c>
      <c r="S7" s="1285">
        <f t="shared" si="17"/>
        <v>0</v>
      </c>
      <c r="T7" s="1285">
        <f t="shared" si="18"/>
        <v>0</v>
      </c>
      <c r="U7" s="1285">
        <f t="shared" si="19"/>
        <v>0</v>
      </c>
      <c r="V7" s="1285">
        <f t="shared" si="20"/>
        <v>0.7</v>
      </c>
      <c r="W7" s="1285">
        <f t="shared" si="21"/>
        <v>3.2</v>
      </c>
      <c r="X7" s="1285">
        <f t="shared" si="22"/>
        <v>5.8</v>
      </c>
      <c r="Y7" s="1285">
        <f t="shared" si="23"/>
        <v>970</v>
      </c>
      <c r="Z7" s="1285">
        <f t="shared" si="24"/>
        <v>2200</v>
      </c>
      <c r="AA7" s="1285">
        <f t="shared" si="25"/>
        <v>25</v>
      </c>
      <c r="AB7" s="1285">
        <f t="shared" si="26"/>
        <v>0</v>
      </c>
      <c r="AC7" s="1285">
        <f t="shared" si="27"/>
        <v>0</v>
      </c>
      <c r="AD7" s="1285">
        <f t="shared" si="28"/>
        <v>2.7E-2</v>
      </c>
      <c r="AE7" s="1285">
        <f t="shared" si="29"/>
        <v>0</v>
      </c>
      <c r="AF7" s="1285" t="str">
        <f t="shared" si="30"/>
        <v>lamb</v>
      </c>
      <c r="AG7" s="1285">
        <f t="shared" si="31"/>
        <v>0</v>
      </c>
      <c r="AH7" s="1285">
        <f t="shared" si="32"/>
        <v>0</v>
      </c>
      <c r="AI7" s="1285">
        <f t="shared" si="33"/>
        <v>0</v>
      </c>
      <c r="AJ7" s="1285">
        <f t="shared" si="34"/>
        <v>0</v>
      </c>
    </row>
    <row r="8" spans="1:36" s="1278" customFormat="1">
      <c r="A8" s="1279" t="str">
        <f>INPUTS!$C27</f>
        <v>Pigs - lactating/pregnant sows</v>
      </c>
      <c r="B8" s="1285">
        <f t="shared" si="0"/>
        <v>200</v>
      </c>
      <c r="C8" s="1285">
        <f t="shared" si="1"/>
        <v>10</v>
      </c>
      <c r="D8" s="1285">
        <f t="shared" si="2"/>
        <v>21</v>
      </c>
      <c r="E8" s="1285">
        <f t="shared" si="3"/>
        <v>60</v>
      </c>
      <c r="F8" s="1285">
        <f t="shared" si="4"/>
        <v>0.2</v>
      </c>
      <c r="G8" s="1285">
        <f t="shared" si="5"/>
        <v>0</v>
      </c>
      <c r="H8" s="653">
        <f t="shared" si="6"/>
        <v>23.400501946557938</v>
      </c>
      <c r="I8" s="1285">
        <f t="shared" si="7"/>
        <v>0</v>
      </c>
      <c r="J8" s="653">
        <f t="shared" si="8"/>
        <v>170</v>
      </c>
      <c r="K8" s="653">
        <f t="shared" si="9"/>
        <v>656.73719999999992</v>
      </c>
      <c r="L8" s="1285">
        <f t="shared" si="10"/>
        <v>0</v>
      </c>
      <c r="M8" s="1285">
        <f t="shared" si="11"/>
        <v>0</v>
      </c>
      <c r="N8" s="39">
        <f t="shared" si="12"/>
        <v>2.9782457022891916E-2</v>
      </c>
      <c r="O8" s="1285">
        <f t="shared" si="13"/>
        <v>0</v>
      </c>
      <c r="P8" s="39">
        <f t="shared" si="14"/>
        <v>0.33395999999999992</v>
      </c>
      <c r="Q8" s="39">
        <f t="shared" si="15"/>
        <v>1.2348000000000001</v>
      </c>
      <c r="R8" s="1285">
        <f t="shared" si="16"/>
        <v>0</v>
      </c>
      <c r="S8" s="1285">
        <f t="shared" si="17"/>
        <v>0</v>
      </c>
      <c r="T8" s="1285">
        <f t="shared" si="18"/>
        <v>0</v>
      </c>
      <c r="U8" s="1285">
        <f t="shared" si="19"/>
        <v>0</v>
      </c>
      <c r="V8" s="1285">
        <f t="shared" si="20"/>
        <v>0.5</v>
      </c>
      <c r="W8" s="1285">
        <f t="shared" si="21"/>
        <v>0</v>
      </c>
      <c r="X8" s="1285">
        <f t="shared" si="22"/>
        <v>0</v>
      </c>
      <c r="Y8" s="1285">
        <f t="shared" si="23"/>
        <v>0</v>
      </c>
      <c r="Z8" s="1285">
        <f t="shared" si="24"/>
        <v>2580</v>
      </c>
      <c r="AA8" s="1285">
        <f t="shared" si="25"/>
        <v>21</v>
      </c>
      <c r="AB8" s="1285">
        <f t="shared" si="26"/>
        <v>0</v>
      </c>
      <c r="AC8" s="1285">
        <f t="shared" si="27"/>
        <v>0</v>
      </c>
      <c r="AD8" s="1285">
        <f t="shared" si="28"/>
        <v>0.04</v>
      </c>
      <c r="AE8" s="1285">
        <f t="shared" si="29"/>
        <v>0</v>
      </c>
      <c r="AF8" s="1285" t="str">
        <f t="shared" si="30"/>
        <v>pork</v>
      </c>
      <c r="AG8" s="1285">
        <f t="shared" si="31"/>
        <v>0</v>
      </c>
      <c r="AH8" s="1285">
        <f t="shared" si="32"/>
        <v>0</v>
      </c>
      <c r="AI8" s="1285">
        <f t="shared" si="33"/>
        <v>0</v>
      </c>
      <c r="AJ8" s="1285">
        <f t="shared" si="34"/>
        <v>0</v>
      </c>
    </row>
    <row r="9" spans="1:36" s="1278" customFormat="1">
      <c r="A9" s="1279" t="str">
        <f>INPUTS!$C28</f>
        <v>Calves</v>
      </c>
      <c r="B9" s="1285">
        <f t="shared" si="0"/>
        <v>70</v>
      </c>
      <c r="C9" s="1285">
        <f t="shared" si="1"/>
        <v>0</v>
      </c>
      <c r="D9" s="1285">
        <f t="shared" si="2"/>
        <v>0</v>
      </c>
      <c r="E9" s="1285">
        <f t="shared" si="3"/>
        <v>0</v>
      </c>
      <c r="F9" s="1285">
        <f t="shared" si="4"/>
        <v>0</v>
      </c>
      <c r="G9" s="1285">
        <f t="shared" si="5"/>
        <v>2</v>
      </c>
      <c r="H9" s="653">
        <f t="shared" si="6"/>
        <v>12.100227462467942</v>
      </c>
      <c r="I9" s="1285">
        <f t="shared" si="7"/>
        <v>0</v>
      </c>
      <c r="J9" s="653">
        <f t="shared" si="8"/>
        <v>0</v>
      </c>
      <c r="K9" s="653">
        <f t="shared" si="9"/>
        <v>0</v>
      </c>
      <c r="L9" s="1285">
        <f t="shared" si="10"/>
        <v>0</v>
      </c>
      <c r="M9" s="1285">
        <f t="shared" si="11"/>
        <v>50</v>
      </c>
      <c r="N9" s="39">
        <f t="shared" si="12"/>
        <v>7.0000000000000007E-2</v>
      </c>
      <c r="O9" s="1285">
        <f t="shared" si="13"/>
        <v>0</v>
      </c>
      <c r="P9" s="39">
        <f t="shared" si="14"/>
        <v>0</v>
      </c>
      <c r="Q9" s="39">
        <f t="shared" si="15"/>
        <v>0</v>
      </c>
      <c r="R9" s="1285">
        <f t="shared" si="16"/>
        <v>0</v>
      </c>
      <c r="S9" s="1285">
        <f t="shared" si="17"/>
        <v>0.4</v>
      </c>
      <c r="T9" s="1285">
        <f t="shared" si="18"/>
        <v>0</v>
      </c>
      <c r="U9" s="1285">
        <f t="shared" si="19"/>
        <v>0</v>
      </c>
      <c r="V9" s="1285">
        <f t="shared" si="20"/>
        <v>0</v>
      </c>
      <c r="W9" s="1285">
        <f t="shared" si="21"/>
        <v>0</v>
      </c>
      <c r="X9" s="1285">
        <f t="shared" si="22"/>
        <v>0</v>
      </c>
      <c r="Y9" s="1285">
        <f t="shared" si="23"/>
        <v>0</v>
      </c>
      <c r="Z9" s="1285">
        <f t="shared" si="24"/>
        <v>2200</v>
      </c>
      <c r="AA9" s="1285">
        <f t="shared" si="25"/>
        <v>26</v>
      </c>
      <c r="AB9" s="1285">
        <f t="shared" si="26"/>
        <v>0.5</v>
      </c>
      <c r="AC9" s="1285">
        <f t="shared" si="27"/>
        <v>0</v>
      </c>
      <c r="AD9" s="1285">
        <f t="shared" si="28"/>
        <v>2.9000000000000001E-2</v>
      </c>
      <c r="AE9" s="1285">
        <f t="shared" si="29"/>
        <v>0</v>
      </c>
      <c r="AF9" s="1285" t="str">
        <f t="shared" si="30"/>
        <v>beef</v>
      </c>
      <c r="AG9" s="1285">
        <f t="shared" si="31"/>
        <v>200</v>
      </c>
      <c r="AH9" s="1285">
        <f t="shared" si="32"/>
        <v>5</v>
      </c>
      <c r="AI9" s="1285">
        <f t="shared" si="33"/>
        <v>0</v>
      </c>
      <c r="AJ9" s="1285">
        <f t="shared" si="34"/>
        <v>2</v>
      </c>
    </row>
    <row r="10" spans="1:36" s="1278" customFormat="1">
      <c r="A10" s="1279" t="str">
        <f>INPUTS!$C29</f>
        <v>Cows (high productive)</v>
      </c>
      <c r="B10" s="1285">
        <f t="shared" si="0"/>
        <v>600</v>
      </c>
      <c r="C10" s="1285">
        <f t="shared" si="1"/>
        <v>0</v>
      </c>
      <c r="D10" s="1285">
        <f t="shared" si="2"/>
        <v>0</v>
      </c>
      <c r="E10" s="1285">
        <f t="shared" si="3"/>
        <v>0</v>
      </c>
      <c r="F10" s="1285">
        <f t="shared" si="4"/>
        <v>0</v>
      </c>
      <c r="G10" s="1285">
        <f t="shared" si="5"/>
        <v>2</v>
      </c>
      <c r="H10" s="653">
        <f t="shared" si="6"/>
        <v>60.615465140298674</v>
      </c>
      <c r="I10" s="1285">
        <f t="shared" si="7"/>
        <v>2</v>
      </c>
      <c r="J10" s="653">
        <f t="shared" si="8"/>
        <v>2000</v>
      </c>
      <c r="K10" s="653">
        <f t="shared" si="9"/>
        <v>0</v>
      </c>
      <c r="L10" s="1285">
        <f t="shared" si="10"/>
        <v>5.5</v>
      </c>
      <c r="M10" s="1285">
        <f t="shared" si="11"/>
        <v>0</v>
      </c>
      <c r="N10" s="39">
        <f t="shared" si="12"/>
        <v>0.6</v>
      </c>
      <c r="O10" s="1285">
        <f t="shared" si="13"/>
        <v>0</v>
      </c>
      <c r="P10" s="39">
        <f t="shared" si="14"/>
        <v>15</v>
      </c>
      <c r="Q10" s="39">
        <f t="shared" si="15"/>
        <v>0</v>
      </c>
      <c r="R10" s="1285">
        <f t="shared" si="16"/>
        <v>0.09</v>
      </c>
      <c r="S10" s="1285">
        <f t="shared" si="17"/>
        <v>0</v>
      </c>
      <c r="T10" s="1285">
        <f t="shared" si="18"/>
        <v>0</v>
      </c>
      <c r="U10" s="1285">
        <f t="shared" si="19"/>
        <v>0</v>
      </c>
      <c r="V10" s="1285">
        <f t="shared" si="20"/>
        <v>1</v>
      </c>
      <c r="W10" s="1285">
        <f t="shared" si="21"/>
        <v>3.2</v>
      </c>
      <c r="X10" s="1285">
        <f t="shared" si="22"/>
        <v>4</v>
      </c>
      <c r="Y10" s="1285">
        <f t="shared" si="23"/>
        <v>970</v>
      </c>
      <c r="Z10" s="1285">
        <f t="shared" si="24"/>
        <v>2200</v>
      </c>
      <c r="AA10" s="1285">
        <f t="shared" si="25"/>
        <v>26</v>
      </c>
      <c r="AB10" s="1285">
        <f t="shared" si="26"/>
        <v>0</v>
      </c>
      <c r="AC10" s="1285">
        <f t="shared" si="27"/>
        <v>0</v>
      </c>
      <c r="AD10" s="1285">
        <f t="shared" si="28"/>
        <v>2.9000000000000001E-2</v>
      </c>
      <c r="AE10" s="1285">
        <f t="shared" si="29"/>
        <v>0</v>
      </c>
      <c r="AF10" s="1285" t="str">
        <f t="shared" si="30"/>
        <v>beef</v>
      </c>
      <c r="AG10" s="1285">
        <f t="shared" si="31"/>
        <v>1500</v>
      </c>
      <c r="AH10" s="1285">
        <f t="shared" si="32"/>
        <v>20</v>
      </c>
      <c r="AI10" s="1285">
        <f t="shared" si="33"/>
        <v>0</v>
      </c>
      <c r="AJ10" s="1285">
        <f t="shared" si="34"/>
        <v>8</v>
      </c>
    </row>
    <row r="11" spans="1:36" s="1278" customFormat="1">
      <c r="A11" s="1280">
        <f>INPUTS!$C30</f>
        <v>0</v>
      </c>
      <c r="B11" s="1285">
        <f t="shared" si="0"/>
        <v>0</v>
      </c>
      <c r="C11" s="1285">
        <f t="shared" si="1"/>
        <v>0</v>
      </c>
      <c r="D11" s="1285">
        <f t="shared" si="2"/>
        <v>0</v>
      </c>
      <c r="E11" s="1285">
        <f t="shared" si="3"/>
        <v>0</v>
      </c>
      <c r="F11" s="1285">
        <f t="shared" si="4"/>
        <v>0</v>
      </c>
      <c r="G11" s="1285">
        <f t="shared" si="5"/>
        <v>0</v>
      </c>
      <c r="H11" s="653">
        <f t="shared" si="6"/>
        <v>0</v>
      </c>
      <c r="I11" s="1285">
        <f t="shared" si="7"/>
        <v>0</v>
      </c>
      <c r="J11" s="653">
        <f t="shared" si="8"/>
        <v>0</v>
      </c>
      <c r="K11" s="653">
        <f t="shared" si="9"/>
        <v>0</v>
      </c>
      <c r="L11" s="1285">
        <f t="shared" si="10"/>
        <v>0</v>
      </c>
      <c r="M11" s="1285">
        <f t="shared" si="11"/>
        <v>0</v>
      </c>
      <c r="N11" s="39">
        <f t="shared" si="12"/>
        <v>0</v>
      </c>
      <c r="O11" s="1285">
        <f t="shared" si="13"/>
        <v>0</v>
      </c>
      <c r="P11" s="39">
        <f t="shared" si="14"/>
        <v>0</v>
      </c>
      <c r="Q11" s="39">
        <f t="shared" si="15"/>
        <v>0</v>
      </c>
      <c r="R11" s="1285">
        <f t="shared" si="16"/>
        <v>0</v>
      </c>
      <c r="S11" s="1285">
        <f t="shared" si="17"/>
        <v>0</v>
      </c>
      <c r="T11" s="1285">
        <f t="shared" si="18"/>
        <v>0</v>
      </c>
      <c r="U11" s="1285">
        <f t="shared" si="19"/>
        <v>0</v>
      </c>
      <c r="V11" s="1285">
        <f t="shared" si="20"/>
        <v>0</v>
      </c>
      <c r="W11" s="1285">
        <f t="shared" si="21"/>
        <v>0</v>
      </c>
      <c r="X11" s="1285">
        <f t="shared" si="22"/>
        <v>0</v>
      </c>
      <c r="Y11" s="1285">
        <f t="shared" si="23"/>
        <v>0</v>
      </c>
      <c r="Z11" s="1285">
        <f t="shared" si="24"/>
        <v>0</v>
      </c>
      <c r="AA11" s="1285">
        <f t="shared" si="25"/>
        <v>0</v>
      </c>
      <c r="AB11" s="1285">
        <f t="shared" si="26"/>
        <v>0</v>
      </c>
      <c r="AC11" s="1285">
        <f t="shared" si="27"/>
        <v>0</v>
      </c>
      <c r="AD11" s="1285">
        <f t="shared" si="28"/>
        <v>0</v>
      </c>
      <c r="AE11" s="1285">
        <f t="shared" si="29"/>
        <v>0</v>
      </c>
      <c r="AF11" s="1285">
        <f t="shared" si="30"/>
        <v>0</v>
      </c>
      <c r="AG11" s="1285">
        <f t="shared" si="31"/>
        <v>0</v>
      </c>
      <c r="AH11" s="1285">
        <f t="shared" si="32"/>
        <v>0</v>
      </c>
      <c r="AI11" s="1285">
        <f t="shared" si="33"/>
        <v>0</v>
      </c>
      <c r="AJ11" s="1285">
        <f t="shared" si="34"/>
        <v>0</v>
      </c>
    </row>
    <row r="12" spans="1:36" s="1280" customFormat="1">
      <c r="A12" s="1280">
        <f>INPUTS!$C31</f>
        <v>0</v>
      </c>
      <c r="B12" s="1285">
        <f t="shared" si="0"/>
        <v>0</v>
      </c>
      <c r="C12" s="1285">
        <f t="shared" si="1"/>
        <v>0</v>
      </c>
      <c r="D12" s="1285">
        <f t="shared" si="2"/>
        <v>0</v>
      </c>
      <c r="E12" s="1285">
        <f t="shared" si="3"/>
        <v>0</v>
      </c>
      <c r="F12" s="1285">
        <f t="shared" si="4"/>
        <v>0</v>
      </c>
      <c r="G12" s="1285">
        <f t="shared" si="5"/>
        <v>0</v>
      </c>
      <c r="H12" s="653">
        <f t="shared" si="6"/>
        <v>0</v>
      </c>
      <c r="I12" s="1285">
        <f t="shared" si="7"/>
        <v>0</v>
      </c>
      <c r="J12" s="653">
        <f t="shared" si="8"/>
        <v>0</v>
      </c>
      <c r="K12" s="653">
        <f t="shared" si="9"/>
        <v>0</v>
      </c>
      <c r="L12" s="1285">
        <f t="shared" si="10"/>
        <v>0</v>
      </c>
      <c r="M12" s="1285">
        <f t="shared" si="11"/>
        <v>0</v>
      </c>
      <c r="N12" s="39">
        <f t="shared" si="12"/>
        <v>0</v>
      </c>
      <c r="O12" s="1285">
        <f t="shared" si="13"/>
        <v>0</v>
      </c>
      <c r="P12" s="39">
        <f t="shared" si="14"/>
        <v>0</v>
      </c>
      <c r="Q12" s="39">
        <f t="shared" si="15"/>
        <v>0</v>
      </c>
      <c r="R12" s="1285">
        <f t="shared" si="16"/>
        <v>0</v>
      </c>
      <c r="S12" s="1285">
        <f t="shared" si="17"/>
        <v>0</v>
      </c>
      <c r="T12" s="1285">
        <f t="shared" si="18"/>
        <v>0</v>
      </c>
      <c r="U12" s="1285">
        <f t="shared" si="19"/>
        <v>0</v>
      </c>
      <c r="V12" s="1285">
        <f t="shared" si="20"/>
        <v>0</v>
      </c>
      <c r="W12" s="1285">
        <f t="shared" si="21"/>
        <v>0</v>
      </c>
      <c r="X12" s="1285">
        <f t="shared" si="22"/>
        <v>0</v>
      </c>
      <c r="Y12" s="1285">
        <f t="shared" si="23"/>
        <v>0</v>
      </c>
      <c r="Z12" s="1285">
        <f t="shared" si="24"/>
        <v>0</v>
      </c>
      <c r="AA12" s="1285">
        <f t="shared" si="25"/>
        <v>0</v>
      </c>
      <c r="AB12" s="1285">
        <f t="shared" si="26"/>
        <v>0</v>
      </c>
      <c r="AC12" s="1285">
        <f t="shared" si="27"/>
        <v>0</v>
      </c>
      <c r="AD12" s="1285">
        <f t="shared" si="28"/>
        <v>0</v>
      </c>
      <c r="AE12" s="1285">
        <f t="shared" si="29"/>
        <v>0</v>
      </c>
      <c r="AF12" s="1285">
        <f t="shared" si="30"/>
        <v>0</v>
      </c>
      <c r="AG12" s="1285">
        <f t="shared" si="31"/>
        <v>0</v>
      </c>
      <c r="AH12" s="1285">
        <f t="shared" si="32"/>
        <v>0</v>
      </c>
      <c r="AI12" s="1285">
        <f t="shared" si="33"/>
        <v>0</v>
      </c>
      <c r="AJ12" s="1285">
        <f t="shared" si="34"/>
        <v>0</v>
      </c>
    </row>
    <row r="13" spans="1:36" s="1280" customFormat="1">
      <c r="A13" s="1280">
        <f>INPUTS!$C32</f>
        <v>0</v>
      </c>
      <c r="B13" s="1285">
        <f t="shared" si="0"/>
        <v>0</v>
      </c>
      <c r="C13" s="1285">
        <f t="shared" si="1"/>
        <v>0</v>
      </c>
      <c r="D13" s="1285">
        <f t="shared" si="2"/>
        <v>0</v>
      </c>
      <c r="E13" s="1285">
        <f t="shared" si="3"/>
        <v>0</v>
      </c>
      <c r="F13" s="1285">
        <f t="shared" si="4"/>
        <v>0</v>
      </c>
      <c r="G13" s="1285">
        <f t="shared" si="5"/>
        <v>0</v>
      </c>
      <c r="H13" s="653">
        <f t="shared" si="6"/>
        <v>0</v>
      </c>
      <c r="I13" s="1285">
        <f t="shared" si="7"/>
        <v>0</v>
      </c>
      <c r="J13" s="653">
        <f t="shared" si="8"/>
        <v>0</v>
      </c>
      <c r="K13" s="653">
        <f t="shared" si="9"/>
        <v>0</v>
      </c>
      <c r="L13" s="1285">
        <f t="shared" si="10"/>
        <v>0</v>
      </c>
      <c r="M13" s="1285">
        <f t="shared" si="11"/>
        <v>0</v>
      </c>
      <c r="N13" s="39">
        <f t="shared" si="12"/>
        <v>0</v>
      </c>
      <c r="O13" s="1285">
        <f t="shared" si="13"/>
        <v>0</v>
      </c>
      <c r="P13" s="39">
        <f t="shared" si="14"/>
        <v>0</v>
      </c>
      <c r="Q13" s="39">
        <f t="shared" si="15"/>
        <v>0</v>
      </c>
      <c r="R13" s="1285">
        <f t="shared" si="16"/>
        <v>0</v>
      </c>
      <c r="S13" s="1285">
        <f t="shared" si="17"/>
        <v>0</v>
      </c>
      <c r="T13" s="1285">
        <f t="shared" si="18"/>
        <v>0</v>
      </c>
      <c r="U13" s="1285">
        <f t="shared" si="19"/>
        <v>0</v>
      </c>
      <c r="V13" s="1285">
        <f t="shared" si="20"/>
        <v>0</v>
      </c>
      <c r="W13" s="1285">
        <f t="shared" si="21"/>
        <v>0</v>
      </c>
      <c r="X13" s="1285">
        <f t="shared" si="22"/>
        <v>0</v>
      </c>
      <c r="Y13" s="1285">
        <f t="shared" si="23"/>
        <v>0</v>
      </c>
      <c r="Z13" s="1285">
        <f t="shared" si="24"/>
        <v>0</v>
      </c>
      <c r="AA13" s="1285">
        <f t="shared" si="25"/>
        <v>0</v>
      </c>
      <c r="AB13" s="1285">
        <f t="shared" si="26"/>
        <v>0</v>
      </c>
      <c r="AC13" s="1285">
        <f t="shared" si="27"/>
        <v>0</v>
      </c>
      <c r="AD13" s="1285">
        <f t="shared" si="28"/>
        <v>0</v>
      </c>
      <c r="AE13" s="1285">
        <f t="shared" si="29"/>
        <v>0</v>
      </c>
      <c r="AF13" s="1285">
        <f t="shared" si="30"/>
        <v>0</v>
      </c>
      <c r="AG13" s="1285">
        <f t="shared" si="31"/>
        <v>0</v>
      </c>
      <c r="AH13" s="1285">
        <f t="shared" si="32"/>
        <v>0</v>
      </c>
      <c r="AI13" s="1285">
        <f t="shared" si="33"/>
        <v>0</v>
      </c>
      <c r="AJ13" s="1285">
        <f t="shared" si="34"/>
        <v>0</v>
      </c>
    </row>
    <row r="14" spans="1:36" s="1280" customFormat="1">
      <c r="A14" s="1280">
        <f>INPUTS!$C33</f>
        <v>0</v>
      </c>
      <c r="B14" s="1285">
        <f t="shared" si="0"/>
        <v>0</v>
      </c>
      <c r="C14" s="1285">
        <f t="shared" si="1"/>
        <v>0</v>
      </c>
      <c r="D14" s="1285">
        <f t="shared" si="2"/>
        <v>0</v>
      </c>
      <c r="E14" s="1285">
        <f t="shared" si="3"/>
        <v>0</v>
      </c>
      <c r="F14" s="1285">
        <f t="shared" si="4"/>
        <v>0</v>
      </c>
      <c r="G14" s="1285">
        <f t="shared" si="5"/>
        <v>0</v>
      </c>
      <c r="H14" s="653">
        <f t="shared" si="6"/>
        <v>0</v>
      </c>
      <c r="I14" s="1285">
        <f t="shared" si="7"/>
        <v>0</v>
      </c>
      <c r="J14" s="653">
        <f t="shared" si="8"/>
        <v>0</v>
      </c>
      <c r="K14" s="653">
        <f t="shared" si="9"/>
        <v>0</v>
      </c>
      <c r="L14" s="1285">
        <f t="shared" si="10"/>
        <v>0</v>
      </c>
      <c r="M14" s="1285">
        <f t="shared" si="11"/>
        <v>0</v>
      </c>
      <c r="N14" s="39">
        <f t="shared" si="12"/>
        <v>0</v>
      </c>
      <c r="O14" s="1285">
        <f t="shared" si="13"/>
        <v>0</v>
      </c>
      <c r="P14" s="39">
        <f t="shared" si="14"/>
        <v>0</v>
      </c>
      <c r="Q14" s="39">
        <f t="shared" si="15"/>
        <v>0</v>
      </c>
      <c r="R14" s="1285">
        <f t="shared" si="16"/>
        <v>0</v>
      </c>
      <c r="S14" s="1285">
        <f t="shared" si="17"/>
        <v>0</v>
      </c>
      <c r="T14" s="1285">
        <f t="shared" si="18"/>
        <v>0</v>
      </c>
      <c r="U14" s="1285">
        <f t="shared" si="19"/>
        <v>0</v>
      </c>
      <c r="V14" s="1285">
        <f t="shared" si="20"/>
        <v>0</v>
      </c>
      <c r="W14" s="1285">
        <f t="shared" si="21"/>
        <v>0</v>
      </c>
      <c r="X14" s="1285">
        <f t="shared" si="22"/>
        <v>0</v>
      </c>
      <c r="Y14" s="1285">
        <f t="shared" si="23"/>
        <v>0</v>
      </c>
      <c r="Z14" s="1285">
        <f t="shared" si="24"/>
        <v>0</v>
      </c>
      <c r="AA14" s="1285">
        <f t="shared" si="25"/>
        <v>0</v>
      </c>
      <c r="AB14" s="1285">
        <f t="shared" si="26"/>
        <v>0</v>
      </c>
      <c r="AC14" s="1285">
        <f t="shared" si="27"/>
        <v>0</v>
      </c>
      <c r="AD14" s="1285">
        <f t="shared" si="28"/>
        <v>0</v>
      </c>
      <c r="AE14" s="1285">
        <f t="shared" si="29"/>
        <v>0</v>
      </c>
      <c r="AF14" s="1285">
        <f t="shared" si="30"/>
        <v>0</v>
      </c>
      <c r="AG14" s="1285">
        <f t="shared" si="31"/>
        <v>0</v>
      </c>
      <c r="AH14" s="1285">
        <f t="shared" si="32"/>
        <v>0</v>
      </c>
      <c r="AI14" s="1285">
        <f t="shared" si="33"/>
        <v>0</v>
      </c>
      <c r="AJ14" s="1285">
        <f t="shared" si="34"/>
        <v>0</v>
      </c>
    </row>
    <row r="15" spans="1:36" s="1280" customFormat="1">
      <c r="A15" s="1280">
        <f>INPUTS!$C34</f>
        <v>0</v>
      </c>
      <c r="B15" s="1285">
        <f t="shared" si="0"/>
        <v>0</v>
      </c>
      <c r="C15" s="1285">
        <f t="shared" si="1"/>
        <v>0</v>
      </c>
      <c r="D15" s="1285">
        <f t="shared" si="2"/>
        <v>0</v>
      </c>
      <c r="E15" s="1285">
        <f t="shared" si="3"/>
        <v>0</v>
      </c>
      <c r="F15" s="1285">
        <f t="shared" si="4"/>
        <v>0</v>
      </c>
      <c r="G15" s="1285">
        <f t="shared" si="5"/>
        <v>0</v>
      </c>
      <c r="H15" s="653">
        <f t="shared" si="6"/>
        <v>0</v>
      </c>
      <c r="I15" s="1285">
        <f t="shared" si="7"/>
        <v>0</v>
      </c>
      <c r="J15" s="653">
        <f t="shared" si="8"/>
        <v>0</v>
      </c>
      <c r="K15" s="653">
        <f t="shared" si="9"/>
        <v>0</v>
      </c>
      <c r="L15" s="1285">
        <f t="shared" si="10"/>
        <v>0</v>
      </c>
      <c r="M15" s="1285">
        <f t="shared" si="11"/>
        <v>0</v>
      </c>
      <c r="N15" s="39">
        <f t="shared" si="12"/>
        <v>0</v>
      </c>
      <c r="O15" s="1285">
        <f t="shared" si="13"/>
        <v>0</v>
      </c>
      <c r="P15" s="39">
        <f t="shared" si="14"/>
        <v>0</v>
      </c>
      <c r="Q15" s="39">
        <f t="shared" si="15"/>
        <v>0</v>
      </c>
      <c r="R15" s="1285">
        <f t="shared" si="16"/>
        <v>0</v>
      </c>
      <c r="S15" s="1285">
        <f t="shared" si="17"/>
        <v>0</v>
      </c>
      <c r="T15" s="1285">
        <f t="shared" si="18"/>
        <v>0</v>
      </c>
      <c r="U15" s="1285">
        <f t="shared" si="19"/>
        <v>0</v>
      </c>
      <c r="V15" s="1285">
        <f t="shared" si="20"/>
        <v>0</v>
      </c>
      <c r="W15" s="1285">
        <f t="shared" si="21"/>
        <v>0</v>
      </c>
      <c r="X15" s="1285">
        <f t="shared" si="22"/>
        <v>0</v>
      </c>
      <c r="Y15" s="1285">
        <f t="shared" si="23"/>
        <v>0</v>
      </c>
      <c r="Z15" s="1285">
        <f t="shared" si="24"/>
        <v>0</v>
      </c>
      <c r="AA15" s="1285">
        <f t="shared" si="25"/>
        <v>0</v>
      </c>
      <c r="AB15" s="1285">
        <f t="shared" si="26"/>
        <v>0</v>
      </c>
      <c r="AC15" s="1285">
        <f t="shared" si="27"/>
        <v>0</v>
      </c>
      <c r="AD15" s="1285">
        <f t="shared" si="28"/>
        <v>0</v>
      </c>
      <c r="AE15" s="1285">
        <f t="shared" si="29"/>
        <v>0</v>
      </c>
      <c r="AF15" s="1285">
        <f t="shared" si="30"/>
        <v>0</v>
      </c>
      <c r="AG15" s="1285">
        <f t="shared" si="31"/>
        <v>0</v>
      </c>
      <c r="AH15" s="1285">
        <f t="shared" si="32"/>
        <v>0</v>
      </c>
      <c r="AI15" s="1285">
        <f t="shared" si="33"/>
        <v>0</v>
      </c>
      <c r="AJ15" s="1285">
        <f t="shared" si="34"/>
        <v>0</v>
      </c>
    </row>
    <row r="16" spans="1:36" s="1278" customFormat="1">
      <c r="G16" s="847"/>
      <c r="H16" s="847"/>
      <c r="I16" s="847"/>
      <c r="J16" s="847"/>
      <c r="K16" s="847"/>
      <c r="L16" s="847"/>
      <c r="M16" s="847"/>
      <c r="N16" s="847"/>
      <c r="O16" s="847"/>
      <c r="P16" s="847"/>
    </row>
    <row r="17" spans="1:52">
      <c r="A17" s="737"/>
      <c r="B17" s="737"/>
      <c r="C17" s="737"/>
      <c r="D17" s="737"/>
      <c r="E17" s="737"/>
      <c r="F17" s="737"/>
      <c r="G17" s="737"/>
      <c r="H17" s="737"/>
      <c r="I17" s="844"/>
      <c r="J17" s="844"/>
      <c r="K17" s="844"/>
      <c r="L17" s="844"/>
      <c r="M17" s="844"/>
      <c r="N17" s="844"/>
      <c r="O17" s="844"/>
      <c r="P17" s="844"/>
      <c r="Q17" s="844"/>
      <c r="R17" s="844"/>
      <c r="S17" s="737"/>
      <c r="T17" s="737"/>
      <c r="U17" s="737"/>
      <c r="V17" s="737"/>
      <c r="W17" s="737"/>
      <c r="X17" s="737"/>
      <c r="Y17" s="737"/>
      <c r="Z17" s="737"/>
      <c r="AA17" s="737"/>
      <c r="AB17" s="737"/>
      <c r="AC17" s="737"/>
      <c r="AD17" s="737"/>
      <c r="AE17" s="737"/>
    </row>
    <row r="18" spans="1:52" s="145" customFormat="1" ht="16.5" thickBot="1">
      <c r="A18" s="11"/>
      <c r="B18" s="11"/>
      <c r="C18" s="11"/>
      <c r="D18" s="11"/>
      <c r="E18" s="11"/>
      <c r="F18" s="11"/>
      <c r="G18" s="11"/>
      <c r="H18" s="11"/>
      <c r="I18" s="845"/>
      <c r="J18" s="845"/>
      <c r="L18" s="845"/>
      <c r="M18" s="845"/>
      <c r="N18" s="845"/>
      <c r="O18" s="845"/>
      <c r="P18" s="845"/>
      <c r="Q18" s="845"/>
      <c r="R18" s="845"/>
      <c r="S18" s="845"/>
      <c r="T18" s="845"/>
      <c r="U18" s="11"/>
      <c r="V18" s="11"/>
      <c r="W18" s="11"/>
      <c r="X18" s="143"/>
      <c r="Y18" s="11"/>
      <c r="Z18" s="143"/>
      <c r="AA18" s="143"/>
      <c r="AB18" s="143"/>
      <c r="AC18" s="143"/>
      <c r="AD18" s="143"/>
      <c r="AE18" s="738"/>
      <c r="AF18" s="738"/>
      <c r="AG18" s="738"/>
      <c r="AJ18" s="230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</row>
    <row r="19" spans="1:52" s="154" customFormat="1" ht="105.95" customHeight="1">
      <c r="A19" s="739" t="s">
        <v>80</v>
      </c>
      <c r="B19" s="740" t="s">
        <v>627</v>
      </c>
      <c r="C19" s="740" t="s">
        <v>1736</v>
      </c>
      <c r="D19" s="740" t="s">
        <v>1785</v>
      </c>
      <c r="E19" s="740" t="s">
        <v>1737</v>
      </c>
      <c r="F19" s="740" t="s">
        <v>1738</v>
      </c>
      <c r="G19" s="740" t="s">
        <v>1599</v>
      </c>
      <c r="H19" s="740" t="s">
        <v>1675</v>
      </c>
      <c r="I19" s="740" t="s">
        <v>1452</v>
      </c>
      <c r="J19" s="740" t="s">
        <v>1600</v>
      </c>
      <c r="K19" s="1239" t="s">
        <v>1794</v>
      </c>
      <c r="L19" s="740" t="s">
        <v>1793</v>
      </c>
      <c r="M19" s="740" t="s">
        <v>1454</v>
      </c>
      <c r="N19" s="740" t="s">
        <v>1677</v>
      </c>
      <c r="O19" s="740" t="s">
        <v>1455</v>
      </c>
      <c r="P19" s="740" t="s">
        <v>1678</v>
      </c>
      <c r="Q19" s="740" t="s">
        <v>1795</v>
      </c>
      <c r="R19" s="740" t="s">
        <v>1796</v>
      </c>
      <c r="S19" s="740" t="s">
        <v>1679</v>
      </c>
      <c r="T19" s="740" t="s">
        <v>1357</v>
      </c>
      <c r="U19" s="741" t="s">
        <v>1356</v>
      </c>
      <c r="V19" s="1206" t="s">
        <v>1730</v>
      </c>
      <c r="W19" s="741" t="s">
        <v>1120</v>
      </c>
      <c r="X19" s="741" t="s">
        <v>1121</v>
      </c>
      <c r="Y19" s="741" t="s">
        <v>1122</v>
      </c>
      <c r="Z19" s="740" t="s">
        <v>1123</v>
      </c>
      <c r="AA19" s="741" t="s">
        <v>1345</v>
      </c>
      <c r="AB19" s="740" t="s">
        <v>1344</v>
      </c>
      <c r="AC19" s="740" t="s">
        <v>1124</v>
      </c>
      <c r="AD19" s="742" t="s">
        <v>1125</v>
      </c>
      <c r="AE19" s="1043"/>
      <c r="AF19" s="1016" t="s">
        <v>1585</v>
      </c>
      <c r="AG19" s="1179" t="s">
        <v>1716</v>
      </c>
      <c r="AH19" s="1043" t="s">
        <v>1717</v>
      </c>
      <c r="AI19" s="1043" t="s">
        <v>1718</v>
      </c>
      <c r="AJ19" s="1175" t="s">
        <v>1715</v>
      </c>
      <c r="AL19" s="30" t="s">
        <v>1845</v>
      </c>
      <c r="AM19" s="30" t="s">
        <v>1844</v>
      </c>
      <c r="AN19" s="30" t="s">
        <v>1843</v>
      </c>
      <c r="AO19" s="30" t="s">
        <v>1847</v>
      </c>
      <c r="AP19" s="1281"/>
      <c r="AQ19" s="1281"/>
      <c r="AR19" s="1281"/>
      <c r="AS19" s="2"/>
      <c r="AT19" s="2"/>
      <c r="AU19" s="2"/>
      <c r="AV19" s="2"/>
      <c r="AW19" s="2"/>
      <c r="AX19" s="2"/>
      <c r="AY19" s="2"/>
      <c r="AZ19" s="2"/>
    </row>
    <row r="20" spans="1:52" s="145" customFormat="1">
      <c r="A20" s="763" t="s">
        <v>1820</v>
      </c>
      <c r="B20" s="1092">
        <v>350</v>
      </c>
      <c r="C20" s="1092"/>
      <c r="D20" s="1092"/>
      <c r="E20" s="1092"/>
      <c r="F20" s="1095"/>
      <c r="G20" s="1266">
        <f>2*INPUTS!L21</f>
        <v>2</v>
      </c>
      <c r="H20" s="1266">
        <f>0.5*B20^0.75</f>
        <v>40.459549017674419</v>
      </c>
      <c r="I20" s="1093">
        <v>2</v>
      </c>
      <c r="J20" s="1093">
        <v>1260</v>
      </c>
      <c r="K20" s="668"/>
      <c r="L20" s="1093">
        <v>5.5</v>
      </c>
      <c r="M20" s="1093"/>
      <c r="N20" s="1271">
        <f>0.001*B20</f>
        <v>0.35000000000000003</v>
      </c>
      <c r="O20" s="1094"/>
      <c r="P20" s="1095">
        <v>9.64</v>
      </c>
      <c r="Q20" s="1095"/>
      <c r="R20" s="1095">
        <v>0.09</v>
      </c>
      <c r="S20" s="1093"/>
      <c r="T20" s="1096"/>
      <c r="U20" s="1096"/>
      <c r="V20" s="1097">
        <f>15/12</f>
        <v>1.25</v>
      </c>
      <c r="W20" s="1098">
        <v>3.2</v>
      </c>
      <c r="X20" s="1098">
        <v>4</v>
      </c>
      <c r="Y20" s="1099">
        <v>970</v>
      </c>
      <c r="Z20" s="1099">
        <v>2200</v>
      </c>
      <c r="AA20" s="1099">
        <v>26</v>
      </c>
      <c r="AB20" s="1099"/>
      <c r="AC20" s="1100"/>
      <c r="AD20" s="977">
        <v>2.9000000000000001E-2</v>
      </c>
      <c r="AE20" s="1101"/>
      <c r="AF20" s="1186" t="s">
        <v>1586</v>
      </c>
      <c r="AG20" s="1187">
        <v>500</v>
      </c>
      <c r="AH20" s="1188">
        <v>8</v>
      </c>
      <c r="AI20" s="1188"/>
      <c r="AJ20" s="1189">
        <v>4</v>
      </c>
      <c r="AL20" s="145" t="s">
        <v>91</v>
      </c>
      <c r="AM20" s="145" t="s">
        <v>75</v>
      </c>
      <c r="AN20" s="145" t="s">
        <v>60</v>
      </c>
      <c r="AO20" s="145" t="s">
        <v>75</v>
      </c>
    </row>
    <row r="21" spans="1:52" s="145" customFormat="1">
      <c r="A21" s="763" t="s">
        <v>1821</v>
      </c>
      <c r="B21" s="1092">
        <v>450</v>
      </c>
      <c r="C21" s="1092"/>
      <c r="D21" s="1092"/>
      <c r="E21" s="1092"/>
      <c r="F21" s="1095"/>
      <c r="G21" s="1266">
        <v>2</v>
      </c>
      <c r="H21" s="1266">
        <f>0.5*B21^0.75</f>
        <v>48.851667182447308</v>
      </c>
      <c r="I21" s="1093">
        <v>2</v>
      </c>
      <c r="J21" s="1093">
        <v>1500</v>
      </c>
      <c r="K21" s="668"/>
      <c r="L21" s="1093">
        <v>5.5</v>
      </c>
      <c r="M21" s="1093"/>
      <c r="N21" s="1271">
        <f>0.001*B21</f>
        <v>0.45</v>
      </c>
      <c r="O21" s="1094"/>
      <c r="P21" s="1095">
        <v>12.21</v>
      </c>
      <c r="Q21" s="1095"/>
      <c r="R21" s="1095">
        <v>0.09</v>
      </c>
      <c r="S21" s="1093"/>
      <c r="T21" s="1096"/>
      <c r="U21" s="1096"/>
      <c r="V21" s="1288">
        <f>14/12</f>
        <v>1.1666666666666667</v>
      </c>
      <c r="W21" s="1098">
        <v>3.2</v>
      </c>
      <c r="X21" s="1098">
        <v>4</v>
      </c>
      <c r="Y21" s="1099">
        <v>970</v>
      </c>
      <c r="Z21" s="1099">
        <v>2200</v>
      </c>
      <c r="AA21" s="1099">
        <v>26</v>
      </c>
      <c r="AB21" s="1099"/>
      <c r="AC21" s="1100"/>
      <c r="AD21" s="977">
        <v>2.9000000000000001E-2</v>
      </c>
      <c r="AE21" s="1101"/>
      <c r="AF21" s="1017" t="s">
        <v>1586</v>
      </c>
      <c r="AG21" s="1180">
        <v>1500</v>
      </c>
      <c r="AH21" s="1181">
        <v>20</v>
      </c>
      <c r="AI21" s="1181"/>
      <c r="AJ21" s="1182">
        <v>8</v>
      </c>
      <c r="AL21" s="145" t="s">
        <v>75</v>
      </c>
      <c r="AM21" s="145" t="s">
        <v>75</v>
      </c>
      <c r="AN21" s="145" t="s">
        <v>60</v>
      </c>
      <c r="AO21" s="145" t="s">
        <v>75</v>
      </c>
    </row>
    <row r="22" spans="1:52" s="145" customFormat="1">
      <c r="A22" s="763" t="s">
        <v>1848</v>
      </c>
      <c r="B22" s="1092">
        <v>600</v>
      </c>
      <c r="C22" s="1092"/>
      <c r="D22" s="1092"/>
      <c r="E22" s="1092"/>
      <c r="F22" s="1095"/>
      <c r="G22" s="1266">
        <v>2</v>
      </c>
      <c r="H22" s="1266">
        <f>0.5*B22^0.75</f>
        <v>60.615465140298674</v>
      </c>
      <c r="I22" s="1093">
        <v>2</v>
      </c>
      <c r="J22" s="1093">
        <v>2000</v>
      </c>
      <c r="K22" s="668"/>
      <c r="L22" s="1093">
        <v>5.5</v>
      </c>
      <c r="M22" s="1093"/>
      <c r="N22" s="1271">
        <f>0.001*B22</f>
        <v>0.6</v>
      </c>
      <c r="O22" s="1094"/>
      <c r="P22" s="1095">
        <v>15</v>
      </c>
      <c r="Q22" s="1095"/>
      <c r="R22" s="1095">
        <v>0.09</v>
      </c>
      <c r="S22" s="1093"/>
      <c r="T22" s="1096"/>
      <c r="U22" s="1096"/>
      <c r="V22" s="1288">
        <v>1</v>
      </c>
      <c r="W22" s="1098">
        <v>3.2</v>
      </c>
      <c r="X22" s="1098">
        <v>4</v>
      </c>
      <c r="Y22" s="1099">
        <v>970</v>
      </c>
      <c r="Z22" s="1099">
        <v>2200</v>
      </c>
      <c r="AA22" s="1099">
        <v>26</v>
      </c>
      <c r="AB22" s="1099"/>
      <c r="AC22" s="1100"/>
      <c r="AD22" s="977">
        <v>2.9000000000000001E-2</v>
      </c>
      <c r="AE22" s="1101"/>
      <c r="AF22" s="1017" t="s">
        <v>1586</v>
      </c>
      <c r="AG22" s="1180">
        <v>1500</v>
      </c>
      <c r="AH22" s="1181">
        <v>20</v>
      </c>
      <c r="AI22" s="1181"/>
      <c r="AJ22" s="1182">
        <v>8</v>
      </c>
      <c r="AL22" s="145" t="s">
        <v>75</v>
      </c>
      <c r="AM22" s="145" t="s">
        <v>75</v>
      </c>
      <c r="AN22" s="145" t="s">
        <v>60</v>
      </c>
      <c r="AO22" s="145" t="s">
        <v>75</v>
      </c>
    </row>
    <row r="23" spans="1:52" s="145" customFormat="1">
      <c r="A23" s="763" t="s">
        <v>1067</v>
      </c>
      <c r="B23" s="1102">
        <v>400</v>
      </c>
      <c r="C23" s="1102"/>
      <c r="D23" s="1102"/>
      <c r="E23" s="1102"/>
      <c r="F23" s="1207"/>
      <c r="G23" s="1266">
        <f>2*INPUTS!L23</f>
        <v>2</v>
      </c>
      <c r="H23" s="1266">
        <f t="shared" ref="H23:H28" si="35">0.5*B23^0.75</f>
        <v>44.721359549995796</v>
      </c>
      <c r="I23" s="1093">
        <v>2</v>
      </c>
      <c r="J23" s="1093"/>
      <c r="K23" s="1102"/>
      <c r="L23" s="1102"/>
      <c r="M23" s="1102"/>
      <c r="N23" s="1271">
        <f t="shared" ref="N23:N28" si="36">0.001*B23</f>
        <v>0.4</v>
      </c>
      <c r="O23" s="1103"/>
      <c r="P23" s="1102"/>
      <c r="Q23" s="1102"/>
      <c r="R23" s="1102"/>
      <c r="S23" s="1102"/>
      <c r="T23" s="1096"/>
      <c r="U23" s="1096"/>
      <c r="V23" s="1100"/>
      <c r="W23" s="1100"/>
      <c r="X23" s="1100"/>
      <c r="Y23" s="1100"/>
      <c r="Z23" s="1099">
        <v>2200</v>
      </c>
      <c r="AA23" s="1099">
        <v>26</v>
      </c>
      <c r="AB23" s="1099"/>
      <c r="AC23" s="1100"/>
      <c r="AD23" s="977">
        <v>2.9000000000000001E-2</v>
      </c>
      <c r="AE23" s="1101"/>
      <c r="AF23" s="1017" t="s">
        <v>1586</v>
      </c>
      <c r="AG23" s="1180">
        <v>1500</v>
      </c>
      <c r="AH23" s="1181">
        <v>8</v>
      </c>
      <c r="AI23" s="1181"/>
      <c r="AJ23" s="1182">
        <v>2</v>
      </c>
      <c r="AL23" s="145" t="s">
        <v>93</v>
      </c>
      <c r="AM23" s="145" t="s">
        <v>1839</v>
      </c>
      <c r="AN23" s="145" t="s">
        <v>59</v>
      </c>
      <c r="AO23" s="145" t="s">
        <v>104</v>
      </c>
    </row>
    <row r="24" spans="1:52" s="145" customFormat="1">
      <c r="A24" s="763" t="s">
        <v>1018</v>
      </c>
      <c r="B24" s="1102">
        <v>190</v>
      </c>
      <c r="C24" s="1102"/>
      <c r="D24" s="1102"/>
      <c r="E24" s="1102"/>
      <c r="F24" s="1207"/>
      <c r="G24" s="1269">
        <f>2*INPUTS!L24</f>
        <v>2</v>
      </c>
      <c r="H24" s="1266">
        <f t="shared" si="35"/>
        <v>25.587933010000746</v>
      </c>
      <c r="I24" s="1104">
        <v>1.5</v>
      </c>
      <c r="J24" s="1104"/>
      <c r="K24" s="1102"/>
      <c r="L24" s="1102"/>
      <c r="M24" s="1102">
        <v>50</v>
      </c>
      <c r="N24" s="1271">
        <f t="shared" si="36"/>
        <v>0.19</v>
      </c>
      <c r="O24" s="1103"/>
      <c r="P24" s="1102"/>
      <c r="Q24" s="1102"/>
      <c r="R24" s="1102"/>
      <c r="S24" s="1104">
        <v>0.4</v>
      </c>
      <c r="T24" s="1096"/>
      <c r="U24" s="1096"/>
      <c r="V24" s="1100"/>
      <c r="W24" s="1100"/>
      <c r="X24" s="1100"/>
      <c r="Y24" s="1100"/>
      <c r="Z24" s="1099">
        <v>2200</v>
      </c>
      <c r="AA24" s="1099">
        <v>26</v>
      </c>
      <c r="AB24" s="1099">
        <v>0.5</v>
      </c>
      <c r="AC24" s="1100"/>
      <c r="AD24" s="977">
        <v>2.9000000000000001E-2</v>
      </c>
      <c r="AE24" s="1101"/>
      <c r="AF24" s="1017" t="s">
        <v>1586</v>
      </c>
      <c r="AG24" s="1180">
        <v>500</v>
      </c>
      <c r="AH24" s="1181">
        <v>5</v>
      </c>
      <c r="AI24" s="1181"/>
      <c r="AJ24" s="1182">
        <v>2</v>
      </c>
      <c r="AL24" s="145" t="s">
        <v>94</v>
      </c>
      <c r="AM24" s="145" t="s">
        <v>1839</v>
      </c>
      <c r="AN24" s="145" t="s">
        <v>59</v>
      </c>
      <c r="AO24" s="145" t="s">
        <v>104</v>
      </c>
    </row>
    <row r="25" spans="1:52" s="145" customFormat="1">
      <c r="A25" s="763" t="s">
        <v>628</v>
      </c>
      <c r="B25" s="1102">
        <v>70</v>
      </c>
      <c r="C25" s="1102"/>
      <c r="D25" s="1102"/>
      <c r="E25" s="1102"/>
      <c r="F25" s="1207"/>
      <c r="G25" s="1266">
        <f>2*INPUTS!L25</f>
        <v>2</v>
      </c>
      <c r="H25" s="1266">
        <f t="shared" si="35"/>
        <v>12.100227462467942</v>
      </c>
      <c r="I25" s="1104"/>
      <c r="J25" s="1104"/>
      <c r="K25" s="1102"/>
      <c r="L25" s="1102"/>
      <c r="M25" s="1102">
        <v>50</v>
      </c>
      <c r="N25" s="1271">
        <f t="shared" si="36"/>
        <v>7.0000000000000007E-2</v>
      </c>
      <c r="O25" s="1103"/>
      <c r="P25" s="1102"/>
      <c r="Q25" s="1102"/>
      <c r="R25" s="1102"/>
      <c r="S25" s="1104">
        <v>0.4</v>
      </c>
      <c r="T25" s="1096"/>
      <c r="U25" s="1096"/>
      <c r="V25" s="1100"/>
      <c r="W25" s="1100"/>
      <c r="X25" s="1100"/>
      <c r="Y25" s="1100"/>
      <c r="Z25" s="1099">
        <v>2200</v>
      </c>
      <c r="AA25" s="1099">
        <v>26</v>
      </c>
      <c r="AB25" s="1099">
        <v>0.5</v>
      </c>
      <c r="AC25" s="1100"/>
      <c r="AD25" s="977">
        <v>2.9000000000000001E-2</v>
      </c>
      <c r="AE25" s="1101"/>
      <c r="AF25" s="1017" t="s">
        <v>1586</v>
      </c>
      <c r="AG25" s="1180">
        <v>200</v>
      </c>
      <c r="AH25" s="1181">
        <v>5</v>
      </c>
      <c r="AI25" s="1181"/>
      <c r="AJ25" s="1182">
        <v>2</v>
      </c>
      <c r="AL25" s="145" t="s">
        <v>95</v>
      </c>
      <c r="AM25" s="145" t="s">
        <v>1839</v>
      </c>
      <c r="AN25" s="145" t="s">
        <v>59</v>
      </c>
      <c r="AO25" s="145" t="s">
        <v>104</v>
      </c>
    </row>
    <row r="26" spans="1:52" s="145" customFormat="1">
      <c r="A26" s="763" t="s">
        <v>1822</v>
      </c>
      <c r="B26" s="1102">
        <v>450</v>
      </c>
      <c r="C26" s="1102"/>
      <c r="D26" s="1102"/>
      <c r="E26" s="1102"/>
      <c r="F26" s="1207"/>
      <c r="G26" s="1269">
        <f>2*INPUTS!L26</f>
        <v>2</v>
      </c>
      <c r="H26" s="1266">
        <f t="shared" ref="H26" si="37">0.5*B26^0.75</f>
        <v>48.851667182447308</v>
      </c>
      <c r="I26" s="1093">
        <v>2</v>
      </c>
      <c r="J26" s="1093">
        <v>1260</v>
      </c>
      <c r="K26" s="668"/>
      <c r="L26" s="1093">
        <v>5.5</v>
      </c>
      <c r="M26" s="1093"/>
      <c r="N26" s="1271">
        <f t="shared" ref="N26" si="38">0.001*B26</f>
        <v>0.45</v>
      </c>
      <c r="O26" s="1094"/>
      <c r="P26" s="1095">
        <v>9.64</v>
      </c>
      <c r="Q26" s="1095"/>
      <c r="R26" s="1095">
        <v>0.09</v>
      </c>
      <c r="S26" s="1093"/>
      <c r="T26" s="1096"/>
      <c r="U26" s="1096"/>
      <c r="V26" s="1097">
        <v>1.2</v>
      </c>
      <c r="W26" s="1098">
        <v>3.7</v>
      </c>
      <c r="X26" s="1098">
        <v>4.3</v>
      </c>
      <c r="Y26" s="1100">
        <v>970</v>
      </c>
      <c r="Z26" s="1099">
        <v>2200</v>
      </c>
      <c r="AA26" s="1099">
        <v>26</v>
      </c>
      <c r="AB26" s="1099"/>
      <c r="AC26" s="1100"/>
      <c r="AD26" s="977">
        <v>2.9000000000000001E-2</v>
      </c>
      <c r="AE26" s="1101"/>
      <c r="AF26" s="1017" t="s">
        <v>1586</v>
      </c>
      <c r="AG26" s="1180">
        <v>1500</v>
      </c>
      <c r="AH26" s="1181">
        <v>20</v>
      </c>
      <c r="AI26" s="1181"/>
      <c r="AJ26" s="1182">
        <v>8</v>
      </c>
      <c r="AL26" s="145" t="s">
        <v>93</v>
      </c>
      <c r="AM26" s="145" t="s">
        <v>1841</v>
      </c>
      <c r="AN26" s="145" t="s">
        <v>1831</v>
      </c>
      <c r="AO26" s="145" t="s">
        <v>104</v>
      </c>
    </row>
    <row r="27" spans="1:52" s="145" customFormat="1">
      <c r="A27" s="763" t="s">
        <v>1773</v>
      </c>
      <c r="B27" s="1102">
        <v>270</v>
      </c>
      <c r="C27" s="1102"/>
      <c r="D27" s="1102"/>
      <c r="E27" s="1102"/>
      <c r="F27" s="1207"/>
      <c r="G27" s="1269">
        <f>2*INPUTS!L26</f>
        <v>2</v>
      </c>
      <c r="H27" s="1266">
        <f t="shared" si="35"/>
        <v>33.303726202152838</v>
      </c>
      <c r="I27" s="1104">
        <v>1.5</v>
      </c>
      <c r="J27" s="1104"/>
      <c r="K27" s="1102"/>
      <c r="L27" s="1102"/>
      <c r="M27" s="1102">
        <v>50</v>
      </c>
      <c r="N27" s="1271">
        <f t="shared" si="36"/>
        <v>0.27</v>
      </c>
      <c r="O27" s="1103"/>
      <c r="P27" s="1102"/>
      <c r="Q27" s="1102"/>
      <c r="R27" s="1102"/>
      <c r="S27" s="1104">
        <v>0.4</v>
      </c>
      <c r="T27" s="1096"/>
      <c r="U27" s="1096"/>
      <c r="V27" s="1100"/>
      <c r="W27" s="1100"/>
      <c r="X27" s="1100"/>
      <c r="Y27" s="1100"/>
      <c r="Z27" s="1099">
        <v>2200</v>
      </c>
      <c r="AA27" s="1099">
        <v>26</v>
      </c>
      <c r="AB27" s="1099">
        <v>0.57999999999999996</v>
      </c>
      <c r="AC27" s="1100"/>
      <c r="AD27" s="977">
        <v>2.9000000000000001E-2</v>
      </c>
      <c r="AE27" s="1101"/>
      <c r="AF27" s="1017" t="s">
        <v>1586</v>
      </c>
      <c r="AG27" s="1180">
        <v>1000</v>
      </c>
      <c r="AH27" s="1181">
        <v>10</v>
      </c>
      <c r="AI27" s="1181"/>
      <c r="AJ27" s="1182">
        <v>2</v>
      </c>
      <c r="AL27" s="145" t="s">
        <v>95</v>
      </c>
      <c r="AM27" s="145" t="s">
        <v>1841</v>
      </c>
      <c r="AN27" s="145" t="s">
        <v>1831</v>
      </c>
      <c r="AO27" s="145" t="s">
        <v>104</v>
      </c>
    </row>
    <row r="28" spans="1:52" s="145" customFormat="1">
      <c r="A28" s="763" t="s">
        <v>1774</v>
      </c>
      <c r="B28" s="1102">
        <v>110</v>
      </c>
      <c r="C28" s="1102"/>
      <c r="D28" s="1102"/>
      <c r="E28" s="1102"/>
      <c r="F28" s="1207"/>
      <c r="G28" s="1266">
        <f>2*INPUTS!L27</f>
        <v>2</v>
      </c>
      <c r="H28" s="1266">
        <f t="shared" si="35"/>
        <v>16.983004246798973</v>
      </c>
      <c r="I28" s="1104"/>
      <c r="J28" s="1104"/>
      <c r="K28" s="1102"/>
      <c r="L28" s="1102"/>
      <c r="M28" s="1102">
        <v>50</v>
      </c>
      <c r="N28" s="1271">
        <f t="shared" si="36"/>
        <v>0.11</v>
      </c>
      <c r="O28" s="1103"/>
      <c r="P28" s="1102"/>
      <c r="Q28" s="1102"/>
      <c r="R28" s="1102"/>
      <c r="S28" s="1104">
        <v>0.4</v>
      </c>
      <c r="T28" s="1096"/>
      <c r="U28" s="1096"/>
      <c r="V28" s="1100"/>
      <c r="W28" s="1100"/>
      <c r="X28" s="1100"/>
      <c r="Y28" s="1100"/>
      <c r="Z28" s="1099">
        <v>2200</v>
      </c>
      <c r="AA28" s="1099">
        <v>26</v>
      </c>
      <c r="AB28" s="1099">
        <v>0.57999999999999996</v>
      </c>
      <c r="AC28" s="1100"/>
      <c r="AD28" s="977">
        <v>2.9000000000000001E-2</v>
      </c>
      <c r="AE28" s="1101"/>
      <c r="AF28" s="1017" t="s">
        <v>1586</v>
      </c>
      <c r="AG28" s="1180">
        <v>400</v>
      </c>
      <c r="AH28" s="1181">
        <v>10</v>
      </c>
      <c r="AI28" s="1181"/>
      <c r="AJ28" s="1182">
        <v>2</v>
      </c>
      <c r="AL28" s="145" t="s">
        <v>95</v>
      </c>
      <c r="AM28" s="145" t="s">
        <v>1841</v>
      </c>
      <c r="AN28" s="145" t="s">
        <v>1831</v>
      </c>
      <c r="AO28" s="145" t="s">
        <v>104</v>
      </c>
    </row>
    <row r="29" spans="1:52" s="145" customFormat="1">
      <c r="A29" s="763" t="s">
        <v>1777</v>
      </c>
      <c r="B29" s="1105">
        <v>30</v>
      </c>
      <c r="C29" s="1105"/>
      <c r="D29" s="1105">
        <v>60</v>
      </c>
      <c r="E29" s="1105"/>
      <c r="F29" s="1208"/>
      <c r="G29" s="1267">
        <f>2*INPUTS!L28</f>
        <v>2</v>
      </c>
      <c r="H29" s="1266">
        <f>0.44*B29^0.75</f>
        <v>5.6401884844302899</v>
      </c>
      <c r="I29" s="1106"/>
      <c r="J29" s="1270">
        <f>H29*0.25*50+H29*0.35*65+H29*0.55*45</f>
        <v>338.41130906581742</v>
      </c>
      <c r="K29" s="1270">
        <f>H29*2.5*D29</f>
        <v>846.02827266454346</v>
      </c>
      <c r="L29" s="1106">
        <v>5.5</v>
      </c>
      <c r="M29" s="1107"/>
      <c r="N29" s="1272">
        <f>0.002*B29</f>
        <v>0.06</v>
      </c>
      <c r="O29" s="1108"/>
      <c r="P29" s="1275">
        <f>N29*0.3*50+N29*0.5*65+N29*0.7*45</f>
        <v>4.7399999999999993</v>
      </c>
      <c r="Q29" s="1270">
        <f>N29*2*D29</f>
        <v>7.1999999999999993</v>
      </c>
      <c r="R29" s="1208">
        <v>0.09</v>
      </c>
      <c r="S29" s="1107"/>
      <c r="T29" s="1096"/>
      <c r="U29" s="1096"/>
      <c r="V29" s="1100">
        <v>0.7</v>
      </c>
      <c r="W29" s="1098">
        <v>3.2</v>
      </c>
      <c r="X29" s="1098">
        <v>5.8</v>
      </c>
      <c r="Y29" s="1099">
        <v>970</v>
      </c>
      <c r="Z29" s="1099">
        <v>2200</v>
      </c>
      <c r="AA29" s="1099">
        <v>25</v>
      </c>
      <c r="AB29" s="1099"/>
      <c r="AC29" s="1100"/>
      <c r="AD29" s="977">
        <v>2.7E-2</v>
      </c>
      <c r="AE29" s="1101"/>
      <c r="AF29" s="1017" t="s">
        <v>1587</v>
      </c>
      <c r="AG29" s="1180"/>
      <c r="AH29" s="1181"/>
      <c r="AI29" s="1181"/>
      <c r="AJ29" s="1182"/>
      <c r="AL29" s="145" t="s">
        <v>48</v>
      </c>
      <c r="AM29" s="145" t="s">
        <v>630</v>
      </c>
      <c r="AN29" s="145" t="s">
        <v>49</v>
      </c>
      <c r="AO29" s="145" t="s">
        <v>630</v>
      </c>
    </row>
    <row r="30" spans="1:52" s="145" customFormat="1" ht="13.5" customHeight="1">
      <c r="A30" s="763" t="s">
        <v>1779</v>
      </c>
      <c r="B30" s="1105">
        <v>30</v>
      </c>
      <c r="C30" s="1105"/>
      <c r="D30" s="1105"/>
      <c r="E30" s="1105"/>
      <c r="F30" s="1208"/>
      <c r="G30" s="1267"/>
      <c r="H30" s="1266">
        <f t="shared" ref="H30:H32" si="39">0.44*B30^0.75</f>
        <v>5.6401884844302899</v>
      </c>
      <c r="I30" s="1106"/>
      <c r="J30" s="1106"/>
      <c r="K30" s="1107"/>
      <c r="L30" s="1107"/>
      <c r="M30" s="1105">
        <v>46</v>
      </c>
      <c r="N30" s="1272">
        <f t="shared" ref="N30:N32" si="40">0.002*B30</f>
        <v>0.06</v>
      </c>
      <c r="O30" s="1108"/>
      <c r="P30" s="1107"/>
      <c r="Q30" s="1107"/>
      <c r="R30" s="1107"/>
      <c r="S30" s="1208">
        <v>0.45</v>
      </c>
      <c r="T30" s="1096"/>
      <c r="U30" s="1096"/>
      <c r="V30" s="1100"/>
      <c r="W30" s="1098"/>
      <c r="X30" s="1098"/>
      <c r="Y30" s="1099"/>
      <c r="Z30" s="1099"/>
      <c r="AA30" s="1099"/>
      <c r="AB30" s="1099"/>
      <c r="AC30" s="1100"/>
      <c r="AD30" s="977"/>
      <c r="AE30" s="1101"/>
      <c r="AF30" s="1017"/>
      <c r="AG30" s="1180"/>
      <c r="AH30" s="1181"/>
      <c r="AI30" s="1181"/>
      <c r="AJ30" s="1182"/>
      <c r="AL30" s="145" t="s">
        <v>48</v>
      </c>
      <c r="AM30" s="145" t="s">
        <v>630</v>
      </c>
      <c r="AN30" s="145" t="s">
        <v>49</v>
      </c>
      <c r="AO30" s="145" t="s">
        <v>630</v>
      </c>
    </row>
    <row r="31" spans="1:52" s="145" customFormat="1" ht="17.100000000000001" customHeight="1">
      <c r="A31" s="763" t="s">
        <v>1778</v>
      </c>
      <c r="B31" s="1105">
        <v>20</v>
      </c>
      <c r="C31" s="1105"/>
      <c r="D31" s="1105"/>
      <c r="E31" s="1105"/>
      <c r="F31" s="1208"/>
      <c r="G31" s="1267"/>
      <c r="H31" s="1266">
        <f t="shared" si="39"/>
        <v>4.161263079613974</v>
      </c>
      <c r="I31" s="1106"/>
      <c r="J31" s="1106"/>
      <c r="K31" s="1107"/>
      <c r="L31" s="1107"/>
      <c r="M31" s="1105">
        <v>46</v>
      </c>
      <c r="N31" s="1272">
        <f t="shared" si="40"/>
        <v>0.04</v>
      </c>
      <c r="O31" s="1108"/>
      <c r="P31" s="1107"/>
      <c r="Q31" s="1107"/>
      <c r="R31" s="1107"/>
      <c r="S31" s="1208">
        <v>0.45</v>
      </c>
      <c r="T31" s="1096"/>
      <c r="U31" s="1096"/>
      <c r="V31" s="1100"/>
      <c r="W31" s="1098"/>
      <c r="X31" s="1098"/>
      <c r="Y31" s="1099"/>
      <c r="Z31" s="1099"/>
      <c r="AA31" s="1099"/>
      <c r="AB31" s="1099"/>
      <c r="AC31" s="1100"/>
      <c r="AD31" s="977"/>
      <c r="AE31" s="1101"/>
      <c r="AF31" s="1017"/>
      <c r="AG31" s="1180"/>
      <c r="AH31" s="1181"/>
      <c r="AI31" s="1181"/>
      <c r="AJ31" s="1182"/>
      <c r="AL31" s="145" t="s">
        <v>48</v>
      </c>
      <c r="AM31" s="145" t="s">
        <v>630</v>
      </c>
      <c r="AN31" s="145" t="s">
        <v>49</v>
      </c>
      <c r="AO31" s="145" t="s">
        <v>630</v>
      </c>
    </row>
    <row r="32" spans="1:52" s="145" customFormat="1">
      <c r="A32" s="763" t="s">
        <v>1780</v>
      </c>
      <c r="B32" s="1105">
        <v>10</v>
      </c>
      <c r="C32" s="1105"/>
      <c r="D32" s="1105"/>
      <c r="E32" s="1105"/>
      <c r="F32" s="1208"/>
      <c r="G32" s="1267">
        <f>2*INPUTS!L29</f>
        <v>2</v>
      </c>
      <c r="H32" s="1266">
        <f t="shared" si="39"/>
        <v>2.4743018308375366</v>
      </c>
      <c r="I32" s="1106"/>
      <c r="J32" s="1106"/>
      <c r="K32" s="1107"/>
      <c r="L32" s="1107"/>
      <c r="M32" s="1105">
        <v>46</v>
      </c>
      <c r="N32" s="1272">
        <f t="shared" si="40"/>
        <v>0.02</v>
      </c>
      <c r="O32" s="1108"/>
      <c r="P32" s="1107"/>
      <c r="Q32" s="1107"/>
      <c r="R32" s="1107"/>
      <c r="S32" s="1208">
        <v>0.45</v>
      </c>
      <c r="T32" s="1096"/>
      <c r="U32" s="1096"/>
      <c r="V32" s="1100"/>
      <c r="W32" s="1098">
        <v>3.2</v>
      </c>
      <c r="X32" s="1098">
        <v>5.8</v>
      </c>
      <c r="Y32" s="1100">
        <v>970</v>
      </c>
      <c r="Z32" s="1099">
        <v>2200</v>
      </c>
      <c r="AA32" s="1099">
        <v>25</v>
      </c>
      <c r="AB32" s="1099"/>
      <c r="AC32" s="1100"/>
      <c r="AD32" s="977">
        <v>2.9000000000000001E-2</v>
      </c>
      <c r="AE32" s="1101"/>
      <c r="AF32" s="1017" t="s">
        <v>1596</v>
      </c>
      <c r="AG32" s="1180"/>
      <c r="AH32" s="1181"/>
      <c r="AI32" s="1181"/>
      <c r="AJ32" s="1182"/>
      <c r="AL32" s="145" t="s">
        <v>48</v>
      </c>
      <c r="AM32" s="145" t="s">
        <v>629</v>
      </c>
      <c r="AN32" s="145" t="s">
        <v>49</v>
      </c>
      <c r="AO32" s="145" t="s">
        <v>630</v>
      </c>
    </row>
    <row r="33" spans="1:41" s="145" customFormat="1" ht="15" customHeight="1">
      <c r="A33" s="1142" t="s">
        <v>1674</v>
      </c>
      <c r="B33" s="1105">
        <v>200</v>
      </c>
      <c r="C33" s="1105">
        <v>10</v>
      </c>
      <c r="D33" s="1105">
        <v>21</v>
      </c>
      <c r="E33" s="1105">
        <v>60</v>
      </c>
      <c r="F33" s="1208">
        <v>0.2</v>
      </c>
      <c r="G33" s="1267">
        <v>0</v>
      </c>
      <c r="H33" s="1266">
        <f>0.44*B33^0.75</f>
        <v>23.400501946557938</v>
      </c>
      <c r="I33" s="1106"/>
      <c r="J33" s="1106">
        <v>170</v>
      </c>
      <c r="K33" s="1276">
        <f>(E33/100*D33*(6.83*C33*F33-0.125*C33))*4.2</f>
        <v>656.73719999999992</v>
      </c>
      <c r="L33" s="1148"/>
      <c r="M33" s="1107"/>
      <c r="N33" s="1273">
        <f>2*0.00028*B33^0.75</f>
        <v>2.9782457022891916E-2</v>
      </c>
      <c r="O33" s="1108"/>
      <c r="P33" s="1277">
        <f>1.1*0.12*2.3*0.11*C33</f>
        <v>0.33395999999999992</v>
      </c>
      <c r="Q33" s="1277">
        <f>(1.1*0.022*0.2*C33-0.0064)*49*0.6</f>
        <v>1.2348000000000001</v>
      </c>
      <c r="R33" s="1146"/>
      <c r="S33" s="1107"/>
      <c r="T33" s="1096"/>
      <c r="U33" s="1096"/>
      <c r="V33" s="1100">
        <v>0.5</v>
      </c>
      <c r="W33" s="1098"/>
      <c r="X33" s="1098"/>
      <c r="Y33" s="1100"/>
      <c r="Z33" s="1099">
        <v>2580</v>
      </c>
      <c r="AA33" s="1099">
        <v>21</v>
      </c>
      <c r="AB33" s="1099"/>
      <c r="AC33" s="1100"/>
      <c r="AD33" s="977">
        <v>0.04</v>
      </c>
      <c r="AE33" s="1101"/>
      <c r="AF33" s="1017" t="s">
        <v>1682</v>
      </c>
      <c r="AG33" s="1180"/>
      <c r="AH33" s="1181"/>
      <c r="AI33" s="1181"/>
      <c r="AJ33" s="1182"/>
      <c r="AL33" s="145" t="s">
        <v>1662</v>
      </c>
      <c r="AM33" s="145" t="s">
        <v>1145</v>
      </c>
      <c r="AN33" s="145" t="s">
        <v>1663</v>
      </c>
      <c r="AO33" s="145" t="s">
        <v>1670</v>
      </c>
    </row>
    <row r="34" spans="1:41" s="145" customFormat="1">
      <c r="A34" s="1142" t="s">
        <v>1673</v>
      </c>
      <c r="B34" s="1105">
        <v>200</v>
      </c>
      <c r="C34" s="1105"/>
      <c r="D34" s="1105"/>
      <c r="E34" s="1105"/>
      <c r="F34" s="1208"/>
      <c r="G34" s="1267">
        <v>0</v>
      </c>
      <c r="H34" s="1267">
        <f t="shared" ref="H34:H35" si="41">0.44*B34^0.75</f>
        <v>23.400501946557938</v>
      </c>
      <c r="I34" s="1106"/>
      <c r="J34" s="1106"/>
      <c r="K34" s="1107"/>
      <c r="L34" s="1107"/>
      <c r="M34" s="1107"/>
      <c r="N34" s="1273">
        <f>2*0.00028*B34^0.75</f>
        <v>2.9782457022891916E-2</v>
      </c>
      <c r="O34" s="1108"/>
      <c r="P34" s="1107"/>
      <c r="Q34" s="1107"/>
      <c r="R34" s="1107"/>
      <c r="S34" s="1107"/>
      <c r="T34" s="1096"/>
      <c r="U34" s="1096"/>
      <c r="V34" s="1100"/>
      <c r="W34" s="1098"/>
      <c r="X34" s="1098"/>
      <c r="Y34" s="1100"/>
      <c r="Z34" s="1099">
        <v>2580</v>
      </c>
      <c r="AA34" s="1099">
        <v>21</v>
      </c>
      <c r="AB34" s="1099"/>
      <c r="AC34" s="1100"/>
      <c r="AD34" s="977">
        <v>0.04</v>
      </c>
      <c r="AE34" s="1101"/>
      <c r="AF34" s="1017" t="s">
        <v>1682</v>
      </c>
      <c r="AG34" s="1180"/>
      <c r="AH34" s="1181"/>
      <c r="AI34" s="1181"/>
      <c r="AJ34" s="1182"/>
      <c r="AL34" s="145" t="s">
        <v>1662</v>
      </c>
      <c r="AM34" s="145" t="s">
        <v>1145</v>
      </c>
      <c r="AN34" s="145" t="s">
        <v>1663</v>
      </c>
      <c r="AO34" s="145" t="s">
        <v>1670</v>
      </c>
    </row>
    <row r="35" spans="1:41" s="145" customFormat="1" ht="16.5" thickBot="1">
      <c r="A35" s="1123" t="s">
        <v>1672</v>
      </c>
      <c r="B35" s="743">
        <v>80</v>
      </c>
      <c r="C35" s="743"/>
      <c r="D35" s="743"/>
      <c r="E35" s="743"/>
      <c r="F35" s="1128"/>
      <c r="G35" s="1268">
        <v>0</v>
      </c>
      <c r="H35" s="1268">
        <f t="shared" si="41"/>
        <v>11.769829367585023</v>
      </c>
      <c r="I35" s="1055"/>
      <c r="J35" s="1055"/>
      <c r="K35" s="743"/>
      <c r="L35" s="743"/>
      <c r="M35" s="743">
        <v>45</v>
      </c>
      <c r="N35" s="1274">
        <f>2*0.00028*B35^0.75</f>
        <v>1.4979782831471848E-2</v>
      </c>
      <c r="O35" s="902"/>
      <c r="P35" s="1128"/>
      <c r="Q35" s="1128"/>
      <c r="R35" s="1128"/>
      <c r="S35" s="1147">
        <v>0.05</v>
      </c>
      <c r="T35" s="979"/>
      <c r="U35" s="979"/>
      <c r="V35" s="978"/>
      <c r="W35" s="1044"/>
      <c r="X35" s="1044"/>
      <c r="Y35" s="978"/>
      <c r="Z35" s="1045">
        <v>2580</v>
      </c>
      <c r="AA35" s="1045">
        <v>21</v>
      </c>
      <c r="AB35" s="1045">
        <v>0.6</v>
      </c>
      <c r="AC35" s="978"/>
      <c r="AD35" s="1044">
        <v>0.04</v>
      </c>
      <c r="AE35" s="1124"/>
      <c r="AF35" s="1018" t="s">
        <v>1682</v>
      </c>
      <c r="AG35" s="1183"/>
      <c r="AH35" s="1184"/>
      <c r="AI35" s="1184"/>
      <c r="AJ35" s="1185"/>
      <c r="AL35" s="145" t="s">
        <v>1662</v>
      </c>
      <c r="AM35" s="145" t="s">
        <v>1145</v>
      </c>
      <c r="AN35" s="145" t="s">
        <v>1663</v>
      </c>
      <c r="AO35" s="145" t="s">
        <v>1670</v>
      </c>
    </row>
    <row r="36" spans="1:41" s="145" customFormat="1">
      <c r="A36" s="143"/>
      <c r="B36" s="143"/>
      <c r="C36" s="143"/>
      <c r="D36" s="143"/>
      <c r="E36" s="143"/>
      <c r="F36" s="143"/>
      <c r="G36" s="846"/>
      <c r="H36" s="846"/>
      <c r="I36" s="846"/>
      <c r="J36" s="846"/>
      <c r="K36" s="846"/>
      <c r="L36" s="846"/>
      <c r="M36" s="846"/>
      <c r="N36" s="846"/>
      <c r="O36" s="846"/>
      <c r="P36" s="846"/>
      <c r="Q36" s="846"/>
      <c r="R36" s="846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C36" s="143"/>
      <c r="AD36" s="143"/>
      <c r="AE36" s="143"/>
      <c r="AJ36" s="230"/>
      <c r="AO36" s="228"/>
    </row>
    <row r="37" spans="1:41" s="145" customFormat="1">
      <c r="A37" s="143"/>
      <c r="B37" s="143" t="s">
        <v>1801</v>
      </c>
      <c r="C37" s="737" t="s">
        <v>1803</v>
      </c>
      <c r="D37" s="143"/>
      <c r="E37" s="143"/>
      <c r="F37" s="143"/>
      <c r="G37" s="846"/>
      <c r="H37" s="846"/>
      <c r="I37" s="846"/>
      <c r="J37" s="846"/>
      <c r="K37" s="846"/>
      <c r="L37" s="846"/>
      <c r="M37" s="846"/>
      <c r="N37" s="846"/>
      <c r="O37" s="846"/>
      <c r="P37" s="846"/>
      <c r="Q37" s="846"/>
      <c r="R37" s="846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J37" s="230"/>
      <c r="AO37" s="228"/>
    </row>
    <row r="38" spans="1:41" s="145" customFormat="1">
      <c r="A38" s="143"/>
      <c r="B38" s="143"/>
      <c r="C38" s="737" t="s">
        <v>1804</v>
      </c>
      <c r="D38" s="143"/>
      <c r="E38" s="143"/>
      <c r="F38" s="143"/>
      <c r="G38" s="846"/>
      <c r="H38" s="846"/>
      <c r="I38" s="846"/>
      <c r="J38" s="846"/>
      <c r="K38" s="846"/>
      <c r="L38" s="846"/>
      <c r="M38" s="846"/>
      <c r="N38" s="846"/>
      <c r="O38" s="846"/>
      <c r="P38" s="846"/>
      <c r="Q38" s="846"/>
      <c r="R38" s="846"/>
      <c r="S38" s="143"/>
      <c r="T38" s="143"/>
      <c r="U38" s="143"/>
      <c r="V38" s="143"/>
      <c r="W38" s="143"/>
      <c r="X38" s="143"/>
      <c r="Y38" s="143"/>
      <c r="Z38" s="143"/>
      <c r="AA38" s="143"/>
      <c r="AB38" s="143"/>
      <c r="AC38" s="143"/>
      <c r="AD38" s="143"/>
      <c r="AE38" s="143"/>
      <c r="AJ38" s="230"/>
      <c r="AO38" s="228"/>
    </row>
    <row r="39" spans="1:41" s="145" customFormat="1">
      <c r="A39" s="143"/>
      <c r="B39" s="143"/>
      <c r="C39" s="737" t="s">
        <v>1805</v>
      </c>
      <c r="D39" s="143"/>
      <c r="E39" s="143"/>
      <c r="F39" s="143"/>
      <c r="G39" s="846"/>
      <c r="H39" s="846"/>
      <c r="I39" s="846"/>
      <c r="J39" s="846"/>
      <c r="K39" s="846"/>
      <c r="L39" s="846"/>
      <c r="M39" s="846"/>
      <c r="N39" s="846"/>
      <c r="O39" s="846"/>
      <c r="P39" s="846"/>
      <c r="Q39" s="846"/>
      <c r="R39" s="846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  <c r="AJ39" s="230"/>
      <c r="AO39" s="228"/>
    </row>
    <row r="40" spans="1:41" s="145" customFormat="1">
      <c r="A40" s="143"/>
      <c r="B40" s="143"/>
      <c r="C40" s="737" t="s">
        <v>1807</v>
      </c>
      <c r="D40" s="143"/>
      <c r="E40" s="143"/>
      <c r="F40" s="143"/>
      <c r="G40" s="846"/>
      <c r="H40" s="846"/>
      <c r="I40" s="846"/>
      <c r="J40" s="846"/>
      <c r="K40" s="846"/>
      <c r="L40" s="846"/>
      <c r="M40" s="846"/>
      <c r="N40" s="846"/>
      <c r="O40" s="846"/>
      <c r="P40" s="846"/>
      <c r="Q40" s="846"/>
      <c r="R40" s="846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J40" s="230"/>
      <c r="AO40" s="228"/>
    </row>
    <row r="41" spans="1:41" s="145" customFormat="1">
      <c r="A41" s="143"/>
      <c r="B41" s="143"/>
      <c r="C41" s="737" t="s">
        <v>1808</v>
      </c>
      <c r="D41" s="143"/>
      <c r="E41" s="143"/>
      <c r="F41" s="143"/>
      <c r="G41" s="846"/>
      <c r="H41" s="846"/>
      <c r="I41" s="846"/>
      <c r="J41" s="846"/>
      <c r="K41" s="846"/>
      <c r="L41" s="846"/>
      <c r="M41" s="846"/>
      <c r="N41" s="846"/>
      <c r="O41" s="846"/>
      <c r="P41" s="846"/>
      <c r="Q41" s="846"/>
      <c r="R41" s="846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J41" s="230"/>
      <c r="AO41" s="228"/>
    </row>
    <row r="42" spans="1:41" s="145" customFormat="1">
      <c r="A42" s="143"/>
      <c r="B42" s="143"/>
      <c r="C42" s="737"/>
      <c r="D42" s="143"/>
      <c r="E42" s="143"/>
      <c r="F42" s="143"/>
      <c r="G42" s="846"/>
      <c r="H42" s="846"/>
      <c r="I42" s="846"/>
      <c r="J42" s="846"/>
      <c r="K42" s="846"/>
      <c r="L42" s="846"/>
      <c r="M42" s="846"/>
      <c r="N42" s="846"/>
      <c r="O42" s="846"/>
      <c r="P42" s="846"/>
      <c r="Q42" s="846"/>
      <c r="R42" s="846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3"/>
      <c r="AE42" s="143"/>
      <c r="AJ42" s="230"/>
      <c r="AO42" s="228"/>
    </row>
    <row r="43" spans="1:41" s="145" customFormat="1">
      <c r="A43" s="143"/>
      <c r="B43" s="143" t="s">
        <v>1809</v>
      </c>
      <c r="C43" s="737" t="s">
        <v>1810</v>
      </c>
      <c r="D43" s="143"/>
      <c r="E43" s="143"/>
      <c r="F43" s="143"/>
      <c r="G43" s="846"/>
      <c r="H43" s="846"/>
      <c r="I43" s="846"/>
      <c r="J43" s="846"/>
      <c r="K43" s="846"/>
      <c r="L43" s="846"/>
      <c r="M43" s="846"/>
      <c r="N43" s="846"/>
      <c r="O43" s="846"/>
      <c r="P43" s="846"/>
      <c r="Q43" s="846"/>
      <c r="R43" s="846"/>
      <c r="S43" s="143"/>
      <c r="T43" s="143"/>
      <c r="U43" s="143"/>
      <c r="V43" s="143"/>
      <c r="W43" s="143"/>
      <c r="X43" s="143"/>
      <c r="Y43" s="143"/>
      <c r="Z43" s="143"/>
      <c r="AA43" s="143"/>
      <c r="AB43" s="143"/>
      <c r="AC43" s="143"/>
      <c r="AD43" s="143"/>
      <c r="AE43" s="143"/>
      <c r="AJ43" s="230"/>
      <c r="AO43" s="228"/>
    </row>
    <row r="44" spans="1:41" s="145" customFormat="1">
      <c r="A44" s="143"/>
      <c r="B44" s="143"/>
      <c r="C44" s="737" t="s">
        <v>1811</v>
      </c>
      <c r="D44" s="143"/>
      <c r="E44" s="143"/>
      <c r="F44" s="143"/>
      <c r="G44" s="846"/>
      <c r="H44" s="846"/>
      <c r="I44" s="846"/>
      <c r="J44" s="846"/>
      <c r="K44" s="846"/>
      <c r="L44" s="846"/>
      <c r="M44" s="846"/>
      <c r="N44" s="846"/>
      <c r="O44" s="846"/>
      <c r="P44" s="846"/>
      <c r="Q44" s="846"/>
      <c r="R44" s="846"/>
      <c r="S44" s="143"/>
      <c r="T44" s="143"/>
      <c r="U44" s="143"/>
      <c r="V44" s="143"/>
      <c r="W44" s="143"/>
      <c r="X44" s="143"/>
      <c r="Y44" s="143"/>
      <c r="Z44" s="143"/>
      <c r="AA44" s="143"/>
      <c r="AB44" s="143"/>
      <c r="AC44" s="143"/>
      <c r="AD44" s="143"/>
      <c r="AE44" s="143"/>
      <c r="AJ44" s="230"/>
      <c r="AO44" s="228"/>
    </row>
    <row r="45" spans="1:41" s="145" customFormat="1">
      <c r="A45" s="143"/>
      <c r="B45" s="143"/>
      <c r="C45" s="737" t="s">
        <v>1812</v>
      </c>
      <c r="D45" s="143"/>
      <c r="E45" s="143"/>
      <c r="F45" s="143"/>
      <c r="G45" s="846"/>
      <c r="H45" s="846"/>
      <c r="I45" s="846"/>
      <c r="J45" s="846"/>
      <c r="K45" s="846"/>
      <c r="L45" s="846"/>
      <c r="M45" s="846"/>
      <c r="N45" s="846"/>
      <c r="O45" s="846"/>
      <c r="P45" s="846"/>
      <c r="Q45" s="846"/>
      <c r="R45" s="846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J45" s="230"/>
      <c r="AO45" s="228"/>
    </row>
    <row r="46" spans="1:41" s="145" customFormat="1">
      <c r="A46" s="143"/>
      <c r="B46" s="143"/>
      <c r="C46" s="737" t="s">
        <v>1813</v>
      </c>
      <c r="D46" s="143"/>
      <c r="E46" s="143"/>
      <c r="F46" s="143"/>
      <c r="G46" s="846"/>
      <c r="H46" s="846"/>
      <c r="I46" s="846"/>
      <c r="J46" s="846"/>
      <c r="K46" s="846"/>
      <c r="L46" s="846"/>
      <c r="M46" s="846"/>
      <c r="N46" s="846"/>
      <c r="O46" s="846"/>
      <c r="P46" s="846"/>
      <c r="Q46" s="846"/>
      <c r="R46" s="846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  <c r="AC46" s="143"/>
      <c r="AD46" s="143"/>
      <c r="AE46" s="143"/>
      <c r="AJ46" s="230"/>
      <c r="AO46" s="228"/>
    </row>
    <row r="47" spans="1:41" s="145" customFormat="1">
      <c r="A47" s="143"/>
      <c r="B47" s="143"/>
      <c r="C47" s="737"/>
      <c r="D47" s="143"/>
      <c r="E47" s="143"/>
      <c r="F47" s="143"/>
      <c r="G47" s="846"/>
      <c r="H47" s="846"/>
      <c r="I47" s="846"/>
      <c r="J47" s="846"/>
      <c r="K47" s="846"/>
      <c r="L47" s="846"/>
      <c r="M47" s="846"/>
      <c r="N47" s="846"/>
      <c r="O47" s="846"/>
      <c r="P47" s="846"/>
      <c r="Q47" s="846"/>
      <c r="R47" s="846"/>
      <c r="S47" s="143"/>
      <c r="T47" s="143"/>
      <c r="U47" s="143"/>
      <c r="V47" s="143"/>
      <c r="W47" s="143"/>
      <c r="X47" s="143"/>
      <c r="Y47" s="143"/>
      <c r="Z47" s="143"/>
      <c r="AA47" s="143"/>
      <c r="AB47" s="143"/>
      <c r="AC47" s="143"/>
      <c r="AD47" s="143"/>
      <c r="AE47" s="143"/>
      <c r="AJ47" s="230"/>
      <c r="AO47" s="228"/>
    </row>
    <row r="48" spans="1:41" s="145" customFormat="1">
      <c r="A48" s="143"/>
      <c r="B48" s="143" t="s">
        <v>1802</v>
      </c>
      <c r="C48" s="737" t="s">
        <v>1803</v>
      </c>
      <c r="D48" s="143"/>
      <c r="E48" s="143"/>
      <c r="F48" s="143"/>
      <c r="G48" s="846"/>
      <c r="H48" s="846"/>
      <c r="I48" s="846"/>
      <c r="J48" s="846"/>
      <c r="K48" s="846"/>
      <c r="L48" s="846"/>
      <c r="M48" s="846"/>
      <c r="N48" s="846"/>
      <c r="O48" s="846"/>
      <c r="P48" s="846"/>
      <c r="Q48" s="846"/>
      <c r="R48" s="846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  <c r="AC48" s="143"/>
      <c r="AD48" s="143"/>
      <c r="AE48" s="143"/>
      <c r="AJ48" s="230"/>
      <c r="AO48" s="228"/>
    </row>
    <row r="49" spans="1:39" s="145" customFormat="1">
      <c r="A49" s="737"/>
      <c r="B49" s="737"/>
      <c r="C49" s="737" t="s">
        <v>1804</v>
      </c>
      <c r="D49" s="143"/>
      <c r="E49" s="143"/>
      <c r="F49" s="143"/>
      <c r="G49" s="846"/>
      <c r="H49" s="846"/>
      <c r="I49" s="846"/>
      <c r="J49" s="846"/>
      <c r="K49" s="846"/>
      <c r="L49" s="846"/>
      <c r="M49" s="844"/>
      <c r="N49" s="844"/>
      <c r="O49" s="844"/>
      <c r="P49" s="844"/>
      <c r="Q49" s="737"/>
      <c r="R49" s="737"/>
      <c r="S49" s="737"/>
      <c r="T49" s="737"/>
      <c r="U49" s="737"/>
      <c r="V49" s="11" t="s">
        <v>898</v>
      </c>
      <c r="W49" s="143"/>
      <c r="X49" s="143"/>
      <c r="Y49" s="143"/>
      <c r="Z49" s="143"/>
      <c r="AA49" s="143"/>
      <c r="AB49" s="143"/>
      <c r="AC49" s="143"/>
      <c r="AH49" s="230"/>
      <c r="AM49" s="228"/>
    </row>
    <row r="50" spans="1:39" s="145" customFormat="1">
      <c r="A50" s="737"/>
      <c r="B50" s="737"/>
      <c r="C50" s="737" t="s">
        <v>1805</v>
      </c>
      <c r="D50" s="143"/>
      <c r="E50" s="143"/>
      <c r="F50" s="143"/>
      <c r="G50" s="846"/>
      <c r="H50" s="846"/>
      <c r="I50" s="846"/>
      <c r="J50" s="846"/>
      <c r="K50" s="846"/>
      <c r="L50" s="846"/>
      <c r="M50" s="844"/>
      <c r="N50" s="844"/>
      <c r="O50" s="844"/>
      <c r="P50" s="844"/>
      <c r="Q50" s="737"/>
      <c r="R50" s="737"/>
      <c r="S50" s="737"/>
      <c r="T50" s="737"/>
      <c r="U50" s="737"/>
      <c r="V50" s="11" t="s">
        <v>897</v>
      </c>
      <c r="W50" s="143"/>
      <c r="X50" s="143"/>
      <c r="Y50" s="143"/>
      <c r="Z50" s="143"/>
      <c r="AA50" s="143"/>
      <c r="AB50" s="143"/>
      <c r="AC50" s="143"/>
      <c r="AH50" s="230"/>
      <c r="AM50" s="228"/>
    </row>
    <row r="51" spans="1:39" s="145" customFormat="1">
      <c r="A51" s="737"/>
      <c r="B51" s="737"/>
      <c r="C51" s="737" t="s">
        <v>1807</v>
      </c>
      <c r="D51" s="143"/>
      <c r="E51" s="143"/>
      <c r="F51" s="143"/>
      <c r="G51" s="846"/>
      <c r="H51" s="846"/>
      <c r="I51" s="846"/>
      <c r="J51" s="846"/>
      <c r="K51" s="846"/>
      <c r="L51" s="846"/>
      <c r="M51" s="844"/>
      <c r="N51" s="844"/>
      <c r="O51" s="844"/>
      <c r="P51" s="844"/>
      <c r="Q51" s="737"/>
      <c r="R51" s="737"/>
      <c r="S51" s="737"/>
      <c r="T51" s="737"/>
      <c r="U51" s="737"/>
      <c r="V51" s="11"/>
      <c r="W51" s="143"/>
      <c r="X51" s="143"/>
      <c r="Y51" s="143"/>
      <c r="Z51" s="143"/>
      <c r="AA51" s="143"/>
      <c r="AB51" s="143"/>
      <c r="AC51" s="143"/>
      <c r="AH51" s="230"/>
      <c r="AM51" s="228"/>
    </row>
    <row r="52" spans="1:39" s="145" customFormat="1">
      <c r="A52" s="737"/>
      <c r="B52" s="737"/>
      <c r="C52" s="737" t="s">
        <v>1808</v>
      </c>
      <c r="D52" s="143"/>
      <c r="E52" s="143"/>
      <c r="F52" s="143"/>
      <c r="G52" s="846"/>
      <c r="H52" s="846"/>
      <c r="I52" s="846"/>
      <c r="J52" s="846"/>
      <c r="K52" s="846"/>
      <c r="L52" s="846"/>
      <c r="M52" s="844"/>
      <c r="N52" s="844"/>
      <c r="O52" s="844"/>
      <c r="P52" s="844"/>
      <c r="Q52" s="737"/>
      <c r="R52" s="737"/>
      <c r="S52" s="737"/>
      <c r="T52" s="737"/>
      <c r="U52" s="737"/>
      <c r="V52" s="11"/>
      <c r="W52" s="143"/>
      <c r="X52" s="143"/>
      <c r="Y52" s="143"/>
      <c r="Z52" s="143"/>
      <c r="AA52" s="143"/>
      <c r="AB52" s="143"/>
      <c r="AC52" s="143"/>
      <c r="AH52" s="230"/>
      <c r="AM52" s="228"/>
    </row>
    <row r="53" spans="1:39" s="145" customFormat="1">
      <c r="A53" s="737"/>
      <c r="B53" s="737"/>
      <c r="C53" s="737"/>
      <c r="D53" s="143"/>
      <c r="E53" s="143"/>
      <c r="F53" s="143"/>
      <c r="G53" s="846"/>
      <c r="H53" s="846"/>
      <c r="I53" s="846"/>
      <c r="J53" s="846"/>
      <c r="K53" s="846"/>
      <c r="L53" s="846"/>
      <c r="M53" s="844"/>
      <c r="N53" s="844"/>
      <c r="O53" s="844"/>
      <c r="P53" s="844"/>
      <c r="Q53" s="737"/>
      <c r="R53" s="737"/>
      <c r="S53" s="737"/>
      <c r="T53" s="737"/>
      <c r="U53" s="737"/>
      <c r="V53" s="11"/>
      <c r="W53" s="143"/>
      <c r="X53" s="143"/>
      <c r="Y53" s="143"/>
      <c r="Z53" s="143"/>
      <c r="AA53" s="143"/>
      <c r="AB53" s="143"/>
      <c r="AC53" s="143"/>
      <c r="AH53" s="230"/>
      <c r="AM53" s="228"/>
    </row>
    <row r="54" spans="1:39" s="145" customFormat="1">
      <c r="A54" s="737"/>
      <c r="B54" s="143" t="s">
        <v>1814</v>
      </c>
      <c r="C54" s="737" t="s">
        <v>1810</v>
      </c>
      <c r="D54" s="143"/>
      <c r="E54" s="143"/>
      <c r="F54" s="143"/>
      <c r="G54" s="846"/>
      <c r="H54" s="846"/>
      <c r="I54" s="846"/>
      <c r="J54" s="846"/>
      <c r="K54" s="846"/>
      <c r="L54" s="846"/>
      <c r="M54" s="844"/>
      <c r="N54" s="844"/>
      <c r="O54" s="844"/>
      <c r="P54" s="844"/>
      <c r="Q54" s="737"/>
      <c r="R54" s="737"/>
      <c r="S54" s="737"/>
      <c r="T54" s="737"/>
      <c r="U54" s="737"/>
      <c r="V54" s="11"/>
      <c r="W54" s="143"/>
      <c r="X54" s="143"/>
      <c r="Y54" s="143"/>
      <c r="Z54" s="143"/>
      <c r="AA54" s="143"/>
      <c r="AB54" s="143"/>
      <c r="AC54" s="143"/>
      <c r="AH54" s="230"/>
      <c r="AM54" s="228"/>
    </row>
    <row r="55" spans="1:39" s="145" customFormat="1">
      <c r="A55" s="737"/>
      <c r="B55" s="143"/>
      <c r="C55" s="737" t="s">
        <v>1811</v>
      </c>
      <c r="D55" s="143"/>
      <c r="E55" s="143"/>
      <c r="F55" s="143"/>
      <c r="G55" s="846"/>
      <c r="H55" s="846"/>
      <c r="I55" s="846"/>
      <c r="J55" s="846"/>
      <c r="K55" s="846"/>
      <c r="L55" s="846"/>
      <c r="M55" s="844"/>
      <c r="N55" s="844"/>
      <c r="O55" s="844"/>
      <c r="P55" s="844"/>
      <c r="Q55" s="737"/>
      <c r="R55" s="737"/>
      <c r="S55" s="737"/>
      <c r="T55" s="737"/>
      <c r="U55" s="737"/>
      <c r="V55" s="11"/>
      <c r="W55" s="143"/>
      <c r="X55" s="143"/>
      <c r="Y55" s="143"/>
      <c r="Z55" s="143"/>
      <c r="AA55" s="143"/>
      <c r="AB55" s="143"/>
      <c r="AC55" s="143"/>
      <c r="AH55" s="230"/>
      <c r="AM55" s="228"/>
    </row>
    <row r="56" spans="1:39" s="145" customFormat="1">
      <c r="A56" s="737"/>
      <c r="B56" s="143"/>
      <c r="C56" s="737" t="s">
        <v>1812</v>
      </c>
      <c r="D56" s="143"/>
      <c r="E56" s="143"/>
      <c r="F56" s="143"/>
      <c r="G56" s="846"/>
      <c r="H56" s="846"/>
      <c r="I56" s="846"/>
      <c r="J56" s="846"/>
      <c r="K56" s="846"/>
      <c r="L56" s="846"/>
      <c r="M56" s="844"/>
      <c r="N56" s="844"/>
      <c r="O56" s="844"/>
      <c r="P56" s="844"/>
      <c r="Q56" s="737"/>
      <c r="R56" s="737"/>
      <c r="S56" s="737"/>
      <c r="T56" s="737"/>
      <c r="U56" s="737"/>
      <c r="V56" s="11"/>
      <c r="W56" s="143"/>
      <c r="X56" s="143"/>
      <c r="Y56" s="143"/>
      <c r="Z56" s="143"/>
      <c r="AA56" s="143"/>
      <c r="AB56" s="143"/>
      <c r="AC56" s="143"/>
      <c r="AH56" s="230"/>
      <c r="AM56" s="228"/>
    </row>
    <row r="57" spans="1:39" s="145" customFormat="1">
      <c r="A57" s="737"/>
      <c r="B57" s="143"/>
      <c r="C57" s="737" t="s">
        <v>1813</v>
      </c>
      <c r="D57" s="143"/>
      <c r="E57" s="143"/>
      <c r="F57" s="143"/>
      <c r="G57" s="846"/>
      <c r="H57" s="846"/>
      <c r="I57" s="846"/>
      <c r="J57" s="846"/>
      <c r="K57" s="846"/>
      <c r="L57" s="846"/>
      <c r="M57" s="844"/>
      <c r="N57" s="844"/>
      <c r="O57" s="844"/>
      <c r="P57" s="844"/>
      <c r="Q57" s="737"/>
      <c r="R57" s="737"/>
      <c r="S57" s="737"/>
      <c r="T57" s="737"/>
      <c r="U57" s="737"/>
      <c r="V57" s="11"/>
      <c r="W57" s="143"/>
      <c r="X57" s="143"/>
      <c r="Y57" s="143"/>
      <c r="Z57" s="143"/>
      <c r="AA57" s="143"/>
      <c r="AB57" s="143"/>
      <c r="AC57" s="143"/>
      <c r="AH57" s="230"/>
      <c r="AM57" s="228"/>
    </row>
    <row r="58" spans="1:39" s="145" customFormat="1">
      <c r="A58" s="737"/>
      <c r="B58" s="737"/>
      <c r="C58" s="737"/>
      <c r="D58" s="143"/>
      <c r="E58" s="143"/>
      <c r="F58" s="143"/>
      <c r="G58" s="846"/>
      <c r="H58" s="846"/>
      <c r="I58" s="846"/>
      <c r="J58" s="846"/>
      <c r="K58" s="846"/>
      <c r="L58" s="846"/>
      <c r="M58" s="844"/>
      <c r="N58" s="844"/>
      <c r="O58" s="844"/>
      <c r="P58" s="844"/>
      <c r="Q58" s="737"/>
      <c r="R58" s="737"/>
      <c r="S58" s="737"/>
      <c r="T58" s="737"/>
      <c r="U58" s="737"/>
      <c r="V58" s="11"/>
      <c r="W58" s="143"/>
      <c r="X58" s="143"/>
      <c r="Y58" s="143"/>
      <c r="Z58" s="143"/>
      <c r="AA58" s="143"/>
      <c r="AB58" s="143"/>
      <c r="AC58" s="143"/>
      <c r="AH58" s="230"/>
      <c r="AM58" s="228"/>
    </row>
    <row r="59" spans="1:39" s="145" customFormat="1">
      <c r="A59" s="737"/>
      <c r="B59" s="737"/>
      <c r="C59" s="737"/>
      <c r="D59" s="143"/>
      <c r="E59" s="143"/>
      <c r="F59" s="143"/>
      <c r="G59" s="846"/>
      <c r="H59" s="846"/>
      <c r="I59" s="846"/>
      <c r="J59" s="846"/>
      <c r="K59" s="846"/>
      <c r="L59" s="846"/>
      <c r="M59" s="844"/>
      <c r="N59" s="844"/>
      <c r="O59" s="844"/>
      <c r="P59" s="844"/>
      <c r="Q59" s="737"/>
      <c r="R59" s="737"/>
      <c r="S59" s="737"/>
      <c r="T59" s="737"/>
      <c r="U59" s="737"/>
      <c r="V59" s="11"/>
      <c r="W59" s="143"/>
      <c r="X59" s="143"/>
      <c r="Y59" s="143"/>
      <c r="Z59" s="143"/>
      <c r="AA59" s="143"/>
      <c r="AB59" s="143"/>
      <c r="AC59" s="143"/>
      <c r="AH59" s="230"/>
      <c r="AM59" s="228"/>
    </row>
    <row r="60" spans="1:39" s="145" customFormat="1">
      <c r="A60" s="737"/>
      <c r="B60" s="737" t="s">
        <v>1665</v>
      </c>
      <c r="C60" s="737" t="s">
        <v>1733</v>
      </c>
      <c r="D60" s="737"/>
      <c r="E60" s="737"/>
      <c r="F60" s="737"/>
      <c r="G60" s="844"/>
      <c r="H60" s="844"/>
      <c r="I60" s="844"/>
      <c r="J60" s="844"/>
      <c r="K60" s="844"/>
      <c r="L60" s="844"/>
      <c r="M60" s="844"/>
      <c r="N60" s="844"/>
      <c r="O60" s="844"/>
      <c r="P60" s="844"/>
      <c r="Q60" s="737"/>
      <c r="R60" s="737"/>
      <c r="S60" s="737"/>
      <c r="T60" s="737"/>
      <c r="U60" s="737"/>
      <c r="V60" s="11" t="s">
        <v>901</v>
      </c>
      <c r="W60" s="143"/>
      <c r="X60" s="143"/>
      <c r="Y60" s="143"/>
      <c r="Z60" s="143"/>
      <c r="AA60" s="143"/>
      <c r="AB60" s="143"/>
      <c r="AC60" s="143"/>
      <c r="AH60" s="230"/>
      <c r="AM60" s="228"/>
    </row>
    <row r="61" spans="1:39" s="145" customFormat="1">
      <c r="A61"/>
      <c r="B61"/>
      <c r="C61" t="s">
        <v>1735</v>
      </c>
      <c r="D61" s="1138"/>
      <c r="E61" s="737"/>
      <c r="F61" s="737"/>
      <c r="G61" s="737" t="s">
        <v>1806</v>
      </c>
      <c r="H61" s="847"/>
      <c r="I61" s="847"/>
      <c r="J61" s="847"/>
      <c r="K61" s="847"/>
      <c r="L61" s="847"/>
      <c r="M61" s="847"/>
      <c r="N61" s="847"/>
      <c r="O61" s="847"/>
      <c r="P61" s="847"/>
      <c r="Q61"/>
      <c r="R61"/>
      <c r="S61"/>
      <c r="T61"/>
      <c r="U61"/>
      <c r="V61" s="11"/>
      <c r="AH61" s="230"/>
      <c r="AM61" s="228"/>
    </row>
    <row r="62" spans="1:39" s="145" customFormat="1">
      <c r="A62"/>
      <c r="B62"/>
      <c r="C62" t="s">
        <v>1739</v>
      </c>
      <c r="D62" s="1138"/>
      <c r="E62" s="737"/>
      <c r="F62" s="737"/>
      <c r="G62" s="847"/>
      <c r="I62" s="1127"/>
      <c r="K62" s="1127"/>
      <c r="L62" s="847"/>
      <c r="M62" s="847"/>
      <c r="N62" s="847"/>
      <c r="O62" s="847"/>
      <c r="P62" s="847"/>
      <c r="Q62"/>
      <c r="R62"/>
      <c r="S62"/>
      <c r="T62"/>
      <c r="U62"/>
      <c r="V62" s="11" t="s">
        <v>1026</v>
      </c>
      <c r="AH62" s="230"/>
      <c r="AM62" s="228"/>
    </row>
    <row r="63" spans="1:39" s="145" customFormat="1">
      <c r="A63" s="1125"/>
      <c r="B63" s="1125"/>
      <c r="C63" s="737" t="s">
        <v>1734</v>
      </c>
      <c r="D63" s="737"/>
      <c r="E63" s="737"/>
      <c r="F63" s="737"/>
      <c r="G63" s="847"/>
      <c r="H63" s="1127"/>
      <c r="J63" s="1127"/>
      <c r="K63" s="847"/>
      <c r="L63" s="847"/>
      <c r="M63" s="847"/>
      <c r="N63" s="847"/>
      <c r="O63" s="847"/>
      <c r="P63" s="847"/>
      <c r="Q63" s="1125"/>
      <c r="R63" s="1125"/>
      <c r="S63" s="1125"/>
      <c r="T63" s="1125"/>
      <c r="U63" s="1125"/>
      <c r="V63" s="11"/>
      <c r="AH63" s="230"/>
      <c r="AM63" s="228"/>
    </row>
    <row r="64" spans="1:39" s="145" customFormat="1">
      <c r="A64"/>
      <c r="B64"/>
      <c r="C64" s="1125" t="s">
        <v>1664</v>
      </c>
      <c r="D64" s="1138"/>
      <c r="E64" s="737"/>
      <c r="F64" s="737"/>
      <c r="G64" s="847"/>
      <c r="H64" s="847"/>
      <c r="I64" s="847"/>
      <c r="J64" s="847"/>
      <c r="K64" s="847"/>
      <c r="L64" s="847"/>
      <c r="M64" s="847"/>
      <c r="N64" s="847"/>
      <c r="O64" s="847"/>
      <c r="P64" s="847"/>
      <c r="Q64"/>
      <c r="R64"/>
      <c r="S64"/>
      <c r="T64"/>
      <c r="U64"/>
      <c r="V64" s="470" t="s">
        <v>900</v>
      </c>
      <c r="Z64" s="256"/>
      <c r="AH64" s="230"/>
      <c r="AM64" s="228"/>
    </row>
    <row r="65" spans="1:39" s="145" customFormat="1">
      <c r="A65"/>
      <c r="B65"/>
      <c r="C65"/>
      <c r="D65" s="1138"/>
      <c r="E65" s="737"/>
      <c r="F65" s="737"/>
      <c r="G65" s="847"/>
      <c r="H65" s="847"/>
      <c r="I65" s="847"/>
      <c r="J65" s="847"/>
      <c r="K65" s="847"/>
      <c r="L65" s="847"/>
      <c r="M65" s="847"/>
      <c r="N65" s="847"/>
      <c r="O65" s="847"/>
      <c r="P65" s="847"/>
      <c r="Q65"/>
      <c r="R65"/>
      <c r="S65"/>
      <c r="T65"/>
      <c r="U65"/>
      <c r="V65" s="11"/>
      <c r="Z65" s="256"/>
      <c r="AH65" s="230"/>
      <c r="AM65" s="228"/>
    </row>
    <row r="66" spans="1:39" s="145" customFormat="1">
      <c r="A66"/>
      <c r="B66"/>
      <c r="C66"/>
      <c r="D66" s="1138"/>
      <c r="E66"/>
      <c r="F66"/>
      <c r="G66" s="847"/>
      <c r="H66" s="847"/>
      <c r="I66" s="847"/>
      <c r="J66" s="847"/>
      <c r="K66" s="847"/>
      <c r="L66" s="847"/>
      <c r="M66" s="847"/>
      <c r="N66" s="847"/>
      <c r="O66" s="847"/>
      <c r="P66" s="847"/>
      <c r="Q66"/>
      <c r="R66"/>
      <c r="S66"/>
      <c r="T66"/>
      <c r="U66"/>
      <c r="V66" s="11"/>
      <c r="AH66" s="230"/>
      <c r="AM66" s="228"/>
    </row>
    <row r="67" spans="1:39" s="145" customFormat="1">
      <c r="A67"/>
      <c r="B67" t="s">
        <v>1731</v>
      </c>
      <c r="C67" t="s">
        <v>1676</v>
      </c>
      <c r="D67" s="1138"/>
      <c r="E67"/>
      <c r="F67"/>
      <c r="G67" s="847"/>
      <c r="H67" s="847"/>
      <c r="I67" s="847"/>
      <c r="J67" s="1127" t="s">
        <v>1732</v>
      </c>
      <c r="K67" s="1127"/>
      <c r="L67" s="847"/>
      <c r="M67" s="847"/>
      <c r="N67" s="847"/>
      <c r="O67" s="847"/>
      <c r="P67" s="847"/>
      <c r="Q67"/>
      <c r="R67"/>
      <c r="S67"/>
      <c r="T67"/>
      <c r="U67"/>
      <c r="V67" s="11"/>
      <c r="AH67" s="230"/>
      <c r="AM67" s="228"/>
    </row>
    <row r="68" spans="1:39" s="145" customFormat="1">
      <c r="A68"/>
      <c r="B68" s="72"/>
      <c r="C68" t="s">
        <v>1666</v>
      </c>
      <c r="D68" s="1138"/>
      <c r="E68"/>
      <c r="F68"/>
      <c r="G68" s="847"/>
      <c r="H68" s="847"/>
      <c r="J68" s="847"/>
      <c r="L68" s="1127" t="s">
        <v>1797</v>
      </c>
      <c r="M68" s="847"/>
      <c r="N68" s="847"/>
      <c r="O68" s="847"/>
      <c r="P68" s="847"/>
      <c r="Q68"/>
      <c r="R68"/>
      <c r="S68"/>
      <c r="T68"/>
      <c r="U68"/>
      <c r="V68" s="11"/>
      <c r="AH68" s="230"/>
      <c r="AM68" s="228"/>
    </row>
    <row r="69" spans="1:39" s="145" customFormat="1">
      <c r="A69"/>
      <c r="B69"/>
      <c r="C69" t="s">
        <v>1668</v>
      </c>
      <c r="D69" s="1138"/>
      <c r="E69"/>
      <c r="F69"/>
      <c r="G69" s="847"/>
      <c r="H69" s="847"/>
      <c r="J69" s="847"/>
      <c r="L69" s="1127" t="s">
        <v>1798</v>
      </c>
      <c r="M69" s="847"/>
      <c r="N69" s="847"/>
      <c r="O69" s="847"/>
      <c r="P69" s="847"/>
      <c r="Q69"/>
      <c r="R69"/>
      <c r="S69"/>
      <c r="T69"/>
      <c r="U69"/>
      <c r="V69" s="11"/>
      <c r="AH69" s="230"/>
      <c r="AM69" s="228"/>
    </row>
    <row r="70" spans="1:39" s="145" customFormat="1">
      <c r="A70"/>
      <c r="B70"/>
      <c r="C70" t="s">
        <v>1667</v>
      </c>
      <c r="D70" s="1138"/>
      <c r="E70"/>
      <c r="F70"/>
      <c r="G70" s="847"/>
      <c r="H70" s="847"/>
      <c r="J70" s="847"/>
      <c r="L70" s="1127" t="s">
        <v>1799</v>
      </c>
      <c r="M70" s="847"/>
      <c r="N70" s="847"/>
      <c r="O70" s="847"/>
      <c r="P70" s="847"/>
      <c r="Q70"/>
      <c r="R70"/>
      <c r="S70"/>
      <c r="T70"/>
      <c r="U70"/>
      <c r="V70" s="11"/>
      <c r="AH70" s="230"/>
      <c r="AM70" s="228"/>
    </row>
    <row r="71" spans="1:39" s="145" customFormat="1">
      <c r="A71"/>
      <c r="B71"/>
      <c r="AH71" s="230"/>
      <c r="AM71" s="228"/>
    </row>
    <row r="72" spans="1:39" s="145" customFormat="1">
      <c r="A72"/>
      <c r="B72" t="s">
        <v>1781</v>
      </c>
      <c r="C72" s="737" t="s">
        <v>1783</v>
      </c>
      <c r="D72" s="1138"/>
      <c r="E72"/>
      <c r="F72"/>
      <c r="G72" s="847"/>
      <c r="H72" s="847"/>
      <c r="I72" s="847"/>
      <c r="J72" s="847"/>
      <c r="K72" s="847"/>
      <c r="L72" s="847"/>
      <c r="M72" s="847"/>
      <c r="N72" s="847"/>
      <c r="O72" s="847"/>
      <c r="P72" s="847"/>
      <c r="Q72"/>
      <c r="R72"/>
      <c r="S72"/>
      <c r="T72"/>
      <c r="U72"/>
      <c r="V72" s="11"/>
    </row>
    <row r="73" spans="1:39" s="145" customFormat="1">
      <c r="A73"/>
      <c r="B73"/>
      <c r="C73" t="s">
        <v>1787</v>
      </c>
      <c r="D73" s="1138"/>
      <c r="E73"/>
      <c r="F73"/>
      <c r="G73" s="847"/>
      <c r="H73" s="847"/>
      <c r="I73" s="847"/>
      <c r="J73" s="847"/>
      <c r="K73" s="847"/>
      <c r="L73" s="847"/>
      <c r="M73" s="847"/>
      <c r="N73" s="847"/>
      <c r="O73" s="847"/>
      <c r="P73" s="847"/>
      <c r="Q73"/>
      <c r="R73"/>
      <c r="S73"/>
      <c r="T73"/>
      <c r="U73"/>
    </row>
    <row r="74" spans="1:39">
      <c r="C74" t="s">
        <v>1786</v>
      </c>
    </row>
    <row r="75" spans="1:39">
      <c r="C75" t="s">
        <v>1782</v>
      </c>
    </row>
    <row r="76" spans="1:39">
      <c r="C76" t="s">
        <v>1784</v>
      </c>
    </row>
    <row r="78" spans="1:39">
      <c r="B78" t="s">
        <v>1788</v>
      </c>
      <c r="C78" t="s">
        <v>1790</v>
      </c>
    </row>
    <row r="79" spans="1:39">
      <c r="C79" s="1237" t="s">
        <v>1789</v>
      </c>
    </row>
    <row r="80" spans="1:39">
      <c r="C80" s="1237" t="s">
        <v>1791</v>
      </c>
      <c r="D80" s="1237"/>
      <c r="E80" s="1237"/>
      <c r="F80" s="1237"/>
    </row>
    <row r="81" spans="3:3">
      <c r="C81" t="s">
        <v>1792</v>
      </c>
    </row>
    <row r="138" spans="5:5">
      <c r="E138">
        <f>'Livestock parameters'!B23*'Livestock parameters'!N23*INPUTS!D23</f>
        <v>160</v>
      </c>
    </row>
  </sheetData>
  <sheetProtection selectLockedCells="1"/>
  <hyperlinks>
    <hyperlink ref="V64" r:id="rId1" xr:uid="{00000000-0004-0000-0900-000000000000}"/>
  </hyperlinks>
  <pageMargins left="0.7" right="0.7" top="0.75" bottom="0.75" header="0.3" footer="0.3"/>
  <pageSetup paperSize="9" orientation="portrait" r:id="rId2"/>
  <ignoredErrors>
    <ignoredError sqref="G32 G27:G29 G20 G23:G25" unlocked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>
    <tabColor theme="0" tint="-0.499984740745262"/>
  </sheetPr>
  <dimension ref="A1:Z59"/>
  <sheetViews>
    <sheetView zoomScale="70" zoomScaleNormal="70" workbookViewId="0">
      <selection activeCell="I72" sqref="I72"/>
    </sheetView>
  </sheetViews>
  <sheetFormatPr defaultColWidth="8.875" defaultRowHeight="15.75"/>
  <cols>
    <col min="1" max="1" width="32.875" customWidth="1"/>
    <col min="2" max="3" width="8.875" style="63"/>
    <col min="4" max="4" width="13.25" style="63" bestFit="1" customWidth="1"/>
    <col min="5" max="7" width="8.875" style="63"/>
    <col min="8" max="8" width="13.25" style="63" bestFit="1" customWidth="1"/>
    <col min="9" max="20" width="8.875" style="63"/>
    <col min="21" max="21" width="11.875" style="63" bestFit="1" customWidth="1"/>
    <col min="22" max="22" width="9.625" style="12" customWidth="1"/>
    <col min="23" max="26" width="8.875" customWidth="1"/>
  </cols>
  <sheetData>
    <row r="1" spans="1:26">
      <c r="B1" s="1418" t="s">
        <v>1131</v>
      </c>
      <c r="C1" s="1418"/>
      <c r="D1" s="1418"/>
    </row>
    <row r="2" spans="1:26" ht="94.5">
      <c r="A2" s="451" t="s">
        <v>625</v>
      </c>
      <c r="B2" s="711" t="s">
        <v>1701</v>
      </c>
      <c r="C2" s="711" t="s">
        <v>1001</v>
      </c>
      <c r="D2" s="711" t="s">
        <v>1002</v>
      </c>
      <c r="E2" s="711" t="s">
        <v>644</v>
      </c>
      <c r="F2" s="711" t="s">
        <v>1003</v>
      </c>
      <c r="G2" s="711" t="s">
        <v>1009</v>
      </c>
      <c r="H2" s="711" t="s">
        <v>1004</v>
      </c>
      <c r="I2" s="711" t="s">
        <v>1007</v>
      </c>
      <c r="J2" s="711" t="s">
        <v>1005</v>
      </c>
      <c r="K2" s="711" t="s">
        <v>1008</v>
      </c>
      <c r="L2" s="711" t="s">
        <v>772</v>
      </c>
      <c r="M2" s="711" t="s">
        <v>1006</v>
      </c>
      <c r="N2" s="711" t="s">
        <v>959</v>
      </c>
      <c r="O2" s="711" t="s">
        <v>1010</v>
      </c>
      <c r="P2" s="711" t="s">
        <v>960</v>
      </c>
      <c r="Q2" s="711" t="s">
        <v>958</v>
      </c>
      <c r="R2" s="45" t="s">
        <v>1273</v>
      </c>
      <c r="S2" s="45" t="s">
        <v>1274</v>
      </c>
      <c r="T2" s="68" t="s">
        <v>1275</v>
      </c>
      <c r="U2" s="221" t="s">
        <v>1276</v>
      </c>
      <c r="V2" s="30" t="s">
        <v>1398</v>
      </c>
      <c r="W2" s="103" t="s">
        <v>1399</v>
      </c>
      <c r="X2" s="103" t="s">
        <v>1400</v>
      </c>
      <c r="Y2" s="103" t="s">
        <v>1401</v>
      </c>
      <c r="Z2" s="103" t="s">
        <v>1402</v>
      </c>
    </row>
    <row r="3" spans="1:26">
      <c r="A3" s="926" t="s">
        <v>1605</v>
      </c>
      <c r="B3" s="713"/>
      <c r="C3" s="713"/>
      <c r="D3" s="711">
        <v>8.8821917808219162</v>
      </c>
      <c r="E3" s="717"/>
      <c r="F3" s="710"/>
      <c r="G3" s="931"/>
      <c r="H3" s="711">
        <v>0</v>
      </c>
      <c r="I3" s="711">
        <f>K3*(D3*1000)</f>
        <v>92.374794520547937</v>
      </c>
      <c r="J3" s="715">
        <v>1.04E-2</v>
      </c>
      <c r="K3" s="715">
        <v>1.04E-2</v>
      </c>
      <c r="L3" s="715"/>
      <c r="M3" s="716"/>
      <c r="N3" s="715"/>
      <c r="O3" s="715"/>
      <c r="P3" s="711"/>
      <c r="Q3" s="1111"/>
      <c r="R3" s="715">
        <v>0.3</v>
      </c>
      <c r="S3" s="715">
        <v>0.75</v>
      </c>
      <c r="T3" s="715">
        <v>0.75</v>
      </c>
      <c r="U3" s="68">
        <f t="shared" ref="U3:U21" si="0">AVERAGE(R3:T3)</f>
        <v>0.6</v>
      </c>
      <c r="V3" s="12" t="s">
        <v>1389</v>
      </c>
    </row>
    <row r="4" spans="1:26">
      <c r="A4" s="927" t="s">
        <v>1606</v>
      </c>
      <c r="B4" s="713"/>
      <c r="C4" s="713">
        <v>0.26</v>
      </c>
      <c r="D4" s="711">
        <v>15.646575342465754</v>
      </c>
      <c r="E4" s="709"/>
      <c r="F4" s="710"/>
      <c r="G4" s="932"/>
      <c r="H4" s="711">
        <v>0</v>
      </c>
      <c r="I4" s="711">
        <f>K4*(D4*1000)</f>
        <v>275.37972602739728</v>
      </c>
      <c r="J4" s="715">
        <f>0.11/6.25</f>
        <v>1.7600000000000001E-2</v>
      </c>
      <c r="K4" s="715">
        <f>0.11/6.25</f>
        <v>1.7600000000000001E-2</v>
      </c>
      <c r="L4" s="715"/>
      <c r="M4" s="716"/>
      <c r="N4" s="715"/>
      <c r="O4" s="715"/>
      <c r="P4" s="711"/>
      <c r="Q4" s="1111"/>
      <c r="R4" s="715">
        <v>0.6</v>
      </c>
      <c r="S4" s="715">
        <v>1.1000000000000001</v>
      </c>
      <c r="T4" s="715">
        <v>1.05</v>
      </c>
      <c r="U4" s="68">
        <f t="shared" si="0"/>
        <v>0.91666666666666663</v>
      </c>
      <c r="V4" s="12" t="s">
        <v>1389</v>
      </c>
    </row>
    <row r="5" spans="1:26">
      <c r="A5" s="928" t="s">
        <v>1143</v>
      </c>
      <c r="B5" s="715"/>
      <c r="C5" s="715">
        <v>0.26</v>
      </c>
      <c r="D5" s="711">
        <v>13.764383561643836</v>
      </c>
      <c r="E5" s="709"/>
      <c r="F5" s="710"/>
      <c r="G5" s="932"/>
      <c r="H5" s="711">
        <v>0</v>
      </c>
      <c r="I5" s="711">
        <f>K5*(D5*1000)</f>
        <v>308.32219178082198</v>
      </c>
      <c r="J5" s="1167">
        <f>0.14/6.25</f>
        <v>2.2400000000000003E-2</v>
      </c>
      <c r="K5" s="1167">
        <f>0.14/6.25</f>
        <v>2.2400000000000003E-2</v>
      </c>
      <c r="L5" s="1198"/>
      <c r="M5" s="716"/>
      <c r="N5" s="1167"/>
      <c r="O5" s="1198"/>
      <c r="P5" s="711"/>
      <c r="Q5" s="1111"/>
      <c r="R5" s="1167">
        <v>0.6</v>
      </c>
      <c r="S5" s="1167">
        <v>1.1000000000000001</v>
      </c>
      <c r="T5" s="1198">
        <v>1.05</v>
      </c>
      <c r="U5" s="68">
        <f t="shared" si="0"/>
        <v>0.91666666666666663</v>
      </c>
      <c r="V5" s="12" t="s">
        <v>1389</v>
      </c>
    </row>
    <row r="6" spans="1:26">
      <c r="A6" s="928" t="s">
        <v>1607</v>
      </c>
      <c r="B6" s="715"/>
      <c r="C6" s="715"/>
      <c r="D6" s="711">
        <v>4</v>
      </c>
      <c r="E6" s="709"/>
      <c r="F6" s="710"/>
      <c r="G6" s="932"/>
      <c r="H6" s="711">
        <v>0</v>
      </c>
      <c r="I6" s="711">
        <f>K6*(D6*1000)</f>
        <v>140.80000000000001</v>
      </c>
      <c r="J6" s="1167">
        <f>0.22/6.25</f>
        <v>3.5200000000000002E-2</v>
      </c>
      <c r="K6" s="1167">
        <f>0.22/6.25</f>
        <v>3.5200000000000002E-2</v>
      </c>
      <c r="L6" s="715"/>
      <c r="M6" s="716">
        <v>40</v>
      </c>
      <c r="N6" s="1167"/>
      <c r="O6" s="715"/>
      <c r="P6" s="711"/>
      <c r="Q6" s="1111"/>
      <c r="R6" s="1167">
        <v>0.15</v>
      </c>
      <c r="S6" s="1167">
        <v>1.1000000000000001</v>
      </c>
      <c r="T6" s="715">
        <v>0.25</v>
      </c>
      <c r="U6" s="68">
        <f t="shared" si="0"/>
        <v>0.5</v>
      </c>
    </row>
    <row r="7" spans="1:26" s="145" customFormat="1">
      <c r="A7" s="925" t="s">
        <v>1608</v>
      </c>
      <c r="B7" s="715">
        <v>12.5</v>
      </c>
      <c r="C7" s="715">
        <f>1-(O7/100)</f>
        <v>0.4032</v>
      </c>
      <c r="D7" s="711">
        <v>5.04</v>
      </c>
      <c r="E7" s="709">
        <v>0.5</v>
      </c>
      <c r="F7" s="710">
        <f>B7*((1-E7)/E7)</f>
        <v>12.5</v>
      </c>
      <c r="G7" s="932">
        <f>1-(O7/100)</f>
        <v>0.4032</v>
      </c>
      <c r="H7" s="711">
        <v>5.04</v>
      </c>
      <c r="I7" s="711">
        <f>K7*(H7*1000)</f>
        <v>15.120000000000001</v>
      </c>
      <c r="J7" s="709">
        <v>4.0000000000000001E-3</v>
      </c>
      <c r="K7" s="715">
        <v>3.0000000000000001E-3</v>
      </c>
      <c r="L7" s="715">
        <v>0.05</v>
      </c>
      <c r="M7" s="716">
        <v>0</v>
      </c>
      <c r="N7" s="715">
        <v>160</v>
      </c>
      <c r="O7" s="715">
        <v>59.68</v>
      </c>
      <c r="P7" s="711">
        <f>(N7*100)/(100-O7)</f>
        <v>396.82539682539681</v>
      </c>
      <c r="Q7" s="1111">
        <v>11134</v>
      </c>
      <c r="R7" s="924"/>
      <c r="S7" s="715"/>
      <c r="T7" s="715"/>
      <c r="U7" s="225" t="e">
        <f t="shared" si="0"/>
        <v>#DIV/0!</v>
      </c>
      <c r="V7" s="228"/>
    </row>
    <row r="8" spans="1:26" s="145" customFormat="1">
      <c r="A8" s="925" t="s">
        <v>986</v>
      </c>
      <c r="B8" s="715">
        <v>0.95</v>
      </c>
      <c r="C8" s="715">
        <v>0.89900000000000002</v>
      </c>
      <c r="D8" s="711">
        <v>0.85404999999999998</v>
      </c>
      <c r="E8" s="709">
        <v>0.21990000000000001</v>
      </c>
      <c r="F8" s="710">
        <f>B8*((1-E8)/E8)</f>
        <v>3.370145520691223</v>
      </c>
      <c r="G8" s="932">
        <f>1-(O8/100)</f>
        <v>0.88050000000000006</v>
      </c>
      <c r="H8" s="711">
        <v>2.9674131309686222</v>
      </c>
      <c r="I8" s="711">
        <f>K8*(H8*1000)</f>
        <v>68.250502012278304</v>
      </c>
      <c r="J8" s="709">
        <v>3.7999999999999999E-2</v>
      </c>
      <c r="K8" s="715">
        <v>2.3E-2</v>
      </c>
      <c r="L8" s="715">
        <v>0.11700000000000001</v>
      </c>
      <c r="M8" s="716">
        <f>0.5*(K8*H8+J8*D8)*1000</f>
        <v>50.352201006139161</v>
      </c>
      <c r="N8" s="715">
        <v>336</v>
      </c>
      <c r="O8" s="715">
        <v>11.95</v>
      </c>
      <c r="P8" s="711">
        <f>(N8*100)/(100-O8)</f>
        <v>381.60136286201021</v>
      </c>
      <c r="Q8" s="1111">
        <v>16062</v>
      </c>
      <c r="R8" s="709">
        <v>0.15</v>
      </c>
      <c r="S8" s="715">
        <v>1.05</v>
      </c>
      <c r="T8" s="715">
        <v>0.6</v>
      </c>
      <c r="U8" s="225">
        <f t="shared" si="0"/>
        <v>0.6</v>
      </c>
      <c r="V8" s="228"/>
    </row>
    <row r="9" spans="1:26">
      <c r="A9" s="928" t="s">
        <v>1609</v>
      </c>
      <c r="B9" s="715"/>
      <c r="C9" s="715"/>
      <c r="D9" s="711">
        <v>12</v>
      </c>
      <c r="E9" s="709"/>
      <c r="F9" s="710"/>
      <c r="G9" s="933"/>
      <c r="H9" s="711">
        <v>0</v>
      </c>
      <c r="I9" s="711">
        <f>K9*(D9*1000)</f>
        <v>460.79999999999995</v>
      </c>
      <c r="J9" s="1167">
        <f>0.24/6.25</f>
        <v>3.8399999999999997E-2</v>
      </c>
      <c r="K9" s="1167">
        <f>0.24/6.25</f>
        <v>3.8399999999999997E-2</v>
      </c>
      <c r="L9" s="1198"/>
      <c r="M9" s="716"/>
      <c r="N9" s="1167"/>
      <c r="O9" s="1198"/>
      <c r="P9" s="711"/>
      <c r="Q9" s="1111"/>
      <c r="R9" s="1167">
        <v>1.05</v>
      </c>
      <c r="S9" s="1167">
        <v>1.1000000000000001</v>
      </c>
      <c r="T9" s="1198">
        <v>1.1000000000000001</v>
      </c>
      <c r="U9" s="68">
        <f t="shared" si="0"/>
        <v>1.0833333333333335</v>
      </c>
      <c r="V9" s="12" t="s">
        <v>1393</v>
      </c>
      <c r="W9">
        <v>400</v>
      </c>
      <c r="X9">
        <v>18</v>
      </c>
      <c r="Y9">
        <v>2</v>
      </c>
    </row>
    <row r="10" spans="1:26" s="1176" customFormat="1">
      <c r="A10" s="928" t="s">
        <v>1714</v>
      </c>
      <c r="B10" s="715"/>
      <c r="C10" s="715"/>
      <c r="D10" s="711">
        <v>10</v>
      </c>
      <c r="E10" s="709"/>
      <c r="F10" s="710"/>
      <c r="G10" s="933"/>
      <c r="H10" s="711"/>
      <c r="I10" s="711"/>
      <c r="J10" s="1167">
        <v>0.02</v>
      </c>
      <c r="K10" s="1199">
        <v>0.02</v>
      </c>
      <c r="L10" s="1198"/>
      <c r="M10" s="716"/>
      <c r="N10" s="1199"/>
      <c r="O10" s="1198"/>
      <c r="P10" s="711"/>
      <c r="Q10" s="1111"/>
      <c r="R10" s="924">
        <v>0.3</v>
      </c>
      <c r="S10" s="715">
        <v>0.75</v>
      </c>
      <c r="T10" s="715">
        <v>0.75</v>
      </c>
      <c r="U10" s="68">
        <f t="shared" si="0"/>
        <v>0.6</v>
      </c>
      <c r="V10" s="12" t="s">
        <v>1389</v>
      </c>
    </row>
    <row r="11" spans="1:26" s="1153" customFormat="1">
      <c r="A11" s="928" t="s">
        <v>1687</v>
      </c>
      <c r="B11" s="715"/>
      <c r="C11" s="715"/>
      <c r="D11" s="711">
        <v>10</v>
      </c>
      <c r="E11" s="709"/>
      <c r="F11" s="710"/>
      <c r="G11" s="933"/>
      <c r="H11" s="711"/>
      <c r="I11" s="711"/>
      <c r="J11" s="715">
        <f>0.08/6.25</f>
        <v>1.2800000000000001E-2</v>
      </c>
      <c r="K11" s="1199"/>
      <c r="L11" s="1198"/>
      <c r="M11" s="716"/>
      <c r="N11" s="1199"/>
      <c r="O11" s="1198"/>
      <c r="P11" s="711"/>
      <c r="Q11" s="1111"/>
      <c r="R11" s="924">
        <v>0.3</v>
      </c>
      <c r="S11" s="715">
        <v>0.75</v>
      </c>
      <c r="T11" s="715">
        <v>0.75</v>
      </c>
      <c r="U11" s="68">
        <f t="shared" si="0"/>
        <v>0.6</v>
      </c>
      <c r="V11" s="12" t="s">
        <v>1389</v>
      </c>
    </row>
    <row r="12" spans="1:26">
      <c r="A12" s="714" t="s">
        <v>1133</v>
      </c>
      <c r="B12" s="715">
        <v>1.33</v>
      </c>
      <c r="C12" s="715">
        <v>0.8</v>
      </c>
      <c r="D12" s="711">
        <v>1.0640000000000001</v>
      </c>
      <c r="E12" s="709">
        <v>0.47</v>
      </c>
      <c r="F12" s="710">
        <f>B12*((1-E12)/E12)</f>
        <v>1.4997872340425535</v>
      </c>
      <c r="G12" s="932">
        <f>1-(O12/100)</f>
        <v>0.89629999999999999</v>
      </c>
      <c r="H12" s="711">
        <v>1.3442592978723407</v>
      </c>
      <c r="I12" s="711">
        <f>K12*(H12*1000)</f>
        <v>9.409815085106386</v>
      </c>
      <c r="J12" s="1200">
        <v>1.7000000000000001E-2</v>
      </c>
      <c r="K12" s="1199">
        <v>7.0000000000000001E-3</v>
      </c>
      <c r="L12" s="715">
        <v>0.05</v>
      </c>
      <c r="M12" s="716">
        <v>0</v>
      </c>
      <c r="N12" s="1199">
        <v>365</v>
      </c>
      <c r="O12" s="715">
        <v>10.37</v>
      </c>
      <c r="P12" s="711">
        <f>(N12*100)/(100-O12)</f>
        <v>407.22972219123062</v>
      </c>
      <c r="Q12" s="1111">
        <v>20314</v>
      </c>
      <c r="R12" s="1200">
        <v>0.15</v>
      </c>
      <c r="S12" s="1199">
        <v>1.1499999999999999</v>
      </c>
      <c r="T12" s="715">
        <v>0.3</v>
      </c>
      <c r="U12" s="68">
        <f t="shared" si="0"/>
        <v>0.53333333333333333</v>
      </c>
    </row>
    <row r="13" spans="1:26">
      <c r="A13" s="925" t="s">
        <v>1610</v>
      </c>
      <c r="B13" s="715"/>
      <c r="C13" s="715"/>
      <c r="D13" s="711">
        <v>5</v>
      </c>
      <c r="E13" s="709"/>
      <c r="F13" s="710"/>
      <c r="G13" s="932">
        <f>1-(O13/100)</f>
        <v>1</v>
      </c>
      <c r="H13" s="711">
        <v>0</v>
      </c>
      <c r="I13" s="711">
        <f>K13*(H13*1000)</f>
        <v>0</v>
      </c>
      <c r="J13" s="1167">
        <v>3.56E-2</v>
      </c>
      <c r="K13" s="1167">
        <v>3.56E-2</v>
      </c>
      <c r="L13" s="715"/>
      <c r="M13" s="716">
        <f>0.5*(K13*H13+J13*D13)*1000</f>
        <v>89</v>
      </c>
      <c r="N13" s="1167"/>
      <c r="O13" s="715"/>
      <c r="P13" s="711"/>
      <c r="Q13" s="1111"/>
      <c r="R13" s="1167">
        <v>1.05</v>
      </c>
      <c r="S13" s="1167">
        <v>1.1000000000000001</v>
      </c>
      <c r="T13" s="715">
        <v>1.1000000000000001</v>
      </c>
      <c r="U13" s="68">
        <f t="shared" si="0"/>
        <v>1.0833333333333335</v>
      </c>
      <c r="V13" s="12" t="s">
        <v>1393</v>
      </c>
      <c r="W13">
        <v>3000</v>
      </c>
      <c r="X13">
        <v>18</v>
      </c>
      <c r="Y13">
        <v>2</v>
      </c>
    </row>
    <row r="14" spans="1:26">
      <c r="A14" s="926" t="s">
        <v>643</v>
      </c>
      <c r="B14" s="713">
        <v>1.22</v>
      </c>
      <c r="C14" s="713">
        <v>0.95</v>
      </c>
      <c r="D14" s="711">
        <v>1.159</v>
      </c>
      <c r="E14" s="709">
        <v>0.28999999999999998</v>
      </c>
      <c r="F14" s="710">
        <f>B14*((1-E14)/E14)</f>
        <v>2.9868965517241381</v>
      </c>
      <c r="G14" s="932">
        <f>1-(O14/100)</f>
        <v>0.93500000000000005</v>
      </c>
      <c r="H14" s="711">
        <v>2.7927482758620692</v>
      </c>
      <c r="I14" s="711">
        <f>K14*(H14*1000)</f>
        <v>33.512979310344832</v>
      </c>
      <c r="J14" s="715">
        <v>3.6999999999999998E-2</v>
      </c>
      <c r="K14" s="715">
        <v>1.2E-2</v>
      </c>
      <c r="L14" s="715">
        <v>0.11700000000000001</v>
      </c>
      <c r="M14" s="716">
        <f>0.5*(K14*H14+J14*D14)*1000</f>
        <v>38.197989655172421</v>
      </c>
      <c r="N14" s="715">
        <v>567</v>
      </c>
      <c r="O14" s="715">
        <v>6.5</v>
      </c>
      <c r="P14" s="711">
        <f>(N14*100)/(100-O14)</f>
        <v>606.4171122994652</v>
      </c>
      <c r="Q14" s="1111">
        <v>16067</v>
      </c>
      <c r="R14" s="715">
        <v>0.15</v>
      </c>
      <c r="S14" s="715">
        <v>1.1499999999999999</v>
      </c>
      <c r="T14" s="715">
        <v>0.6</v>
      </c>
      <c r="U14" s="68">
        <f t="shared" si="0"/>
        <v>0.6333333333333333</v>
      </c>
    </row>
    <row r="15" spans="1:26" s="1153" customFormat="1">
      <c r="A15" s="928" t="s">
        <v>1611</v>
      </c>
      <c r="B15" s="713"/>
      <c r="C15" s="715"/>
      <c r="D15" s="711">
        <v>0</v>
      </c>
      <c r="E15" s="709"/>
      <c r="F15" s="710" t="e">
        <f>B15*((1-E15)/E15)</f>
        <v>#DIV/0!</v>
      </c>
      <c r="G15" s="932">
        <f>1-(O15/100)</f>
        <v>0.19200000000000006</v>
      </c>
      <c r="H15" s="711">
        <v>0</v>
      </c>
      <c r="I15" s="711">
        <f>K15*(D15*1000)</f>
        <v>0</v>
      </c>
      <c r="J15" s="1203">
        <v>2E-3</v>
      </c>
      <c r="K15" s="715">
        <v>2.8000000000000001E-2</v>
      </c>
      <c r="L15" s="715">
        <v>0.14599999999999999</v>
      </c>
      <c r="M15" s="716">
        <v>0</v>
      </c>
      <c r="N15" s="715">
        <v>68</v>
      </c>
      <c r="O15" s="715">
        <v>80.8</v>
      </c>
      <c r="P15" s="711">
        <f>(N15*100)/(100-O15)</f>
        <v>354.16666666666663</v>
      </c>
      <c r="Q15" s="1111">
        <v>9139</v>
      </c>
      <c r="R15" s="924">
        <v>1.05</v>
      </c>
      <c r="S15" s="715">
        <v>1.1000000000000001</v>
      </c>
      <c r="T15" s="715">
        <v>1.1000000000000001</v>
      </c>
      <c r="U15" s="68">
        <f t="shared" si="0"/>
        <v>1.0833333333333335</v>
      </c>
      <c r="V15" s="12" t="s">
        <v>1393</v>
      </c>
      <c r="W15" s="72">
        <v>25</v>
      </c>
      <c r="X15" s="1153">
        <v>20</v>
      </c>
    </row>
    <row r="16" spans="1:26">
      <c r="A16" s="1154" t="s">
        <v>1685</v>
      </c>
      <c r="B16" s="713"/>
      <c r="C16" s="713"/>
      <c r="D16" s="1201">
        <v>17</v>
      </c>
      <c r="E16" s="709"/>
      <c r="F16" s="710"/>
      <c r="G16" s="932"/>
      <c r="H16" s="711"/>
      <c r="I16" s="711"/>
      <c r="J16" s="1204">
        <f>0.15/6.25</f>
        <v>2.4E-2</v>
      </c>
      <c r="K16" s="715"/>
      <c r="L16" s="715"/>
      <c r="M16" s="716">
        <v>0</v>
      </c>
      <c r="N16" s="715"/>
      <c r="O16" s="715"/>
      <c r="P16" s="711"/>
      <c r="Q16" s="1111"/>
      <c r="R16" s="715">
        <v>1.05</v>
      </c>
      <c r="S16" s="715">
        <v>1.1000000000000001</v>
      </c>
      <c r="T16" s="715">
        <v>1.1000000000000001</v>
      </c>
      <c r="U16" s="68">
        <f t="shared" si="0"/>
        <v>1.0833333333333335</v>
      </c>
      <c r="V16" s="12" t="s">
        <v>1393</v>
      </c>
      <c r="W16" s="42">
        <v>10000</v>
      </c>
    </row>
    <row r="17" spans="1:25">
      <c r="A17" s="926" t="s">
        <v>1612</v>
      </c>
      <c r="B17" s="713"/>
      <c r="C17" s="713"/>
      <c r="D17" s="711">
        <v>10.136986301369863</v>
      </c>
      <c r="E17" s="709"/>
      <c r="F17" s="710"/>
      <c r="G17" s="932"/>
      <c r="H17" s="711">
        <v>0</v>
      </c>
      <c r="I17" s="711">
        <f>K17*(D17*1000)</f>
        <v>101.36986301369863</v>
      </c>
      <c r="J17" s="924">
        <v>0.01</v>
      </c>
      <c r="K17" s="1167">
        <v>0.01</v>
      </c>
      <c r="L17" s="715"/>
      <c r="M17" s="716"/>
      <c r="N17" s="715"/>
      <c r="O17" s="715"/>
      <c r="P17" s="711"/>
      <c r="Q17" s="1111"/>
      <c r="R17" s="924">
        <v>0.3</v>
      </c>
      <c r="S17" s="715">
        <v>0.75</v>
      </c>
      <c r="T17" s="715">
        <v>0.75</v>
      </c>
      <c r="U17" s="68">
        <f t="shared" si="0"/>
        <v>0.6</v>
      </c>
      <c r="V17" s="12" t="s">
        <v>1389</v>
      </c>
    </row>
    <row r="18" spans="1:25">
      <c r="A18" s="1165" t="s">
        <v>1696</v>
      </c>
      <c r="B18" s="715"/>
      <c r="C18" s="715"/>
      <c r="D18" s="711">
        <v>8</v>
      </c>
      <c r="E18" s="709"/>
      <c r="F18" s="710"/>
      <c r="G18" s="932"/>
      <c r="H18" s="711">
        <v>0</v>
      </c>
      <c r="I18" s="711">
        <f>K18*(D18*1000)</f>
        <v>80</v>
      </c>
      <c r="J18" s="924">
        <v>0.01</v>
      </c>
      <c r="K18" s="1167">
        <v>0.01</v>
      </c>
      <c r="L18" s="715"/>
      <c r="M18" s="716"/>
      <c r="N18" s="1167"/>
      <c r="O18" s="715"/>
      <c r="P18" s="711"/>
      <c r="Q18" s="1111"/>
      <c r="R18" s="924">
        <v>0.3</v>
      </c>
      <c r="S18" s="1167">
        <v>0.75</v>
      </c>
      <c r="T18" s="715">
        <v>0.75</v>
      </c>
      <c r="U18" s="68">
        <f t="shared" si="0"/>
        <v>0.6</v>
      </c>
      <c r="V18" s="12" t="s">
        <v>1389</v>
      </c>
    </row>
    <row r="19" spans="1:25">
      <c r="A19" s="925" t="s">
        <v>1629</v>
      </c>
      <c r="B19" s="715">
        <v>1.843</v>
      </c>
      <c r="C19" s="715">
        <v>0.88</v>
      </c>
      <c r="D19" s="711">
        <v>1.6218399999999999</v>
      </c>
      <c r="E19" s="709">
        <v>0.5</v>
      </c>
      <c r="F19" s="710">
        <f>B19*((1-E19)/E19)</f>
        <v>1.843</v>
      </c>
      <c r="G19" s="932">
        <f>1-(O19/100)</f>
        <v>0.89410000000000001</v>
      </c>
      <c r="H19" s="711">
        <v>1.6478263</v>
      </c>
      <c r="I19" s="711">
        <f>K19*(H19*1000)</f>
        <v>65.913051999999993</v>
      </c>
      <c r="J19" s="924">
        <v>4.0000000000000001E-3</v>
      </c>
      <c r="K19" s="1167">
        <v>0.04</v>
      </c>
      <c r="L19" s="715"/>
      <c r="M19" s="716">
        <f>0.5*(K19*H19+J19*D19)*1000</f>
        <v>36.200206000000001</v>
      </c>
      <c r="N19" s="1167">
        <v>343</v>
      </c>
      <c r="O19" s="715">
        <v>10.59</v>
      </c>
      <c r="P19" s="711">
        <f>(N19*100)/(100-O19)</f>
        <v>383.62599261827535</v>
      </c>
      <c r="Q19" s="1111">
        <v>16101</v>
      </c>
      <c r="R19" s="924">
        <v>0.15</v>
      </c>
      <c r="S19" s="1167">
        <v>1.1000000000000001</v>
      </c>
      <c r="T19" s="715">
        <v>0.25</v>
      </c>
      <c r="U19" s="68">
        <f t="shared" si="0"/>
        <v>0.5</v>
      </c>
    </row>
    <row r="20" spans="1:25">
      <c r="A20" s="714" t="s">
        <v>912</v>
      </c>
      <c r="B20" s="713"/>
      <c r="C20" s="713"/>
      <c r="D20" s="711">
        <v>14</v>
      </c>
      <c r="E20" s="709"/>
      <c r="F20" s="710"/>
      <c r="G20" s="932">
        <f>1-(O20/100)</f>
        <v>1</v>
      </c>
      <c r="H20" s="711">
        <v>0</v>
      </c>
      <c r="I20" s="711">
        <f>K20*(H20*1000)</f>
        <v>0</v>
      </c>
      <c r="J20" s="924">
        <v>3.4000000000000002E-2</v>
      </c>
      <c r="K20" s="715">
        <v>3.4000000000000002E-2</v>
      </c>
      <c r="L20" s="715"/>
      <c r="M20" s="716">
        <f>0.5*(K20*H20+J20*D20)*1000</f>
        <v>238.00000000000003</v>
      </c>
      <c r="N20" s="715"/>
      <c r="O20" s="715"/>
      <c r="P20" s="711">
        <f>(N20*100)/(100-O20)</f>
        <v>0</v>
      </c>
      <c r="Q20" s="1111"/>
      <c r="R20" s="924">
        <v>1.05</v>
      </c>
      <c r="S20" s="715">
        <v>1.1000000000000001</v>
      </c>
      <c r="T20" s="715">
        <v>1.1000000000000001</v>
      </c>
      <c r="U20" s="68">
        <f t="shared" si="0"/>
        <v>1.0833333333333335</v>
      </c>
      <c r="V20" s="12" t="s">
        <v>1393</v>
      </c>
      <c r="W20">
        <v>400</v>
      </c>
      <c r="X20">
        <v>18</v>
      </c>
      <c r="Y20">
        <v>3</v>
      </c>
    </row>
    <row r="21" spans="1:25">
      <c r="A21" s="926" t="s">
        <v>376</v>
      </c>
      <c r="B21" s="713">
        <v>1.33</v>
      </c>
      <c r="C21" s="713">
        <v>0.8</v>
      </c>
      <c r="D21" s="711">
        <v>1.0640000000000001</v>
      </c>
      <c r="E21" s="709">
        <v>0.47</v>
      </c>
      <c r="F21" s="710">
        <v>3.5</v>
      </c>
      <c r="G21" s="932">
        <f>1-(O21/100)</f>
        <v>0.89629999999999999</v>
      </c>
      <c r="H21" s="711">
        <v>3</v>
      </c>
      <c r="I21" s="711">
        <f>K21*(H21*1000)</f>
        <v>21</v>
      </c>
      <c r="J21" s="924">
        <v>1.7000000000000001E-2</v>
      </c>
      <c r="K21" s="715">
        <v>7.0000000000000001E-3</v>
      </c>
      <c r="L21" s="715">
        <v>0.05</v>
      </c>
      <c r="M21" s="716">
        <v>0</v>
      </c>
      <c r="N21" s="715">
        <v>365</v>
      </c>
      <c r="O21" s="715">
        <v>10.37</v>
      </c>
      <c r="P21" s="711">
        <f>(N21*100)/(100-O21)</f>
        <v>407.22972219123062</v>
      </c>
      <c r="Q21" s="1111">
        <v>20314</v>
      </c>
      <c r="R21" s="924">
        <v>0.15</v>
      </c>
      <c r="S21" s="715">
        <v>1.1499999999999999</v>
      </c>
      <c r="T21" s="715">
        <v>0.3</v>
      </c>
      <c r="U21" s="68">
        <f t="shared" si="0"/>
        <v>0.53333333333333333</v>
      </c>
    </row>
    <row r="22" spans="1:25" s="1166" customFormat="1">
      <c r="A22" s="926" t="s">
        <v>1699</v>
      </c>
      <c r="B22" s="713">
        <v>40</v>
      </c>
      <c r="C22" s="713">
        <v>0.25</v>
      </c>
      <c r="D22" s="711">
        <v>10</v>
      </c>
      <c r="E22" s="709">
        <v>1</v>
      </c>
      <c r="F22" s="710">
        <v>1</v>
      </c>
      <c r="G22" s="932">
        <v>0.25</v>
      </c>
      <c r="H22" s="711"/>
      <c r="I22" s="711"/>
      <c r="J22" s="924">
        <v>1.2E-2</v>
      </c>
      <c r="K22" s="715">
        <v>1.2E-2</v>
      </c>
      <c r="L22" s="715">
        <v>0.05</v>
      </c>
      <c r="M22" s="716">
        <v>0</v>
      </c>
      <c r="N22" s="715"/>
      <c r="O22" s="715"/>
      <c r="P22" s="711"/>
      <c r="Q22" s="1111"/>
      <c r="R22" s="924">
        <v>0.15</v>
      </c>
      <c r="S22" s="715">
        <v>1.1499999999999999</v>
      </c>
      <c r="T22" s="715">
        <v>0.3</v>
      </c>
      <c r="U22" s="68">
        <v>0.53333333333333333</v>
      </c>
      <c r="V22" s="12"/>
    </row>
    <row r="23" spans="1:25" s="1149" customFormat="1">
      <c r="A23" s="1154" t="s">
        <v>1684</v>
      </c>
      <c r="B23" s="713"/>
      <c r="C23" s="713"/>
      <c r="D23" s="1201">
        <v>20</v>
      </c>
      <c r="E23" s="709"/>
      <c r="F23" s="710"/>
      <c r="G23" s="932"/>
      <c r="H23" s="711">
        <v>0</v>
      </c>
      <c r="I23" s="711"/>
      <c r="J23" s="924">
        <v>3.7999999999999999E-2</v>
      </c>
      <c r="K23" s="715">
        <v>3.7999999999999999E-2</v>
      </c>
      <c r="L23" s="715"/>
      <c r="M23" s="716">
        <v>0</v>
      </c>
      <c r="N23" s="715"/>
      <c r="O23" s="715"/>
      <c r="P23" s="711"/>
      <c r="Q23" s="1111"/>
      <c r="R23" s="924">
        <v>1.05</v>
      </c>
      <c r="S23" s="715">
        <v>1.1000000000000001</v>
      </c>
      <c r="T23" s="715">
        <v>1.1000000000000001</v>
      </c>
      <c r="U23" s="68">
        <f>AVERAGE(R23:T23)</f>
        <v>1.0833333333333335</v>
      </c>
      <c r="V23" s="1202" t="s">
        <v>1393</v>
      </c>
      <c r="W23" s="42">
        <v>80000</v>
      </c>
      <c r="X23" s="42"/>
      <c r="Y23" s="42"/>
    </row>
    <row r="24" spans="1:25" s="1234" customFormat="1">
      <c r="A24" s="926" t="s">
        <v>1775</v>
      </c>
      <c r="B24" s="713">
        <v>10</v>
      </c>
      <c r="C24" s="713"/>
      <c r="D24" s="1111">
        <v>1.6</v>
      </c>
      <c r="E24" s="709"/>
      <c r="F24" s="710">
        <v>10</v>
      </c>
      <c r="G24" s="932">
        <v>0.16</v>
      </c>
      <c r="H24" s="711">
        <v>1.6</v>
      </c>
      <c r="I24" s="711">
        <f>K24*(D24*1000)</f>
        <v>40</v>
      </c>
      <c r="J24" s="924">
        <v>2.5000000000000001E-2</v>
      </c>
      <c r="K24" s="715">
        <v>2.5000000000000001E-2</v>
      </c>
      <c r="L24" s="715"/>
      <c r="M24" s="716"/>
      <c r="N24" s="715"/>
      <c r="O24" s="715"/>
      <c r="P24" s="711"/>
      <c r="Q24" s="1111"/>
      <c r="R24" s="924">
        <v>0.15</v>
      </c>
      <c r="S24" s="715">
        <v>1.2</v>
      </c>
      <c r="T24" s="715">
        <v>0.7</v>
      </c>
      <c r="U24" s="68">
        <f>AVERAGE(R24:T24)</f>
        <v>0.68333333333333324</v>
      </c>
      <c r="V24" s="1202"/>
      <c r="W24" s="42"/>
      <c r="X24" s="42"/>
      <c r="Y24" s="42"/>
    </row>
    <row r="25" spans="1:25">
      <c r="A25" s="714" t="s">
        <v>1145</v>
      </c>
      <c r="B25" s="715">
        <v>0</v>
      </c>
      <c r="C25" s="715">
        <v>0</v>
      </c>
      <c r="D25" s="1110">
        <v>0</v>
      </c>
      <c r="E25" s="715">
        <v>0</v>
      </c>
      <c r="F25" s="1110">
        <v>0</v>
      </c>
      <c r="G25" s="715">
        <v>0</v>
      </c>
      <c r="H25" s="1110">
        <v>0</v>
      </c>
      <c r="I25" s="1110">
        <v>0</v>
      </c>
      <c r="J25" s="715">
        <v>0</v>
      </c>
      <c r="K25" s="715">
        <v>0</v>
      </c>
      <c r="L25" s="715">
        <v>0</v>
      </c>
      <c r="M25" s="1110">
        <v>0</v>
      </c>
      <c r="N25" s="715">
        <v>0</v>
      </c>
      <c r="O25" s="715">
        <v>0</v>
      </c>
      <c r="P25" s="1110">
        <v>0</v>
      </c>
      <c r="Q25" s="715">
        <v>0</v>
      </c>
      <c r="R25" s="715">
        <v>0</v>
      </c>
      <c r="S25" s="715">
        <v>0</v>
      </c>
      <c r="T25" s="715">
        <v>0</v>
      </c>
      <c r="U25" s="1110">
        <v>0</v>
      </c>
    </row>
    <row r="26" spans="1:25" s="1166" customFormat="1">
      <c r="A26" s="926" t="s">
        <v>1106</v>
      </c>
      <c r="B26" s="715">
        <v>2</v>
      </c>
      <c r="C26" s="713"/>
      <c r="D26" s="711">
        <v>0</v>
      </c>
      <c r="E26" s="709">
        <v>0.95</v>
      </c>
      <c r="F26" s="710">
        <f>B26*((1-E26)/E26)</f>
        <v>0.10526315789473695</v>
      </c>
      <c r="G26" s="932">
        <f>1-(O26/100)</f>
        <v>1</v>
      </c>
      <c r="H26" s="711">
        <v>6.6041816870944542E-2</v>
      </c>
      <c r="I26" s="711">
        <f>K26*(D26*1000)</f>
        <v>0</v>
      </c>
      <c r="J26" s="924">
        <v>0</v>
      </c>
      <c r="K26" s="1167">
        <v>0</v>
      </c>
      <c r="L26" s="1198">
        <v>2.7E-2</v>
      </c>
      <c r="M26" s="716">
        <v>0</v>
      </c>
      <c r="N26" s="1167"/>
      <c r="O26" s="1198"/>
      <c r="P26" s="711">
        <f>(N26*100)/(100-O26)</f>
        <v>0</v>
      </c>
      <c r="Q26" s="1111"/>
      <c r="R26" s="924">
        <v>0.3</v>
      </c>
      <c r="S26" s="1167">
        <v>0.75</v>
      </c>
      <c r="T26" s="1198">
        <v>0.75</v>
      </c>
      <c r="U26" s="68">
        <f>AVERAGE(R26:T26)</f>
        <v>0.6</v>
      </c>
      <c r="V26" s="12" t="s">
        <v>1389</v>
      </c>
    </row>
    <row r="27" spans="1:25">
      <c r="A27" s="714" t="s">
        <v>1613</v>
      </c>
      <c r="B27" s="715"/>
      <c r="C27" s="715"/>
      <c r="D27" s="711">
        <v>0</v>
      </c>
      <c r="E27" s="709"/>
      <c r="F27" s="710" t="e">
        <f>B27*((1-E27)/E27)</f>
        <v>#DIV/0!</v>
      </c>
      <c r="G27" s="932">
        <f>1-(O27/100)</f>
        <v>1</v>
      </c>
      <c r="H27" s="711">
        <v>0</v>
      </c>
      <c r="I27" s="711">
        <f>K27*(H27*1000)</f>
        <v>0</v>
      </c>
      <c r="J27" s="924">
        <v>5.0000000000000001E-3</v>
      </c>
      <c r="K27" s="1167">
        <v>5.0000000000000001E-3</v>
      </c>
      <c r="L27" s="715">
        <v>0.73</v>
      </c>
      <c r="M27" s="716">
        <v>0</v>
      </c>
      <c r="N27" s="1167"/>
      <c r="O27" s="715"/>
      <c r="P27" s="711">
        <f>(N27*100)/(100-O27)</f>
        <v>0</v>
      </c>
      <c r="Q27" s="1111"/>
      <c r="R27" s="924">
        <v>1.05</v>
      </c>
      <c r="S27" s="1167">
        <v>1.1000000000000001</v>
      </c>
      <c r="T27" s="715">
        <v>1.1000000000000001</v>
      </c>
      <c r="U27" s="68">
        <f>AVERAGE(R27:T27)</f>
        <v>1.0833333333333335</v>
      </c>
    </row>
    <row r="28" spans="1:25">
      <c r="A28" s="928" t="s">
        <v>1250</v>
      </c>
      <c r="B28" s="715"/>
      <c r="C28" s="715"/>
      <c r="D28" s="711">
        <v>17.019178082191779</v>
      </c>
      <c r="E28" s="709"/>
      <c r="F28" s="710"/>
      <c r="G28" s="932"/>
      <c r="H28" s="711">
        <v>0</v>
      </c>
      <c r="I28" s="711">
        <f>K28*(D28*1000)</f>
        <v>326.76821917808212</v>
      </c>
      <c r="J28" s="924">
        <f>0.12/6.25</f>
        <v>1.9199999999999998E-2</v>
      </c>
      <c r="K28" s="1167">
        <f>0.12/6.25</f>
        <v>1.9199999999999998E-2</v>
      </c>
      <c r="L28" s="715"/>
      <c r="M28" s="716"/>
      <c r="N28" s="1167"/>
      <c r="O28" s="715"/>
      <c r="P28" s="711"/>
      <c r="Q28" s="1111"/>
      <c r="R28" s="924">
        <v>0.6</v>
      </c>
      <c r="S28" s="1167">
        <v>1.1000000000000001</v>
      </c>
      <c r="T28" s="715">
        <v>1.05</v>
      </c>
      <c r="U28" s="68">
        <f>AVERAGE(R28:T28)</f>
        <v>0.91666666666666663</v>
      </c>
      <c r="V28" s="12" t="s">
        <v>1389</v>
      </c>
    </row>
    <row r="29" spans="1:25">
      <c r="A29" s="925" t="s">
        <v>1251</v>
      </c>
      <c r="B29" s="715"/>
      <c r="C29" s="715"/>
      <c r="D29" s="711">
        <v>6.882191780821918</v>
      </c>
      <c r="E29" s="709"/>
      <c r="F29" s="710"/>
      <c r="G29" s="932"/>
      <c r="H29" s="711">
        <v>0</v>
      </c>
      <c r="I29" s="711">
        <f>K29*(D29*1000)</f>
        <v>110.11506849315069</v>
      </c>
      <c r="J29" s="924">
        <f>0.1/6.25</f>
        <v>1.6E-2</v>
      </c>
      <c r="K29" s="715">
        <f>0.1/6.25</f>
        <v>1.6E-2</v>
      </c>
      <c r="L29" s="715"/>
      <c r="M29" s="716"/>
      <c r="N29" s="715"/>
      <c r="O29" s="715"/>
      <c r="P29" s="711"/>
      <c r="Q29" s="1111"/>
      <c r="R29" s="924">
        <v>0.3</v>
      </c>
      <c r="S29" s="715">
        <v>0.75</v>
      </c>
      <c r="T29" s="715">
        <v>0.75</v>
      </c>
      <c r="U29" s="68">
        <f>AVERAGE(R29:T29)</f>
        <v>0.6</v>
      </c>
      <c r="V29" s="12" t="s">
        <v>1389</v>
      </c>
    </row>
    <row r="30" spans="1:25">
      <c r="A30" s="923" t="s">
        <v>1726</v>
      </c>
      <c r="B30" s="715">
        <v>20</v>
      </c>
      <c r="C30" s="715">
        <v>0.3</v>
      </c>
      <c r="D30" s="711">
        <v>6</v>
      </c>
      <c r="E30" s="709">
        <v>0.9</v>
      </c>
      <c r="F30" s="710">
        <f>B30*((1-E30)/E30)</f>
        <v>2.2222222222222214</v>
      </c>
      <c r="G30" s="932">
        <v>0.85</v>
      </c>
      <c r="H30" s="711">
        <v>0</v>
      </c>
      <c r="I30" s="711">
        <f>K30*(D30*1000)</f>
        <v>138</v>
      </c>
      <c r="J30" s="924">
        <v>2.3E-2</v>
      </c>
      <c r="K30" s="1167">
        <v>2.3E-2</v>
      </c>
      <c r="L30" s="715">
        <v>2.7E-2</v>
      </c>
      <c r="M30" s="716">
        <v>0</v>
      </c>
      <c r="N30" s="1167"/>
      <c r="O30" s="715"/>
      <c r="P30" s="711">
        <f>(N30*100)/(100-O30)</f>
        <v>0</v>
      </c>
      <c r="Q30" s="1111"/>
      <c r="R30" s="924">
        <v>0.6</v>
      </c>
      <c r="S30" s="1167">
        <v>1.1000000000000001</v>
      </c>
      <c r="T30" s="715">
        <v>1.05</v>
      </c>
      <c r="U30" s="68">
        <f>AVERAGE(R30:T30)</f>
        <v>0.91666666666666663</v>
      </c>
      <c r="V30" s="12" t="s">
        <v>1389</v>
      </c>
    </row>
    <row r="31" spans="1:25">
      <c r="A31" s="923" t="s">
        <v>1727</v>
      </c>
      <c r="B31" s="715">
        <v>20</v>
      </c>
      <c r="C31" s="715">
        <v>0.3</v>
      </c>
      <c r="D31" s="711">
        <v>6</v>
      </c>
      <c r="E31" s="709"/>
      <c r="F31" s="710"/>
      <c r="G31" s="932"/>
      <c r="H31" s="711"/>
      <c r="I31" s="711"/>
      <c r="J31" s="924">
        <v>0.01</v>
      </c>
      <c r="K31" s="1167">
        <v>0.01</v>
      </c>
      <c r="L31" s="715"/>
      <c r="M31" s="716">
        <v>0</v>
      </c>
      <c r="N31" s="1167"/>
      <c r="O31" s="715"/>
      <c r="P31" s="711"/>
      <c r="Q31" s="1111"/>
      <c r="R31" s="924">
        <v>1</v>
      </c>
      <c r="S31" s="1167">
        <v>1</v>
      </c>
      <c r="T31" s="715">
        <v>1</v>
      </c>
      <c r="U31" s="68"/>
      <c r="V31" s="12" t="s">
        <v>1389</v>
      </c>
    </row>
    <row r="32" spans="1:25">
      <c r="A32" s="925" t="s">
        <v>1253</v>
      </c>
      <c r="B32" s="715">
        <v>0.95</v>
      </c>
      <c r="C32" s="715">
        <v>0.90300000000000002</v>
      </c>
      <c r="D32" s="711">
        <v>0.85785</v>
      </c>
      <c r="E32" s="709">
        <v>0.26</v>
      </c>
      <c r="F32" s="710">
        <f>B32*((1-E32)/E32)</f>
        <v>2.7038461538461536</v>
      </c>
      <c r="G32" s="932">
        <f>1-(O32/100)</f>
        <v>0.89410000000000001</v>
      </c>
      <c r="H32" s="711">
        <v>2.4175088461538459</v>
      </c>
      <c r="I32" s="711">
        <f>K32*(H32*1000)</f>
        <v>43.515159230769221</v>
      </c>
      <c r="J32" s="924">
        <v>3.5000000000000003E-2</v>
      </c>
      <c r="K32" s="715">
        <v>1.7999999999999999E-2</v>
      </c>
      <c r="L32" s="715">
        <v>0.11600000000000001</v>
      </c>
      <c r="M32" s="716">
        <f>0.5*(K32*H32+J32*D32)*1000</f>
        <v>36.769954615384613</v>
      </c>
      <c r="N32" s="715">
        <v>343</v>
      </c>
      <c r="O32" s="715">
        <v>10.59</v>
      </c>
      <c r="P32" s="711">
        <f>(N32*100)/(100-O32)</f>
        <v>383.62599261827535</v>
      </c>
      <c r="Q32" s="1111">
        <v>16101</v>
      </c>
      <c r="R32" s="924"/>
      <c r="S32" s="715"/>
      <c r="T32" s="715"/>
      <c r="U32" s="68" t="e">
        <f t="shared" ref="U32:U37" si="1">AVERAGE(R32:T32)</f>
        <v>#DIV/0!</v>
      </c>
      <c r="V32" s="12" t="s">
        <v>1393</v>
      </c>
      <c r="W32">
        <v>5000</v>
      </c>
      <c r="X32">
        <v>10</v>
      </c>
      <c r="Y32">
        <v>25</v>
      </c>
    </row>
    <row r="33" spans="1:22">
      <c r="A33" s="925" t="s">
        <v>1112</v>
      </c>
      <c r="B33" s="715">
        <v>0</v>
      </c>
      <c r="C33" s="715">
        <v>0</v>
      </c>
      <c r="D33" s="711">
        <v>0</v>
      </c>
      <c r="E33" s="709">
        <v>0</v>
      </c>
      <c r="F33" s="710">
        <v>0</v>
      </c>
      <c r="G33" s="932">
        <v>0</v>
      </c>
      <c r="H33" s="711">
        <v>0</v>
      </c>
      <c r="I33" s="711">
        <v>0</v>
      </c>
      <c r="J33" s="924">
        <v>0</v>
      </c>
      <c r="K33" s="715">
        <v>0</v>
      </c>
      <c r="L33" s="715">
        <v>0</v>
      </c>
      <c r="M33" s="716">
        <v>0</v>
      </c>
      <c r="N33" s="715">
        <v>0</v>
      </c>
      <c r="O33" s="715">
        <v>0</v>
      </c>
      <c r="P33" s="711">
        <v>0</v>
      </c>
      <c r="Q33" s="1111">
        <v>0</v>
      </c>
      <c r="R33" s="924">
        <v>0</v>
      </c>
      <c r="S33" s="715">
        <v>0</v>
      </c>
      <c r="T33" s="715">
        <v>0</v>
      </c>
      <c r="U33" s="68">
        <f t="shared" si="1"/>
        <v>0</v>
      </c>
    </row>
    <row r="34" spans="1:22">
      <c r="A34" s="925" t="s">
        <v>1614</v>
      </c>
      <c r="B34" s="715">
        <v>7.8</v>
      </c>
      <c r="C34" s="715">
        <v>0.08</v>
      </c>
      <c r="D34" s="711">
        <v>0.62399999999999967</v>
      </c>
      <c r="E34" s="709">
        <v>0.9</v>
      </c>
      <c r="F34" s="710">
        <f>B34*((1-E34)/E34)</f>
        <v>0.86666666666666636</v>
      </c>
      <c r="G34" s="932">
        <f>1-(O34/100)</f>
        <v>7.790000000000008E-2</v>
      </c>
      <c r="H34" s="711">
        <v>6.7513333333333383E-2</v>
      </c>
      <c r="I34" s="711">
        <f>K34*(H34*1000)</f>
        <v>0.20254000000000014</v>
      </c>
      <c r="J34" s="924">
        <v>8.9999999999999993E-3</v>
      </c>
      <c r="K34" s="715">
        <v>3.0000000000000001E-3</v>
      </c>
      <c r="L34" s="715">
        <v>0.1</v>
      </c>
      <c r="M34" s="716">
        <v>0</v>
      </c>
      <c r="N34" s="715">
        <v>31</v>
      </c>
      <c r="O34" s="715">
        <v>92.21</v>
      </c>
      <c r="P34" s="711">
        <f>(N34*100)/(100-O34)</f>
        <v>397.94608472400483</v>
      </c>
      <c r="Q34" s="1111">
        <v>11821</v>
      </c>
      <c r="R34" s="924"/>
      <c r="S34" s="715"/>
      <c r="T34" s="715"/>
      <c r="U34" s="68" t="e">
        <f t="shared" si="1"/>
        <v>#DIV/0!</v>
      </c>
    </row>
    <row r="35" spans="1:22">
      <c r="A35" s="928" t="s">
        <v>642</v>
      </c>
      <c r="B35" s="715">
        <v>2</v>
      </c>
      <c r="C35" s="715">
        <v>0.8</v>
      </c>
      <c r="D35" s="711">
        <v>1.6</v>
      </c>
      <c r="E35" s="709">
        <v>0.42</v>
      </c>
      <c r="F35" s="710">
        <f>B35*((1-E35)/E35)</f>
        <v>2.7619047619047623</v>
      </c>
      <c r="G35" s="932">
        <f>1-(O35/100)</f>
        <v>0.87109999999999999</v>
      </c>
      <c r="H35" s="1113">
        <v>2.4058952380952383</v>
      </c>
      <c r="I35" s="1113">
        <f>K35*(H35*1000)</f>
        <v>14.435371428571429</v>
      </c>
      <c r="J35" s="924">
        <v>8.9999999999999993E-3</v>
      </c>
      <c r="K35" s="715">
        <v>6.0000000000000001E-3</v>
      </c>
      <c r="L35" s="715"/>
      <c r="M35" s="1112">
        <f>0.5*(K35*H35+J35*D35)*1000</f>
        <v>14.417685714285716</v>
      </c>
      <c r="N35" s="715">
        <v>360</v>
      </c>
      <c r="O35" s="715">
        <v>12.89</v>
      </c>
      <c r="P35" s="711">
        <f>(N35*100)/(100-O35)</f>
        <v>413.27057743083458</v>
      </c>
      <c r="Q35" s="1111">
        <v>20450</v>
      </c>
      <c r="R35" s="924">
        <v>1.05</v>
      </c>
      <c r="S35" s="715">
        <v>1.2</v>
      </c>
      <c r="T35" s="715">
        <v>0.75</v>
      </c>
      <c r="U35" s="68">
        <f t="shared" si="1"/>
        <v>1</v>
      </c>
    </row>
    <row r="36" spans="1:22">
      <c r="A36" s="714" t="s">
        <v>641</v>
      </c>
      <c r="B36" s="715">
        <v>4.3</v>
      </c>
      <c r="C36" s="715">
        <v>0.93</v>
      </c>
      <c r="D36" s="711">
        <v>3.9990000000000001</v>
      </c>
      <c r="E36" s="709">
        <v>0.3</v>
      </c>
      <c r="F36" s="710">
        <f>B36*((1-E36)/E36)</f>
        <v>10.033333333333333</v>
      </c>
      <c r="G36" s="932">
        <f>1-(O36/100)</f>
        <v>0.876</v>
      </c>
      <c r="H36" s="1113">
        <v>8.7891999999999992</v>
      </c>
      <c r="I36" s="1113">
        <f>K36*(D36*1000)</f>
        <v>23.994</v>
      </c>
      <c r="J36" s="924">
        <v>0.02</v>
      </c>
      <c r="K36" s="715">
        <v>6.0000000000000001E-3</v>
      </c>
      <c r="L36" s="715">
        <v>0.05</v>
      </c>
      <c r="M36" s="1112">
        <v>0</v>
      </c>
      <c r="N36" s="715">
        <v>329</v>
      </c>
      <c r="O36" s="715">
        <v>12.4</v>
      </c>
      <c r="P36" s="711">
        <f>(N36*100)/(100-O36)</f>
        <v>375.57077625570781</v>
      </c>
      <c r="Q36" s="1111">
        <v>20067</v>
      </c>
      <c r="R36" s="924">
        <v>0.1</v>
      </c>
      <c r="S36" s="715">
        <v>1.1000000000000001</v>
      </c>
      <c r="T36" s="715">
        <v>0.55000000000000004</v>
      </c>
      <c r="U36" s="68">
        <f t="shared" si="1"/>
        <v>0.58333333333333337</v>
      </c>
    </row>
    <row r="37" spans="1:22" s="1166" customFormat="1">
      <c r="A37" s="714" t="s">
        <v>1108</v>
      </c>
      <c r="B37" s="715">
        <v>55</v>
      </c>
      <c r="C37" s="715">
        <v>0.2</v>
      </c>
      <c r="D37" s="711">
        <v>11</v>
      </c>
      <c r="E37" s="709"/>
      <c r="F37" s="1114"/>
      <c r="G37" s="932"/>
      <c r="H37" s="1113">
        <v>1.3843361344537817</v>
      </c>
      <c r="I37" s="1113">
        <f>K37*(H37*1000)</f>
        <v>1.3843361344537817</v>
      </c>
      <c r="J37" s="924">
        <v>1E-3</v>
      </c>
      <c r="K37" s="715">
        <v>1E-3</v>
      </c>
      <c r="L37" s="715">
        <v>0.17100000000000001</v>
      </c>
      <c r="M37" s="1112">
        <v>0</v>
      </c>
      <c r="N37" s="715"/>
      <c r="O37" s="715">
        <f>(1-0.32)*100</f>
        <v>68</v>
      </c>
      <c r="P37" s="1113">
        <f>(N37*100)/(100-O37)</f>
        <v>0</v>
      </c>
      <c r="Q37" s="1111"/>
      <c r="R37" s="924">
        <v>0.15</v>
      </c>
      <c r="S37" s="715">
        <v>1.2</v>
      </c>
      <c r="T37" s="715">
        <v>0.7</v>
      </c>
      <c r="U37" s="1084">
        <f t="shared" si="1"/>
        <v>0.68333333333333324</v>
      </c>
      <c r="V37" s="12"/>
    </row>
    <row r="38" spans="1:22">
      <c r="A38" s="714" t="s">
        <v>1700</v>
      </c>
      <c r="B38" s="715"/>
      <c r="C38" s="715">
        <v>0.24</v>
      </c>
      <c r="D38" s="711">
        <v>15</v>
      </c>
      <c r="E38" s="709"/>
      <c r="F38" s="1114"/>
      <c r="G38" s="932"/>
      <c r="H38" s="1113">
        <v>0</v>
      </c>
      <c r="I38" s="1113">
        <v>0</v>
      </c>
      <c r="J38" s="924">
        <v>1.6E-2</v>
      </c>
      <c r="K38" s="715">
        <v>1.6E-2</v>
      </c>
      <c r="L38" s="715"/>
      <c r="M38" s="1112"/>
      <c r="N38" s="715"/>
      <c r="O38" s="715"/>
      <c r="P38" s="1113"/>
      <c r="Q38" s="1111"/>
      <c r="R38" s="924">
        <v>0.3</v>
      </c>
      <c r="S38" s="715">
        <v>0.75</v>
      </c>
      <c r="T38" s="715">
        <v>0.75</v>
      </c>
      <c r="U38" s="1084">
        <v>0.6</v>
      </c>
      <c r="V38" s="12" t="s">
        <v>1389</v>
      </c>
    </row>
    <row r="39" spans="1:22">
      <c r="A39" s="714"/>
      <c r="B39" s="715"/>
      <c r="C39" s="715"/>
      <c r="D39" s="1113">
        <f>B39*C39</f>
        <v>0</v>
      </c>
      <c r="E39" s="709"/>
      <c r="F39" s="1114" t="e">
        <f>B39*((1-E39)/E39)</f>
        <v>#DIV/0!</v>
      </c>
      <c r="G39" s="932"/>
      <c r="H39" s="1113" t="e">
        <f>F39*G39</f>
        <v>#DIV/0!</v>
      </c>
      <c r="I39" s="1113" t="e">
        <f>K39*(H39*1000)</f>
        <v>#DIV/0!</v>
      </c>
      <c r="J39" s="924"/>
      <c r="K39" s="715"/>
      <c r="L39" s="715"/>
      <c r="M39" s="1112" t="e">
        <f>0.5*(K39*H39+J39*D39)*1000</f>
        <v>#DIV/0!</v>
      </c>
      <c r="N39" s="715"/>
      <c r="O39" s="715"/>
      <c r="P39" s="1113"/>
      <c r="Q39" s="1111"/>
      <c r="R39" s="924"/>
      <c r="S39" s="715"/>
      <c r="T39" s="715"/>
      <c r="U39" s="1084"/>
    </row>
    <row r="40" spans="1:22">
      <c r="A40" s="714"/>
      <c r="B40" s="715"/>
      <c r="C40" s="715"/>
      <c r="D40" s="1113">
        <f>B40*C40</f>
        <v>0</v>
      </c>
      <c r="E40" s="709"/>
      <c r="F40" s="710" t="e">
        <f>B40*((1-E40)/E40)</f>
        <v>#DIV/0!</v>
      </c>
      <c r="G40" s="932"/>
      <c r="H40" s="711" t="e">
        <f>F40*G40</f>
        <v>#DIV/0!</v>
      </c>
      <c r="I40" s="711" t="e">
        <f>K40*(H40*1000)</f>
        <v>#DIV/0!</v>
      </c>
      <c r="J40" s="924"/>
      <c r="K40" s="715"/>
      <c r="L40" s="715"/>
      <c r="M40" s="716" t="e">
        <f>0.5*(K40*H40+J40*D40)*1000</f>
        <v>#DIV/0!</v>
      </c>
      <c r="N40" s="715"/>
      <c r="O40" s="715"/>
      <c r="P40" s="711"/>
      <c r="Q40" s="1111"/>
      <c r="R40" s="924"/>
      <c r="S40" s="715"/>
      <c r="T40" s="715"/>
      <c r="U40" s="68"/>
    </row>
    <row r="41" spans="1:22">
      <c r="A41" s="714"/>
      <c r="B41" s="715"/>
      <c r="C41" s="715"/>
      <c r="D41" s="711">
        <f>B41*C41</f>
        <v>0</v>
      </c>
      <c r="E41" s="709"/>
      <c r="F41" s="710" t="e">
        <f>B41*((1-E41)/E41)</f>
        <v>#DIV/0!</v>
      </c>
      <c r="G41" s="932"/>
      <c r="H41" s="711" t="e">
        <f>F41*G41</f>
        <v>#DIV/0!</v>
      </c>
      <c r="I41" s="711" t="e">
        <f>K41*(H41*1000)</f>
        <v>#DIV/0!</v>
      </c>
      <c r="J41" s="924"/>
      <c r="K41" s="715"/>
      <c r="L41" s="715"/>
      <c r="M41" s="716" t="e">
        <f>0.5*(K41*H41+J41*D41)*1000</f>
        <v>#DIV/0!</v>
      </c>
      <c r="N41" s="715"/>
      <c r="O41" s="715"/>
      <c r="P41" s="711"/>
      <c r="Q41" s="1111"/>
      <c r="R41" s="924"/>
      <c r="S41" s="715"/>
      <c r="T41" s="715"/>
      <c r="U41" s="68"/>
    </row>
    <row r="42" spans="1:22">
      <c r="A42" s="714"/>
      <c r="B42" s="715"/>
      <c r="C42" s="715"/>
      <c r="D42" s="711">
        <f>B42*C42</f>
        <v>0</v>
      </c>
      <c r="E42" s="709"/>
      <c r="F42" s="710" t="e">
        <f>B42*((1-E42)/E42)</f>
        <v>#DIV/0!</v>
      </c>
      <c r="G42" s="932"/>
      <c r="H42" s="711" t="e">
        <f>F42*G42</f>
        <v>#DIV/0!</v>
      </c>
      <c r="I42" s="711" t="e">
        <f>K42*(H42*1000)</f>
        <v>#DIV/0!</v>
      </c>
      <c r="J42" s="924"/>
      <c r="K42" s="715"/>
      <c r="L42" s="715"/>
      <c r="M42" s="716" t="e">
        <f>0.5*(K42*H42+J42*D42)*1000</f>
        <v>#DIV/0!</v>
      </c>
      <c r="N42" s="715"/>
      <c r="O42" s="715"/>
      <c r="P42" s="711"/>
      <c r="Q42" s="1111"/>
      <c r="R42" s="924"/>
      <c r="S42" s="715"/>
      <c r="T42" s="715"/>
      <c r="U42" s="68"/>
    </row>
    <row r="43" spans="1:22">
      <c r="A43" s="714"/>
      <c r="B43" s="715"/>
      <c r="C43" s="715"/>
      <c r="D43" s="711">
        <f>B43*C43</f>
        <v>0</v>
      </c>
      <c r="E43" s="709"/>
      <c r="F43" s="710" t="e">
        <f>B43*((1-E43)/E43)</f>
        <v>#DIV/0!</v>
      </c>
      <c r="G43" s="932"/>
      <c r="H43" s="711" t="e">
        <f>F43*G43</f>
        <v>#DIV/0!</v>
      </c>
      <c r="I43" s="711" t="e">
        <f>K43*(H43*1000)</f>
        <v>#DIV/0!</v>
      </c>
      <c r="J43" s="924"/>
      <c r="K43" s="715"/>
      <c r="L43" s="715"/>
      <c r="M43" s="716" t="e">
        <f>0.5*(K43*H43+J43*D43)*1000</f>
        <v>#DIV/0!</v>
      </c>
      <c r="N43" s="715"/>
      <c r="O43" s="715"/>
      <c r="P43" s="711"/>
      <c r="Q43" s="1111"/>
      <c r="R43" s="924"/>
      <c r="S43" s="715"/>
      <c r="T43" s="715"/>
      <c r="U43" s="68"/>
    </row>
    <row r="45" spans="1:22" hidden="1">
      <c r="A45" s="169" t="s">
        <v>1112</v>
      </c>
    </row>
    <row r="46" spans="1:22" hidden="1">
      <c r="A46" s="169" t="s">
        <v>1095</v>
      </c>
    </row>
    <row r="47" spans="1:22" hidden="1">
      <c r="A47" s="169" t="s">
        <v>1096</v>
      </c>
    </row>
    <row r="48" spans="1:22" hidden="1"/>
    <row r="49" spans="1:1" hidden="1"/>
    <row r="50" spans="1:1" hidden="1"/>
    <row r="51" spans="1:1" hidden="1"/>
    <row r="52" spans="1:1" hidden="1"/>
    <row r="53" spans="1:1" hidden="1">
      <c r="A53" s="343" t="s">
        <v>458</v>
      </c>
    </row>
    <row r="54" spans="1:1" hidden="1">
      <c r="A54" s="343" t="s">
        <v>634</v>
      </c>
    </row>
    <row r="55" spans="1:1" hidden="1">
      <c r="A55" s="164" t="s">
        <v>699</v>
      </c>
    </row>
    <row r="56" spans="1:1" hidden="1"/>
    <row r="57" spans="1:1" hidden="1"/>
    <row r="58" spans="1:1" hidden="1"/>
    <row r="59" spans="1:1" hidden="1"/>
  </sheetData>
  <autoFilter ref="A2:Q28" xr:uid="{00000000-0009-0000-0000-00000A000000}"/>
  <sortState xmlns:xlrd2="http://schemas.microsoft.com/office/spreadsheetml/2017/richdata2" ref="A3:Z43">
    <sortCondition ref="A3"/>
  </sortState>
  <mergeCells count="1">
    <mergeCell ref="B1:D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'D:\OneDrive - CGIAR\CLEANED\Vivien data WK_SAC\Dropbox folder\CLEANED_N_maybe still wrong\[B1_WesternKenya_1KN_corrected_N.xlsm]GHG Parameters'!#REF!</xm:f>
          </x14:formula1>
          <xm:sqref>A53:A55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2">
    <tabColor theme="0" tint="-0.499984740745262"/>
  </sheetPr>
  <dimension ref="A1:V140"/>
  <sheetViews>
    <sheetView zoomScale="79" zoomScaleNormal="79" workbookViewId="0">
      <selection activeCell="J3" sqref="J3"/>
    </sheetView>
  </sheetViews>
  <sheetFormatPr defaultColWidth="11" defaultRowHeight="15.75"/>
  <cols>
    <col min="1" max="1" width="42" style="72" customWidth="1"/>
    <col min="2" max="2" width="16.125" style="72" customWidth="1"/>
    <col min="3" max="3" width="9.25" style="72" customWidth="1"/>
    <col min="4" max="4" width="10.625" style="72" customWidth="1"/>
    <col min="5" max="5" width="12.625" style="72" customWidth="1"/>
    <col min="6" max="6" width="11.375" style="72" customWidth="1"/>
    <col min="7" max="7" width="9.25" style="72" customWidth="1"/>
    <col min="8" max="8" width="15.375" style="72" customWidth="1"/>
    <col min="9" max="9" width="30.25" style="72" customWidth="1"/>
    <col min="10" max="16384" width="11" style="72"/>
  </cols>
  <sheetData>
    <row r="1" spans="1:22">
      <c r="A1" s="759" t="s">
        <v>1245</v>
      </c>
      <c r="B1" s="474" t="s">
        <v>914</v>
      </c>
      <c r="C1" s="474"/>
      <c r="D1" s="474"/>
      <c r="E1" s="474" t="s">
        <v>1341</v>
      </c>
      <c r="F1" s="474"/>
      <c r="G1" s="474"/>
      <c r="H1" s="474"/>
      <c r="I1" s="474"/>
    </row>
    <row r="2" spans="1:22" ht="94.5">
      <c r="A2" s="593" t="s">
        <v>808</v>
      </c>
      <c r="B2" s="712" t="s">
        <v>626</v>
      </c>
      <c r="C2" s="712" t="s">
        <v>913</v>
      </c>
      <c r="D2" s="712" t="s">
        <v>902</v>
      </c>
      <c r="E2" s="712" t="s">
        <v>1161</v>
      </c>
      <c r="F2" s="712" t="s">
        <v>1160</v>
      </c>
      <c r="G2" s="712" t="s">
        <v>813</v>
      </c>
      <c r="H2" s="452" t="s">
        <v>1104</v>
      </c>
      <c r="I2" s="712" t="s">
        <v>1105</v>
      </c>
      <c r="J2" s="1194" t="s">
        <v>1719</v>
      </c>
      <c r="K2" s="1194" t="s">
        <v>1720</v>
      </c>
      <c r="L2" s="1194" t="s">
        <v>1721</v>
      </c>
      <c r="M2" s="1194" t="s">
        <v>1722</v>
      </c>
      <c r="O2" s="760"/>
      <c r="P2" s="760"/>
      <c r="Q2" s="760"/>
    </row>
    <row r="3" spans="1:22" ht="16.5">
      <c r="A3" s="919" t="s">
        <v>1615</v>
      </c>
      <c r="B3" s="920">
        <v>27.800000000000004</v>
      </c>
      <c r="C3" s="920">
        <v>7.1</v>
      </c>
      <c r="D3" s="921">
        <v>2.5281243835616438</v>
      </c>
      <c r="E3" s="920">
        <v>6.2547945205479456</v>
      </c>
      <c r="F3" s="921">
        <f t="shared" ref="F3:F20" si="0">E3*B3/100</f>
        <v>1.7388328767123291</v>
      </c>
      <c r="G3" s="1338">
        <f t="shared" ref="G3:G20" si="1">C3*6.6/100</f>
        <v>0.46859999999999991</v>
      </c>
      <c r="H3" s="919"/>
      <c r="I3" s="922" t="s">
        <v>1605</v>
      </c>
      <c r="J3" s="920">
        <v>300</v>
      </c>
      <c r="K3" s="920">
        <v>0</v>
      </c>
      <c r="L3" s="920">
        <v>18</v>
      </c>
      <c r="M3" s="920">
        <v>6</v>
      </c>
    </row>
    <row r="4" spans="1:22" ht="16.5">
      <c r="A4" s="1171" t="s">
        <v>1776</v>
      </c>
      <c r="B4" s="916">
        <v>16</v>
      </c>
      <c r="C4" s="916">
        <v>10</v>
      </c>
      <c r="D4" s="921">
        <f>C4*(0.01*B4)</f>
        <v>1.6</v>
      </c>
      <c r="E4" s="916">
        <v>16.600000000000001</v>
      </c>
      <c r="F4" s="921">
        <f t="shared" si="0"/>
        <v>2.6560000000000001</v>
      </c>
      <c r="G4" s="1339">
        <f t="shared" si="1"/>
        <v>0.66</v>
      </c>
      <c r="H4" s="1173"/>
      <c r="I4" s="1174" t="s">
        <v>1775</v>
      </c>
      <c r="J4" s="916"/>
      <c r="K4" s="916"/>
      <c r="L4" s="916"/>
      <c r="M4" s="916"/>
    </row>
    <row r="5" spans="1:22" ht="16.5">
      <c r="A5" s="175" t="s">
        <v>1616</v>
      </c>
      <c r="B5" s="916">
        <v>30.3</v>
      </c>
      <c r="C5" s="916">
        <v>9.6715079999999993</v>
      </c>
      <c r="D5" s="472">
        <v>2.9304669239999996</v>
      </c>
      <c r="E5" s="916">
        <v>12.6</v>
      </c>
      <c r="F5" s="921">
        <f t="shared" si="0"/>
        <v>3.8177999999999996</v>
      </c>
      <c r="G5" s="1338">
        <f t="shared" si="1"/>
        <v>0.63831952799999991</v>
      </c>
      <c r="H5" s="175"/>
      <c r="I5" s="917" t="s">
        <v>1714</v>
      </c>
      <c r="J5" s="916">
        <v>300</v>
      </c>
      <c r="K5" s="916">
        <v>0</v>
      </c>
      <c r="L5" s="916">
        <v>18</v>
      </c>
      <c r="M5" s="916">
        <v>6</v>
      </c>
      <c r="R5" s="411"/>
      <c r="S5" s="411"/>
      <c r="T5" s="411"/>
      <c r="U5" s="411"/>
    </row>
    <row r="6" spans="1:22" ht="16.5">
      <c r="A6" s="175" t="s">
        <v>1617</v>
      </c>
      <c r="B6" s="916">
        <v>93</v>
      </c>
      <c r="C6" s="916">
        <v>7.4106360000000002</v>
      </c>
      <c r="D6" s="472">
        <v>6.8918914800000008</v>
      </c>
      <c r="E6" s="916">
        <v>7.6</v>
      </c>
      <c r="F6" s="921">
        <f t="shared" si="0"/>
        <v>7.0679999999999996</v>
      </c>
      <c r="G6" s="1338">
        <f t="shared" si="1"/>
        <v>0.48910197599999994</v>
      </c>
      <c r="H6" s="175"/>
      <c r="I6" s="917" t="s">
        <v>1714</v>
      </c>
      <c r="J6" s="916">
        <v>300</v>
      </c>
      <c r="K6" s="916">
        <v>0</v>
      </c>
      <c r="L6" s="916">
        <v>18</v>
      </c>
      <c r="M6" s="916">
        <v>6</v>
      </c>
      <c r="S6" s="761"/>
      <c r="U6" s="761"/>
      <c r="V6" s="761"/>
    </row>
    <row r="7" spans="1:22" ht="16.5">
      <c r="A7" s="175" t="s">
        <v>1618</v>
      </c>
      <c r="B7" s="916">
        <v>26</v>
      </c>
      <c r="C7" s="916">
        <v>7.2547945205479447</v>
      </c>
      <c r="D7" s="472">
        <v>1.886246575342466</v>
      </c>
      <c r="E7" s="916">
        <v>7.2547945205479447</v>
      </c>
      <c r="F7" s="921">
        <f t="shared" si="0"/>
        <v>1.8862465753424655</v>
      </c>
      <c r="G7" s="1338">
        <f t="shared" si="1"/>
        <v>0.47881643835616428</v>
      </c>
      <c r="H7" s="175"/>
      <c r="I7" s="917" t="s">
        <v>1606</v>
      </c>
      <c r="J7" s="916">
        <v>350</v>
      </c>
      <c r="K7" s="916">
        <v>20</v>
      </c>
      <c r="L7" s="916">
        <v>31</v>
      </c>
      <c r="M7" s="916">
        <v>8</v>
      </c>
      <c r="S7" s="761"/>
      <c r="U7" s="761"/>
      <c r="V7" s="761"/>
    </row>
    <row r="8" spans="1:22">
      <c r="A8" s="175" t="s">
        <v>1231</v>
      </c>
      <c r="B8" s="916">
        <v>26</v>
      </c>
      <c r="C8" s="916">
        <v>7.2547945205479447</v>
      </c>
      <c r="D8" s="472">
        <v>1.886246575342466</v>
      </c>
      <c r="E8" s="916">
        <v>8.2547945205479447</v>
      </c>
      <c r="F8" s="921">
        <f t="shared" si="0"/>
        <v>2.1462465753424653</v>
      </c>
      <c r="G8" s="1338">
        <f t="shared" si="1"/>
        <v>0.47881643835616428</v>
      </c>
      <c r="H8" s="175"/>
      <c r="I8" s="175" t="s">
        <v>1143</v>
      </c>
      <c r="J8" s="916">
        <v>350</v>
      </c>
      <c r="K8" s="916">
        <v>20</v>
      </c>
      <c r="L8" s="916">
        <v>31</v>
      </c>
      <c r="M8" s="916">
        <v>8</v>
      </c>
      <c r="S8" s="761"/>
      <c r="U8" s="761"/>
      <c r="V8" s="761"/>
    </row>
    <row r="9" spans="1:22" ht="16.5">
      <c r="A9" s="175" t="s">
        <v>1619</v>
      </c>
      <c r="B9" s="916">
        <v>30</v>
      </c>
      <c r="C9" s="916">
        <v>12.1</v>
      </c>
      <c r="D9" s="472">
        <v>3.63</v>
      </c>
      <c r="E9" s="916">
        <v>22</v>
      </c>
      <c r="F9" s="921">
        <f t="shared" si="0"/>
        <v>6.6</v>
      </c>
      <c r="G9" s="1338">
        <f t="shared" si="1"/>
        <v>0.79859999999999998</v>
      </c>
      <c r="H9" s="175"/>
      <c r="I9" s="917" t="s">
        <v>1607</v>
      </c>
      <c r="J9" s="916">
        <v>100</v>
      </c>
      <c r="K9" s="916">
        <v>100</v>
      </c>
      <c r="L9" s="916">
        <v>6</v>
      </c>
      <c r="M9" s="916">
        <v>6</v>
      </c>
      <c r="S9" s="761"/>
      <c r="U9" s="761"/>
      <c r="V9" s="761"/>
    </row>
    <row r="10" spans="1:22" ht="16.5">
      <c r="A10" s="175" t="s">
        <v>1620</v>
      </c>
      <c r="B10" s="916">
        <v>16.100000000000001</v>
      </c>
      <c r="C10" s="916">
        <v>10.006451999999999</v>
      </c>
      <c r="D10" s="472">
        <v>1.6110387719999997</v>
      </c>
      <c r="E10" s="916">
        <v>19.940000000000001</v>
      </c>
      <c r="F10" s="921">
        <f t="shared" si="0"/>
        <v>3.2103400000000004</v>
      </c>
      <c r="G10" s="1338">
        <f t="shared" si="1"/>
        <v>0.66042583199999993</v>
      </c>
      <c r="H10" s="175"/>
      <c r="I10" s="917" t="s">
        <v>1608</v>
      </c>
      <c r="J10" s="916"/>
      <c r="K10" s="916"/>
      <c r="L10" s="916"/>
      <c r="M10" s="916"/>
      <c r="S10" s="761"/>
      <c r="U10" s="761"/>
      <c r="V10" s="761"/>
    </row>
    <row r="11" spans="1:22" ht="16.5">
      <c r="A11" s="175" t="s">
        <v>1621</v>
      </c>
      <c r="B11" s="916">
        <v>27.9</v>
      </c>
      <c r="C11" s="916">
        <v>4.3124000000000002</v>
      </c>
      <c r="D11" s="472">
        <v>1.2031596</v>
      </c>
      <c r="E11" s="916">
        <v>5.45</v>
      </c>
      <c r="F11" s="921">
        <f t="shared" si="0"/>
        <v>1.5205500000000001</v>
      </c>
      <c r="G11" s="1338">
        <f t="shared" si="1"/>
        <v>0.28461839999999999</v>
      </c>
      <c r="H11" s="175"/>
      <c r="I11" s="917" t="s">
        <v>1608</v>
      </c>
      <c r="J11" s="916"/>
      <c r="K11" s="916"/>
      <c r="L11" s="916"/>
      <c r="M11" s="916"/>
      <c r="S11" s="761"/>
      <c r="U11" s="761"/>
      <c r="V11" s="761"/>
    </row>
    <row r="12" spans="1:22" ht="16.5">
      <c r="A12" s="175" t="s">
        <v>1622</v>
      </c>
      <c r="B12" s="916">
        <v>88.84</v>
      </c>
      <c r="C12" s="916">
        <v>10.76</v>
      </c>
      <c r="D12" s="472">
        <v>9.5591840000000001</v>
      </c>
      <c r="E12" s="916">
        <v>1.81</v>
      </c>
      <c r="F12" s="921">
        <f t="shared" si="0"/>
        <v>1.6080040000000002</v>
      </c>
      <c r="G12" s="1338">
        <f t="shared" si="1"/>
        <v>0.7101599999999999</v>
      </c>
      <c r="H12" s="175"/>
      <c r="I12" s="917" t="s">
        <v>1608</v>
      </c>
      <c r="J12" s="916"/>
      <c r="K12" s="916"/>
      <c r="L12" s="916"/>
      <c r="M12" s="916"/>
      <c r="S12" s="761"/>
      <c r="U12" s="761"/>
      <c r="V12" s="761"/>
    </row>
    <row r="13" spans="1:22" ht="16.5">
      <c r="A13" s="175" t="s">
        <v>1623</v>
      </c>
      <c r="B13" s="916">
        <v>90</v>
      </c>
      <c r="C13" s="916">
        <v>12.1</v>
      </c>
      <c r="D13" s="472">
        <v>10.89</v>
      </c>
      <c r="E13" s="916">
        <v>16</v>
      </c>
      <c r="F13" s="921">
        <f t="shared" si="0"/>
        <v>14.4</v>
      </c>
      <c r="G13" s="1338">
        <f t="shared" si="1"/>
        <v>0.79859999999999998</v>
      </c>
      <c r="H13" s="175"/>
      <c r="I13" s="917" t="s">
        <v>1112</v>
      </c>
      <c r="J13" s="916"/>
      <c r="K13" s="916">
        <v>0.3</v>
      </c>
      <c r="L13" s="916"/>
      <c r="M13" s="916"/>
      <c r="S13" s="761"/>
      <c r="U13" s="761"/>
      <c r="V13" s="761"/>
    </row>
    <row r="14" spans="1:22" ht="16.5">
      <c r="A14" s="175" t="s">
        <v>799</v>
      </c>
      <c r="B14" s="916">
        <v>90</v>
      </c>
      <c r="C14" s="916">
        <v>9.8808480000000003</v>
      </c>
      <c r="D14" s="472">
        <v>8.892763200000001</v>
      </c>
      <c r="E14" s="916">
        <v>18.399999999999999</v>
      </c>
      <c r="F14" s="921">
        <f t="shared" si="0"/>
        <v>16.559999999999999</v>
      </c>
      <c r="G14" s="1338">
        <f t="shared" si="1"/>
        <v>0.65213596800000007</v>
      </c>
      <c r="H14" s="175"/>
      <c r="I14" s="917" t="s">
        <v>986</v>
      </c>
      <c r="J14" s="916"/>
      <c r="K14" s="916"/>
      <c r="L14" s="916"/>
      <c r="M14" s="916"/>
      <c r="S14" s="761"/>
      <c r="U14" s="761"/>
      <c r="V14" s="761"/>
    </row>
    <row r="15" spans="1:22" ht="16.5">
      <c r="A15" s="175" t="s">
        <v>1624</v>
      </c>
      <c r="B15" s="916">
        <v>12.28</v>
      </c>
      <c r="C15" s="916">
        <v>10.45</v>
      </c>
      <c r="D15" s="472">
        <v>1.2832599999999998</v>
      </c>
      <c r="E15" s="916">
        <v>20.56</v>
      </c>
      <c r="F15" s="921">
        <f t="shared" si="0"/>
        <v>2.5247679999999999</v>
      </c>
      <c r="G15" s="1338">
        <f t="shared" si="1"/>
        <v>0.68969999999999987</v>
      </c>
      <c r="H15" s="175"/>
      <c r="I15" s="917" t="s">
        <v>986</v>
      </c>
      <c r="J15" s="916">
        <v>100</v>
      </c>
      <c r="K15" s="916">
        <v>100</v>
      </c>
      <c r="L15" s="916">
        <v>6</v>
      </c>
      <c r="M15" s="916">
        <v>6</v>
      </c>
      <c r="S15" s="761"/>
      <c r="U15" s="761"/>
      <c r="V15" s="761"/>
    </row>
    <row r="16" spans="1:22" ht="16.5">
      <c r="A16" s="175" t="s">
        <v>800</v>
      </c>
      <c r="B16" s="916">
        <v>89.83</v>
      </c>
      <c r="C16" s="916">
        <v>13.21</v>
      </c>
      <c r="D16" s="472">
        <v>11.866543000000002</v>
      </c>
      <c r="E16" s="916">
        <v>23.88</v>
      </c>
      <c r="F16" s="921">
        <f t="shared" si="0"/>
        <v>21.451403999999997</v>
      </c>
      <c r="G16" s="1338">
        <f t="shared" si="1"/>
        <v>0.87186000000000008</v>
      </c>
      <c r="H16" s="175"/>
      <c r="I16" s="917" t="s">
        <v>986</v>
      </c>
      <c r="J16" s="916"/>
      <c r="K16" s="916"/>
      <c r="L16" s="916"/>
      <c r="M16" s="916"/>
      <c r="S16" s="761"/>
      <c r="U16" s="761"/>
      <c r="V16" s="761"/>
    </row>
    <row r="17" spans="1:22" ht="16.5">
      <c r="A17" s="175" t="s">
        <v>801</v>
      </c>
      <c r="B17" s="916">
        <v>90.17</v>
      </c>
      <c r="C17" s="916">
        <v>14</v>
      </c>
      <c r="D17" s="472">
        <v>12.623800000000001</v>
      </c>
      <c r="E17" s="916">
        <v>22.53</v>
      </c>
      <c r="F17" s="921">
        <f t="shared" si="0"/>
        <v>20.315301000000002</v>
      </c>
      <c r="G17" s="1338">
        <f t="shared" si="1"/>
        <v>0.92399999999999993</v>
      </c>
      <c r="H17" s="175"/>
      <c r="I17" s="917" t="s">
        <v>986</v>
      </c>
      <c r="J17" s="916"/>
      <c r="K17" s="916"/>
      <c r="L17" s="916"/>
      <c r="M17" s="916"/>
      <c r="S17" s="761"/>
      <c r="U17" s="761"/>
      <c r="V17" s="761"/>
    </row>
    <row r="18" spans="1:22" ht="16.5">
      <c r="A18" s="13" t="s">
        <v>1625</v>
      </c>
      <c r="B18" s="918">
        <v>30</v>
      </c>
      <c r="C18" s="918">
        <v>9.4</v>
      </c>
      <c r="D18" s="40">
        <v>2.82</v>
      </c>
      <c r="E18" s="918">
        <v>24</v>
      </c>
      <c r="F18" s="472">
        <f t="shared" si="0"/>
        <v>7.2</v>
      </c>
      <c r="G18" s="1339">
        <f t="shared" si="1"/>
        <v>0.62039999999999995</v>
      </c>
      <c r="H18" s="175"/>
      <c r="I18" s="917" t="s">
        <v>1609</v>
      </c>
      <c r="J18" s="918">
        <v>300</v>
      </c>
      <c r="K18" s="918">
        <v>0</v>
      </c>
      <c r="L18" s="918">
        <v>18</v>
      </c>
      <c r="M18" s="918">
        <v>6</v>
      </c>
      <c r="S18" s="761"/>
      <c r="U18" s="761"/>
      <c r="V18" s="761"/>
    </row>
    <row r="19" spans="1:22" ht="16.5">
      <c r="A19" s="1171" t="s">
        <v>1723</v>
      </c>
      <c r="B19" s="916">
        <v>30.3</v>
      </c>
      <c r="C19" s="916">
        <v>9.6715079999999993</v>
      </c>
      <c r="D19" s="1172">
        <v>2.9304669239999996</v>
      </c>
      <c r="E19" s="916">
        <v>12.6</v>
      </c>
      <c r="F19" s="1205">
        <f t="shared" si="0"/>
        <v>3.8177999999999996</v>
      </c>
      <c r="G19" s="1338">
        <f t="shared" si="1"/>
        <v>0.63831952799999991</v>
      </c>
      <c r="H19" s="1173"/>
      <c r="I19" s="917" t="s">
        <v>1714</v>
      </c>
      <c r="J19" s="916">
        <v>50</v>
      </c>
      <c r="K19" s="916">
        <v>100</v>
      </c>
      <c r="L19" s="916">
        <v>6</v>
      </c>
      <c r="M19" s="916">
        <v>6</v>
      </c>
      <c r="S19" s="761"/>
      <c r="U19" s="761"/>
      <c r="V19" s="761"/>
    </row>
    <row r="20" spans="1:22" ht="16.5">
      <c r="A20" s="13" t="s">
        <v>1728</v>
      </c>
      <c r="B20" s="918">
        <v>33</v>
      </c>
      <c r="C20" s="918">
        <v>7.25</v>
      </c>
      <c r="D20" s="40">
        <f>C20*(0.01*B20)</f>
        <v>2.3925000000000001</v>
      </c>
      <c r="E20" s="918">
        <v>8</v>
      </c>
      <c r="F20" s="472">
        <f t="shared" si="0"/>
        <v>2.64</v>
      </c>
      <c r="G20" s="1339">
        <f t="shared" si="1"/>
        <v>0.47849999999999993</v>
      </c>
      <c r="H20" s="175"/>
      <c r="I20" s="917" t="s">
        <v>1687</v>
      </c>
      <c r="J20" s="918">
        <v>300</v>
      </c>
      <c r="K20" s="918">
        <v>0</v>
      </c>
      <c r="L20" s="918">
        <v>18</v>
      </c>
      <c r="M20" s="918">
        <v>6</v>
      </c>
      <c r="S20" s="761"/>
      <c r="U20" s="761"/>
      <c r="V20" s="761"/>
    </row>
    <row r="21" spans="1:22" ht="16.5">
      <c r="A21" s="1171" t="s">
        <v>1710</v>
      </c>
      <c r="B21" s="916">
        <v>24</v>
      </c>
      <c r="C21" s="916">
        <v>9.6999999999999993</v>
      </c>
      <c r="D21" s="1172">
        <v>2.3279999999999998</v>
      </c>
      <c r="E21" s="916">
        <v>9.9</v>
      </c>
      <c r="F21" s="1172">
        <v>2.3760000000000003</v>
      </c>
      <c r="G21" s="1339">
        <v>0.64019999999999999</v>
      </c>
      <c r="H21" s="1173"/>
      <c r="I21" s="1174" t="s">
        <v>1700</v>
      </c>
      <c r="J21" s="916">
        <v>350</v>
      </c>
      <c r="K21" s="916">
        <v>20</v>
      </c>
      <c r="L21" s="916">
        <v>31</v>
      </c>
      <c r="M21" s="916">
        <v>8</v>
      </c>
      <c r="S21" s="761"/>
      <c r="U21" s="761"/>
      <c r="V21" s="761"/>
    </row>
    <row r="22" spans="1:22" ht="16.5">
      <c r="A22" s="175" t="s">
        <v>1626</v>
      </c>
      <c r="B22" s="916">
        <v>30</v>
      </c>
      <c r="C22" s="916">
        <v>11.5</v>
      </c>
      <c r="D22" s="472">
        <v>3.45</v>
      </c>
      <c r="E22" s="916">
        <v>22.3</v>
      </c>
      <c r="F22" s="921">
        <f t="shared" ref="F22:F53" si="2">E22*B22/100</f>
        <v>6.69</v>
      </c>
      <c r="G22" s="1338">
        <f t="shared" ref="G22:G53" si="3">C22*6.6/100</f>
        <v>0.7589999999999999</v>
      </c>
      <c r="H22" s="175"/>
      <c r="I22" s="917" t="s">
        <v>1610</v>
      </c>
      <c r="J22" s="916">
        <v>50</v>
      </c>
      <c r="K22" s="916">
        <v>100</v>
      </c>
      <c r="L22" s="916">
        <v>6</v>
      </c>
      <c r="M22" s="916">
        <v>6</v>
      </c>
      <c r="S22" s="761"/>
      <c r="U22" s="761"/>
      <c r="V22" s="761"/>
    </row>
    <row r="23" spans="1:22" ht="16.5">
      <c r="A23" s="175" t="s">
        <v>802</v>
      </c>
      <c r="B23" s="916">
        <v>89.53</v>
      </c>
      <c r="C23" s="916">
        <v>7.99</v>
      </c>
      <c r="D23" s="472">
        <v>7.1534469999999999</v>
      </c>
      <c r="E23" s="916">
        <v>6.52</v>
      </c>
      <c r="F23" s="921">
        <f t="shared" si="2"/>
        <v>5.8373559999999998</v>
      </c>
      <c r="G23" s="1338">
        <f t="shared" si="3"/>
        <v>0.52734000000000003</v>
      </c>
      <c r="H23" s="175"/>
      <c r="I23" s="917" t="s">
        <v>643</v>
      </c>
      <c r="J23" s="916"/>
      <c r="K23" s="916"/>
      <c r="L23" s="916"/>
      <c r="M23" s="916"/>
    </row>
    <row r="24" spans="1:22" ht="16.5">
      <c r="A24" s="175" t="s">
        <v>803</v>
      </c>
      <c r="B24" s="916">
        <v>92.7</v>
      </c>
      <c r="C24" s="916">
        <v>21.185199999999998</v>
      </c>
      <c r="D24" s="472">
        <v>19.638680399999998</v>
      </c>
      <c r="E24" s="916">
        <v>33.200000000000003</v>
      </c>
      <c r="F24" s="921">
        <f t="shared" si="2"/>
        <v>30.776400000000002</v>
      </c>
      <c r="G24" s="1338">
        <f t="shared" si="3"/>
        <v>1.3982231999999999</v>
      </c>
      <c r="H24" s="175"/>
      <c r="I24" s="917" t="s">
        <v>643</v>
      </c>
      <c r="J24" s="916"/>
      <c r="K24" s="916"/>
      <c r="L24" s="916"/>
      <c r="M24" s="916"/>
    </row>
    <row r="25" spans="1:22" ht="16.5">
      <c r="A25" s="175" t="s">
        <v>804</v>
      </c>
      <c r="B25" s="916">
        <v>93.12</v>
      </c>
      <c r="C25" s="916">
        <v>6.56</v>
      </c>
      <c r="D25" s="472">
        <v>6.1086720000000003</v>
      </c>
      <c r="E25" s="916">
        <v>16.29</v>
      </c>
      <c r="F25" s="921">
        <f t="shared" si="2"/>
        <v>15.169248</v>
      </c>
      <c r="G25" s="1338">
        <f t="shared" si="3"/>
        <v>0.4329599999999999</v>
      </c>
      <c r="H25" s="175"/>
      <c r="I25" s="917" t="s">
        <v>643</v>
      </c>
      <c r="J25" s="916"/>
      <c r="K25" s="916"/>
      <c r="L25" s="916"/>
      <c r="M25" s="916"/>
    </row>
    <row r="26" spans="1:22" ht="16.5">
      <c r="A26" s="175" t="s">
        <v>1686</v>
      </c>
      <c r="B26" s="916">
        <v>30</v>
      </c>
      <c r="C26" s="916">
        <v>11</v>
      </c>
      <c r="D26" s="472">
        <f>C26*(0.01*B26)</f>
        <v>3.3</v>
      </c>
      <c r="E26" s="916">
        <v>15</v>
      </c>
      <c r="F26" s="921">
        <f t="shared" si="2"/>
        <v>4.5</v>
      </c>
      <c r="G26" s="1338">
        <f t="shared" si="3"/>
        <v>0.72599999999999998</v>
      </c>
      <c r="H26" s="175"/>
      <c r="I26" s="917" t="s">
        <v>1685</v>
      </c>
      <c r="J26" s="916"/>
      <c r="K26" s="916"/>
      <c r="L26" s="916"/>
      <c r="M26" s="916"/>
    </row>
    <row r="27" spans="1:22" ht="16.5">
      <c r="A27" s="175" t="s">
        <v>1627</v>
      </c>
      <c r="B27" s="916">
        <v>26</v>
      </c>
      <c r="C27" s="916">
        <v>6.1293150684931508</v>
      </c>
      <c r="D27" s="472">
        <v>1.5936219178082192</v>
      </c>
      <c r="E27" s="916">
        <v>6</v>
      </c>
      <c r="F27" s="921">
        <f t="shared" si="2"/>
        <v>1.56</v>
      </c>
      <c r="G27" s="1338">
        <f t="shared" si="3"/>
        <v>0.40453479452054791</v>
      </c>
      <c r="H27" s="175"/>
      <c r="I27" s="917" t="s">
        <v>1612</v>
      </c>
      <c r="J27" s="916">
        <v>300</v>
      </c>
      <c r="K27" s="916">
        <v>0</v>
      </c>
      <c r="L27" s="916">
        <v>18</v>
      </c>
      <c r="M27" s="916">
        <v>6</v>
      </c>
    </row>
    <row r="28" spans="1:22" ht="16.5">
      <c r="A28" s="175" t="s">
        <v>1697</v>
      </c>
      <c r="B28" s="916">
        <v>24</v>
      </c>
      <c r="C28" s="916">
        <v>6.0038356164383559</v>
      </c>
      <c r="D28" s="472">
        <v>1.4409205479452054</v>
      </c>
      <c r="E28" s="916">
        <v>6</v>
      </c>
      <c r="F28" s="921">
        <f t="shared" si="2"/>
        <v>1.44</v>
      </c>
      <c r="G28" s="1338">
        <f t="shared" si="3"/>
        <v>0.39625315068493144</v>
      </c>
      <c r="H28" s="175"/>
      <c r="I28" s="917" t="s">
        <v>1696</v>
      </c>
      <c r="J28" s="916">
        <v>300</v>
      </c>
      <c r="K28" s="916">
        <v>0</v>
      </c>
      <c r="L28" s="916">
        <v>18</v>
      </c>
      <c r="M28" s="916">
        <v>6</v>
      </c>
    </row>
    <row r="29" spans="1:22" ht="16.5">
      <c r="A29" s="175" t="s">
        <v>1628</v>
      </c>
      <c r="B29" s="916">
        <v>18.3</v>
      </c>
      <c r="C29" s="916">
        <v>11.43</v>
      </c>
      <c r="D29" s="472">
        <v>2.0916900000000003</v>
      </c>
      <c r="E29" s="916">
        <v>22.94</v>
      </c>
      <c r="F29" s="921">
        <f t="shared" si="2"/>
        <v>4.1980200000000005</v>
      </c>
      <c r="G29" s="1338">
        <f t="shared" si="3"/>
        <v>0.75437999999999983</v>
      </c>
      <c r="H29" s="175"/>
      <c r="I29" s="917" t="s">
        <v>1629</v>
      </c>
      <c r="J29" s="916">
        <v>100</v>
      </c>
      <c r="K29" s="916">
        <v>100</v>
      </c>
      <c r="L29" s="916">
        <v>6</v>
      </c>
      <c r="M29" s="916">
        <v>6</v>
      </c>
    </row>
    <row r="30" spans="1:22" ht="16.5">
      <c r="A30" s="175" t="s">
        <v>1246</v>
      </c>
      <c r="B30" s="916">
        <v>90</v>
      </c>
      <c r="C30" s="916">
        <v>9.2899999999999991</v>
      </c>
      <c r="D30" s="472">
        <v>8.3609999999999989</v>
      </c>
      <c r="E30" s="916">
        <v>16.600000000000001</v>
      </c>
      <c r="F30" s="921">
        <f t="shared" si="2"/>
        <v>14.940000000000003</v>
      </c>
      <c r="G30" s="1338">
        <f t="shared" si="3"/>
        <v>0.61313999999999991</v>
      </c>
      <c r="H30" s="175"/>
      <c r="I30" s="917" t="s">
        <v>1629</v>
      </c>
      <c r="J30" s="916">
        <v>50</v>
      </c>
      <c r="K30" s="916">
        <v>50</v>
      </c>
      <c r="L30" s="916">
        <v>10</v>
      </c>
      <c r="M30" s="916">
        <v>10</v>
      </c>
    </row>
    <row r="31" spans="1:22" ht="16.5">
      <c r="A31" s="175" t="s">
        <v>1247</v>
      </c>
      <c r="B31" s="916">
        <v>27.83</v>
      </c>
      <c r="C31" s="916">
        <v>7.4400000000000013</v>
      </c>
      <c r="D31" s="472">
        <v>2.0705519999999997</v>
      </c>
      <c r="E31" s="916">
        <v>17.510000000000002</v>
      </c>
      <c r="F31" s="921">
        <f t="shared" si="2"/>
        <v>4.8730330000000004</v>
      </c>
      <c r="G31" s="1338">
        <f t="shared" si="3"/>
        <v>0.49104000000000009</v>
      </c>
      <c r="H31" s="175"/>
      <c r="I31" s="917" t="s">
        <v>1629</v>
      </c>
      <c r="J31" s="916">
        <v>50</v>
      </c>
      <c r="K31" s="916">
        <v>50</v>
      </c>
      <c r="L31" s="916">
        <v>10</v>
      </c>
      <c r="M31" s="916">
        <v>10</v>
      </c>
    </row>
    <row r="32" spans="1:22" ht="16.5">
      <c r="A32" s="175" t="s">
        <v>1630</v>
      </c>
      <c r="B32" s="916">
        <v>26.2</v>
      </c>
      <c r="C32" s="916">
        <v>9.5</v>
      </c>
      <c r="D32" s="472">
        <v>2.4889999999999999</v>
      </c>
      <c r="E32" s="916">
        <v>19.93</v>
      </c>
      <c r="F32" s="921">
        <f t="shared" si="2"/>
        <v>5.2216599999999991</v>
      </c>
      <c r="G32" s="1338">
        <f t="shared" si="3"/>
        <v>0.627</v>
      </c>
      <c r="H32" s="175"/>
      <c r="I32" s="917" t="s">
        <v>912</v>
      </c>
      <c r="J32" s="916">
        <v>50</v>
      </c>
      <c r="K32" s="916">
        <v>100</v>
      </c>
      <c r="L32" s="916">
        <v>6</v>
      </c>
      <c r="M32" s="916">
        <v>6</v>
      </c>
    </row>
    <row r="33" spans="1:13" ht="16.5">
      <c r="A33" s="175" t="s">
        <v>1498</v>
      </c>
      <c r="B33" s="916">
        <v>90.6</v>
      </c>
      <c r="C33" s="916">
        <v>9.0853560000000009</v>
      </c>
      <c r="D33" s="472">
        <f t="shared" ref="D33:D41" si="4">B33*C33/100</f>
        <v>8.231332536</v>
      </c>
      <c r="E33" s="916">
        <v>18.600000000000001</v>
      </c>
      <c r="F33" s="921">
        <f t="shared" si="2"/>
        <v>16.851600000000001</v>
      </c>
      <c r="G33" s="1338">
        <f t="shared" si="3"/>
        <v>0.59963349600000004</v>
      </c>
      <c r="H33" s="175"/>
      <c r="I33" s="917" t="s">
        <v>1546</v>
      </c>
      <c r="J33" s="916"/>
      <c r="K33" s="916"/>
      <c r="L33" s="916"/>
      <c r="M33" s="916"/>
    </row>
    <row r="34" spans="1:13" ht="16.5">
      <c r="A34" s="175" t="s">
        <v>1499</v>
      </c>
      <c r="B34" s="916">
        <v>91.7</v>
      </c>
      <c r="C34" s="916">
        <v>9.3784320000000001</v>
      </c>
      <c r="D34" s="472">
        <f t="shared" si="4"/>
        <v>8.6000221440000004</v>
      </c>
      <c r="E34" s="916">
        <v>18.899999999999999</v>
      </c>
      <c r="F34" s="921">
        <f t="shared" si="2"/>
        <v>17.331299999999999</v>
      </c>
      <c r="G34" s="1338">
        <f t="shared" si="3"/>
        <v>0.61897651200000003</v>
      </c>
      <c r="H34" s="175"/>
      <c r="I34" s="917" t="s">
        <v>1546</v>
      </c>
      <c r="J34" s="916"/>
      <c r="K34" s="916"/>
      <c r="L34" s="916"/>
      <c r="M34" s="916"/>
    </row>
    <row r="35" spans="1:13" ht="16.5">
      <c r="A35" s="175" t="s">
        <v>1500</v>
      </c>
      <c r="B35" s="916">
        <v>44.1</v>
      </c>
      <c r="C35" s="916">
        <v>9.5459040000000002</v>
      </c>
      <c r="D35" s="472">
        <f t="shared" si="4"/>
        <v>4.2097436640000003</v>
      </c>
      <c r="E35" s="916">
        <v>19.5</v>
      </c>
      <c r="F35" s="921">
        <f t="shared" si="2"/>
        <v>8.5995000000000008</v>
      </c>
      <c r="G35" s="1338">
        <f t="shared" si="3"/>
        <v>0.63002966399999993</v>
      </c>
      <c r="H35" s="175"/>
      <c r="I35" s="917" t="s">
        <v>1546</v>
      </c>
      <c r="J35" s="916"/>
      <c r="K35" s="916"/>
      <c r="L35" s="916"/>
      <c r="M35" s="916"/>
    </row>
    <row r="36" spans="1:13" ht="16.5">
      <c r="A36" s="175" t="s">
        <v>1501</v>
      </c>
      <c r="B36" s="916">
        <v>93.85</v>
      </c>
      <c r="C36" s="916">
        <v>5.57</v>
      </c>
      <c r="D36" s="472">
        <f t="shared" si="4"/>
        <v>5.2274450000000003</v>
      </c>
      <c r="E36" s="916">
        <v>6.44</v>
      </c>
      <c r="F36" s="921">
        <f t="shared" si="2"/>
        <v>6.0439400000000001</v>
      </c>
      <c r="G36" s="1338">
        <f t="shared" si="3"/>
        <v>0.36762</v>
      </c>
      <c r="H36" s="175"/>
      <c r="I36" s="917" t="s">
        <v>1547</v>
      </c>
      <c r="J36" s="916"/>
      <c r="K36" s="916"/>
      <c r="L36" s="916"/>
      <c r="M36" s="916"/>
    </row>
    <row r="37" spans="1:13" ht="16.5">
      <c r="A37" s="175" t="s">
        <v>1502</v>
      </c>
      <c r="B37" s="916">
        <v>90</v>
      </c>
      <c r="C37" s="916">
        <v>19</v>
      </c>
      <c r="D37" s="472">
        <f t="shared" si="4"/>
        <v>17.100000000000001</v>
      </c>
      <c r="E37" s="916">
        <v>30</v>
      </c>
      <c r="F37" s="921">
        <f t="shared" si="2"/>
        <v>27</v>
      </c>
      <c r="G37" s="1338">
        <f t="shared" si="3"/>
        <v>1.254</v>
      </c>
      <c r="H37" s="175"/>
      <c r="I37" s="917" t="s">
        <v>1547</v>
      </c>
      <c r="J37" s="916"/>
      <c r="K37" s="916"/>
      <c r="L37" s="916"/>
      <c r="M37" s="916"/>
    </row>
    <row r="38" spans="1:13" ht="16.5">
      <c r="A38" s="175" t="s">
        <v>1503</v>
      </c>
      <c r="B38" s="916">
        <v>91.89</v>
      </c>
      <c r="C38" s="916">
        <v>7.36</v>
      </c>
      <c r="D38" s="472">
        <f t="shared" si="4"/>
        <v>6.7631040000000011</v>
      </c>
      <c r="E38" s="916">
        <v>5.54</v>
      </c>
      <c r="F38" s="921">
        <f t="shared" si="2"/>
        <v>5.090706</v>
      </c>
      <c r="G38" s="1338">
        <f t="shared" si="3"/>
        <v>0.48576000000000003</v>
      </c>
      <c r="H38" s="175"/>
      <c r="I38" s="917" t="s">
        <v>1547</v>
      </c>
      <c r="J38" s="916"/>
      <c r="K38" s="916"/>
      <c r="L38" s="916"/>
      <c r="M38" s="916"/>
    </row>
    <row r="39" spans="1:13" ht="16.5">
      <c r="A39" s="175" t="s">
        <v>1703</v>
      </c>
      <c r="B39" s="916">
        <v>87</v>
      </c>
      <c r="C39" s="916">
        <v>9.127224</v>
      </c>
      <c r="D39" s="472">
        <f t="shared" si="4"/>
        <v>7.9406848800000001</v>
      </c>
      <c r="E39" s="916">
        <v>5.9</v>
      </c>
      <c r="F39" s="921">
        <f t="shared" si="2"/>
        <v>5.1330000000000009</v>
      </c>
      <c r="G39" s="1338">
        <f t="shared" si="3"/>
        <v>0.60239678399999996</v>
      </c>
      <c r="H39" s="175"/>
      <c r="I39" s="917" t="s">
        <v>1112</v>
      </c>
      <c r="J39" s="916"/>
      <c r="K39" s="916"/>
      <c r="L39" s="916"/>
      <c r="M39" s="916"/>
    </row>
    <row r="40" spans="1:13" ht="16.5">
      <c r="A40" s="175" t="s">
        <v>1504</v>
      </c>
      <c r="B40" s="916">
        <v>90.1</v>
      </c>
      <c r="C40" s="916">
        <v>7.5781080000000003</v>
      </c>
      <c r="D40" s="472">
        <f t="shared" si="4"/>
        <v>6.8278753080000003</v>
      </c>
      <c r="E40" s="916">
        <v>2.8</v>
      </c>
      <c r="F40" s="921">
        <f t="shared" si="2"/>
        <v>2.5227999999999997</v>
      </c>
      <c r="G40" s="1339">
        <f t="shared" si="3"/>
        <v>0.50015512799999995</v>
      </c>
      <c r="H40" s="175"/>
      <c r="I40" s="917" t="s">
        <v>376</v>
      </c>
      <c r="J40" s="916"/>
      <c r="K40" s="916"/>
      <c r="L40" s="916"/>
      <c r="M40" s="916"/>
    </row>
    <row r="41" spans="1:13" ht="16.5">
      <c r="A41" s="175" t="s">
        <v>1505</v>
      </c>
      <c r="B41" s="916">
        <v>89</v>
      </c>
      <c r="C41" s="916">
        <v>13.020948000000001</v>
      </c>
      <c r="D41" s="472">
        <f t="shared" si="4"/>
        <v>11.58864372</v>
      </c>
      <c r="E41" s="916">
        <v>10</v>
      </c>
      <c r="F41" s="921">
        <f t="shared" si="2"/>
        <v>8.9</v>
      </c>
      <c r="G41" s="1338">
        <f t="shared" si="3"/>
        <v>0.85938256800000001</v>
      </c>
      <c r="H41" s="175"/>
      <c r="I41" s="917" t="s">
        <v>376</v>
      </c>
      <c r="J41" s="916"/>
      <c r="K41" s="916"/>
      <c r="L41" s="916"/>
      <c r="M41" s="916"/>
    </row>
    <row r="42" spans="1:13" ht="16.5">
      <c r="A42" s="175" t="s">
        <v>1702</v>
      </c>
      <c r="B42" s="916">
        <v>82</v>
      </c>
      <c r="C42" s="916">
        <v>10.215792</v>
      </c>
      <c r="D42" s="472">
        <v>8.3769494400000006</v>
      </c>
      <c r="E42" s="916">
        <v>8.9</v>
      </c>
      <c r="F42" s="921">
        <f t="shared" si="2"/>
        <v>7.2980000000000009</v>
      </c>
      <c r="G42" s="1338">
        <f t="shared" si="3"/>
        <v>0.67424227200000009</v>
      </c>
      <c r="H42" s="175"/>
      <c r="I42" s="917" t="s">
        <v>376</v>
      </c>
      <c r="J42" s="916"/>
      <c r="K42" s="916"/>
      <c r="L42" s="916"/>
      <c r="M42" s="916"/>
    </row>
    <row r="43" spans="1:13" ht="16.5">
      <c r="A43" s="175" t="s">
        <v>1506</v>
      </c>
      <c r="B43" s="916">
        <v>34.6</v>
      </c>
      <c r="C43" s="916">
        <v>10.885680000000001</v>
      </c>
      <c r="D43" s="472">
        <f>B43*C43/100</f>
        <v>3.7664452800000006</v>
      </c>
      <c r="E43" s="916">
        <v>8.65</v>
      </c>
      <c r="F43" s="921">
        <f t="shared" si="2"/>
        <v>2.9929000000000001</v>
      </c>
      <c r="G43" s="1338">
        <f t="shared" si="3"/>
        <v>0.71845488000000002</v>
      </c>
      <c r="H43" s="175"/>
      <c r="I43" s="917" t="s">
        <v>1699</v>
      </c>
      <c r="J43" s="916"/>
      <c r="K43" s="916">
        <v>1680</v>
      </c>
      <c r="L43" s="916"/>
      <c r="M43" s="916">
        <v>200</v>
      </c>
    </row>
    <row r="44" spans="1:13" ht="16.5">
      <c r="A44" s="175" t="s">
        <v>1507</v>
      </c>
      <c r="B44" s="916">
        <v>87</v>
      </c>
      <c r="C44" s="916">
        <v>9.127224</v>
      </c>
      <c r="D44" s="472">
        <f>B44*C44/100</f>
        <v>7.9406848800000001</v>
      </c>
      <c r="E44" s="916">
        <v>5.9</v>
      </c>
      <c r="F44" s="921">
        <f t="shared" si="2"/>
        <v>5.1330000000000009</v>
      </c>
      <c r="G44" s="1338">
        <f t="shared" si="3"/>
        <v>0.60239678399999996</v>
      </c>
      <c r="H44" s="175"/>
      <c r="I44" s="917" t="s">
        <v>376</v>
      </c>
      <c r="J44" s="916"/>
      <c r="K44" s="916"/>
      <c r="L44" s="916"/>
      <c r="M44" s="916"/>
    </row>
    <row r="45" spans="1:13" ht="16.5">
      <c r="A45" s="175" t="s">
        <v>1508</v>
      </c>
      <c r="B45" s="916">
        <v>90</v>
      </c>
      <c r="C45" s="916">
        <v>15</v>
      </c>
      <c r="D45" s="472">
        <f>B45*C45/100</f>
        <v>13.5</v>
      </c>
      <c r="E45" s="916">
        <v>9</v>
      </c>
      <c r="F45" s="921">
        <f t="shared" si="2"/>
        <v>8.1</v>
      </c>
      <c r="G45" s="1338">
        <f t="shared" si="3"/>
        <v>0.99</v>
      </c>
      <c r="H45" s="175"/>
      <c r="I45" s="917" t="s">
        <v>376</v>
      </c>
      <c r="J45" s="916"/>
      <c r="K45" s="916"/>
      <c r="L45" s="916"/>
      <c r="M45" s="916"/>
    </row>
    <row r="46" spans="1:13" ht="16.5">
      <c r="A46" s="1155" t="s">
        <v>1695</v>
      </c>
      <c r="B46" s="1156">
        <v>26.2</v>
      </c>
      <c r="C46" s="1156">
        <v>10.6</v>
      </c>
      <c r="D46" s="1157">
        <f>C46*(0.01*B46)</f>
        <v>2.7772000000000001</v>
      </c>
      <c r="E46" s="1156">
        <v>24.3</v>
      </c>
      <c r="F46" s="921">
        <f t="shared" si="2"/>
        <v>6.3666</v>
      </c>
      <c r="G46" s="1338">
        <f t="shared" si="3"/>
        <v>0.69959999999999989</v>
      </c>
      <c r="H46" s="1158"/>
      <c r="I46" s="1159" t="s">
        <v>1684</v>
      </c>
      <c r="J46" s="1156"/>
      <c r="K46" s="1156"/>
      <c r="L46" s="1156"/>
      <c r="M46" s="1156"/>
    </row>
    <row r="47" spans="1:13" ht="16.5">
      <c r="A47" s="175" t="s">
        <v>1631</v>
      </c>
      <c r="B47" s="916">
        <v>20.966999999999999</v>
      </c>
      <c r="C47" s="916">
        <v>10.8</v>
      </c>
      <c r="D47" s="472">
        <v>2.2644359999999999</v>
      </c>
      <c r="E47" s="916">
        <v>15.77</v>
      </c>
      <c r="F47" s="921">
        <f t="shared" si="2"/>
        <v>3.3064958999999998</v>
      </c>
      <c r="G47" s="1338">
        <f t="shared" si="3"/>
        <v>0.71279999999999999</v>
      </c>
      <c r="H47" s="175"/>
      <c r="I47" s="917" t="s">
        <v>1248</v>
      </c>
      <c r="J47" s="916"/>
      <c r="K47" s="916"/>
      <c r="L47" s="916"/>
      <c r="M47" s="916"/>
    </row>
    <row r="48" spans="1:13" ht="16.5">
      <c r="A48" s="175" t="s">
        <v>1509</v>
      </c>
      <c r="B48" s="916">
        <v>20.966999999999999</v>
      </c>
      <c r="C48" s="916">
        <v>10.8</v>
      </c>
      <c r="D48" s="472">
        <f>B48*C48/100</f>
        <v>2.2644359999999999</v>
      </c>
      <c r="E48" s="916">
        <v>15.77</v>
      </c>
      <c r="F48" s="921">
        <f t="shared" si="2"/>
        <v>3.3064958999999998</v>
      </c>
      <c r="G48" s="1338">
        <f t="shared" si="3"/>
        <v>0.71279999999999999</v>
      </c>
      <c r="H48" s="175"/>
      <c r="I48" s="917" t="s">
        <v>1248</v>
      </c>
      <c r="J48" s="916"/>
      <c r="K48" s="916"/>
      <c r="L48" s="916"/>
      <c r="M48" s="916"/>
    </row>
    <row r="49" spans="1:13" ht="16.5">
      <c r="A49" s="175" t="s">
        <v>1249</v>
      </c>
      <c r="B49" s="916">
        <v>90.6</v>
      </c>
      <c r="C49" s="916">
        <v>10.89</v>
      </c>
      <c r="D49" s="472">
        <f>B49*C49/100</f>
        <v>9.866340000000001</v>
      </c>
      <c r="E49" s="916">
        <v>14.8</v>
      </c>
      <c r="F49" s="921">
        <f t="shared" si="2"/>
        <v>13.408799999999999</v>
      </c>
      <c r="G49" s="1338">
        <f t="shared" si="3"/>
        <v>0.71873999999999993</v>
      </c>
      <c r="H49" s="175"/>
      <c r="I49" s="917" t="s">
        <v>1248</v>
      </c>
      <c r="J49" s="916"/>
      <c r="K49" s="916"/>
      <c r="L49" s="916"/>
      <c r="M49" s="916"/>
    </row>
    <row r="50" spans="1:13" ht="16.5">
      <c r="A50" s="175" t="s">
        <v>1510</v>
      </c>
      <c r="B50" s="916">
        <v>92.37</v>
      </c>
      <c r="C50" s="916">
        <v>14.193</v>
      </c>
      <c r="D50" s="472">
        <f>B50*C50/100</f>
        <v>13.110074099999999</v>
      </c>
      <c r="E50" s="916">
        <v>27.3</v>
      </c>
      <c r="F50" s="921">
        <f t="shared" si="2"/>
        <v>25.217010000000002</v>
      </c>
      <c r="G50" s="1338">
        <f t="shared" si="3"/>
        <v>0.93673799999999985</v>
      </c>
      <c r="H50" s="175"/>
      <c r="I50" s="917" t="s">
        <v>1248</v>
      </c>
      <c r="J50" s="916"/>
      <c r="K50" s="916"/>
      <c r="L50" s="916"/>
      <c r="M50" s="916"/>
    </row>
    <row r="51" spans="1:13" ht="16.5">
      <c r="A51" s="175" t="s">
        <v>1511</v>
      </c>
      <c r="B51" s="916">
        <v>28.4</v>
      </c>
      <c r="C51" s="916">
        <v>10</v>
      </c>
      <c r="D51" s="472">
        <f>B51*C51/100</f>
        <v>2.84</v>
      </c>
      <c r="E51" s="916">
        <v>19.399999999999999</v>
      </c>
      <c r="F51" s="921">
        <f t="shared" si="2"/>
        <v>5.5095999999999989</v>
      </c>
      <c r="G51" s="1338">
        <f t="shared" si="3"/>
        <v>0.66</v>
      </c>
      <c r="H51" s="175"/>
      <c r="I51" s="917" t="s">
        <v>1560</v>
      </c>
      <c r="J51" s="916"/>
      <c r="K51" s="916"/>
      <c r="L51" s="916"/>
      <c r="M51" s="916"/>
    </row>
    <row r="52" spans="1:13" ht="16.5">
      <c r="A52" s="175" t="s">
        <v>1145</v>
      </c>
      <c r="B52" s="916">
        <v>0</v>
      </c>
      <c r="C52" s="916">
        <v>0</v>
      </c>
      <c r="D52" s="472">
        <v>0</v>
      </c>
      <c r="E52" s="916">
        <v>0</v>
      </c>
      <c r="F52" s="921">
        <f t="shared" si="2"/>
        <v>0</v>
      </c>
      <c r="G52" s="1338">
        <f t="shared" si="3"/>
        <v>0</v>
      </c>
      <c r="H52" s="175"/>
      <c r="I52" s="917" t="s">
        <v>1145</v>
      </c>
      <c r="J52" s="916"/>
      <c r="K52" s="916"/>
      <c r="L52" s="916"/>
      <c r="M52" s="916"/>
    </row>
    <row r="53" spans="1:13" ht="16.5">
      <c r="A53" s="175" t="s">
        <v>1512</v>
      </c>
      <c r="B53" s="916">
        <v>60</v>
      </c>
      <c r="C53" s="916">
        <v>5</v>
      </c>
      <c r="D53" s="472">
        <f t="shared" ref="D53:D64" si="5">B53*C53/100</f>
        <v>3</v>
      </c>
      <c r="E53" s="916">
        <v>6</v>
      </c>
      <c r="F53" s="921">
        <f t="shared" si="2"/>
        <v>3.6</v>
      </c>
      <c r="G53" s="1338">
        <f t="shared" si="3"/>
        <v>0.33</v>
      </c>
      <c r="H53" s="175"/>
      <c r="I53" s="917" t="s">
        <v>1106</v>
      </c>
      <c r="J53" s="916">
        <v>350</v>
      </c>
      <c r="K53" s="916">
        <v>200</v>
      </c>
      <c r="L53" s="916">
        <v>18</v>
      </c>
      <c r="M53" s="916">
        <v>200</v>
      </c>
    </row>
    <row r="54" spans="1:13" ht="16.5">
      <c r="A54" s="175" t="s">
        <v>1513</v>
      </c>
      <c r="B54" s="916">
        <v>60</v>
      </c>
      <c r="C54" s="916">
        <v>5</v>
      </c>
      <c r="D54" s="472">
        <f t="shared" si="5"/>
        <v>3</v>
      </c>
      <c r="E54" s="916">
        <v>6</v>
      </c>
      <c r="F54" s="921">
        <f t="shared" ref="F54:F85" si="6">E54*B54/100</f>
        <v>3.6</v>
      </c>
      <c r="G54" s="1338">
        <f t="shared" ref="G54:G85" si="7">C54*6.6/100</f>
        <v>0.33</v>
      </c>
      <c r="H54" s="175"/>
      <c r="I54" s="917" t="s">
        <v>1106</v>
      </c>
      <c r="J54" s="916">
        <v>350</v>
      </c>
      <c r="K54" s="916">
        <v>840</v>
      </c>
      <c r="L54" s="916">
        <v>18</v>
      </c>
      <c r="M54" s="916">
        <v>100</v>
      </c>
    </row>
    <row r="55" spans="1:13" ht="16.5">
      <c r="A55" s="175" t="s">
        <v>1704</v>
      </c>
      <c r="B55" s="916">
        <v>89</v>
      </c>
      <c r="C55" s="916">
        <v>12.267324</v>
      </c>
      <c r="D55" s="472">
        <f t="shared" si="5"/>
        <v>10.917918360000002</v>
      </c>
      <c r="E55" s="916">
        <v>13.6</v>
      </c>
      <c r="F55" s="921">
        <f t="shared" si="6"/>
        <v>12.103999999999999</v>
      </c>
      <c r="G55" s="1338">
        <f t="shared" si="7"/>
        <v>0.80964338400000002</v>
      </c>
      <c r="H55" s="175"/>
      <c r="I55" s="917" t="s">
        <v>1548</v>
      </c>
      <c r="J55" s="916"/>
      <c r="K55" s="916"/>
      <c r="L55" s="916"/>
      <c r="M55" s="916"/>
    </row>
    <row r="56" spans="1:13" ht="16.5">
      <c r="A56" s="175" t="s">
        <v>1705</v>
      </c>
      <c r="B56" s="916">
        <v>26.77</v>
      </c>
      <c r="C56" s="916">
        <v>10.1</v>
      </c>
      <c r="D56" s="472">
        <f t="shared" si="5"/>
        <v>2.70377</v>
      </c>
      <c r="E56" s="916">
        <v>9.9</v>
      </c>
      <c r="F56" s="921">
        <f t="shared" si="6"/>
        <v>2.6502300000000001</v>
      </c>
      <c r="G56" s="1338">
        <f t="shared" si="7"/>
        <v>0.66659999999999997</v>
      </c>
      <c r="H56" s="175"/>
      <c r="I56" s="917" t="s">
        <v>1548</v>
      </c>
      <c r="J56" s="916"/>
      <c r="K56" s="916"/>
      <c r="L56" s="916"/>
      <c r="M56" s="916"/>
    </row>
    <row r="57" spans="1:13" ht="16.5">
      <c r="A57" s="175" t="s">
        <v>1706</v>
      </c>
      <c r="B57" s="916">
        <v>90.7</v>
      </c>
      <c r="C57" s="916">
        <v>7.9967879999999996</v>
      </c>
      <c r="D57" s="472">
        <f t="shared" si="5"/>
        <v>7.2530867160000003</v>
      </c>
      <c r="E57" s="916">
        <v>9.5</v>
      </c>
      <c r="F57" s="921">
        <f t="shared" si="6"/>
        <v>8.6165000000000003</v>
      </c>
      <c r="G57" s="1338">
        <f t="shared" si="7"/>
        <v>0.52778800799999992</v>
      </c>
      <c r="H57" s="175"/>
      <c r="I57" s="917" t="s">
        <v>1548</v>
      </c>
      <c r="J57" s="916"/>
      <c r="K57" s="916"/>
      <c r="L57" s="916"/>
      <c r="M57" s="916"/>
    </row>
    <row r="58" spans="1:13" ht="16.5">
      <c r="A58" s="175" t="s">
        <v>1707</v>
      </c>
      <c r="B58" s="916">
        <v>92.4</v>
      </c>
      <c r="C58" s="916">
        <v>5.3172360000000003</v>
      </c>
      <c r="D58" s="472">
        <f t="shared" si="5"/>
        <v>4.9131260640000001</v>
      </c>
      <c r="E58" s="916">
        <v>4.0999999999999996</v>
      </c>
      <c r="F58" s="921">
        <f t="shared" si="6"/>
        <v>3.7883999999999998</v>
      </c>
      <c r="G58" s="1338">
        <f t="shared" si="7"/>
        <v>0.35093757600000003</v>
      </c>
      <c r="H58" s="175"/>
      <c r="I58" s="917" t="s">
        <v>1548</v>
      </c>
      <c r="J58" s="916"/>
      <c r="K58" s="916"/>
      <c r="L58" s="916"/>
      <c r="M58" s="916"/>
    </row>
    <row r="59" spans="1:13" ht="16.5">
      <c r="A59" s="175" t="s">
        <v>1708</v>
      </c>
      <c r="B59" s="916">
        <v>91</v>
      </c>
      <c r="C59" s="916">
        <v>15.28182</v>
      </c>
      <c r="D59" s="472">
        <f t="shared" si="5"/>
        <v>13.906456200000001</v>
      </c>
      <c r="E59" s="916">
        <v>16.2</v>
      </c>
      <c r="F59" s="921">
        <f t="shared" si="6"/>
        <v>14.742000000000001</v>
      </c>
      <c r="G59" s="1338">
        <f t="shared" si="7"/>
        <v>1.0086001199999999</v>
      </c>
      <c r="H59" s="175"/>
      <c r="I59" s="917" t="s">
        <v>1112</v>
      </c>
      <c r="J59" s="916"/>
      <c r="K59" s="916"/>
      <c r="L59" s="916"/>
      <c r="M59" s="916"/>
    </row>
    <row r="60" spans="1:13" ht="16.5">
      <c r="A60" s="175" t="s">
        <v>1709</v>
      </c>
      <c r="B60" s="916">
        <v>36.4</v>
      </c>
      <c r="C60" s="916">
        <v>8.9178840000000008</v>
      </c>
      <c r="D60" s="472">
        <f t="shared" si="5"/>
        <v>3.2461097759999999</v>
      </c>
      <c r="E60" s="916">
        <v>12.7</v>
      </c>
      <c r="F60" s="921">
        <f t="shared" si="6"/>
        <v>4.6227999999999998</v>
      </c>
      <c r="G60" s="1338">
        <f t="shared" si="7"/>
        <v>0.58858034400000003</v>
      </c>
      <c r="H60" s="175"/>
      <c r="I60" s="917" t="s">
        <v>1548</v>
      </c>
      <c r="J60" s="916"/>
      <c r="K60" s="916"/>
      <c r="L60" s="916"/>
      <c r="M60" s="916"/>
    </row>
    <row r="61" spans="1:13" ht="16.5">
      <c r="A61" s="175" t="s">
        <v>1514</v>
      </c>
      <c r="B61" s="916">
        <v>90</v>
      </c>
      <c r="C61" s="916">
        <v>6.6988799999999999</v>
      </c>
      <c r="D61" s="472">
        <f t="shared" si="5"/>
        <v>6.0289919999999997</v>
      </c>
      <c r="E61" s="916">
        <v>4.4000000000000004</v>
      </c>
      <c r="F61" s="921">
        <f t="shared" si="6"/>
        <v>3.9600000000000004</v>
      </c>
      <c r="G61" s="1338">
        <f t="shared" si="7"/>
        <v>0.44212607999999998</v>
      </c>
      <c r="H61" s="175"/>
      <c r="I61" s="917" t="s">
        <v>1548</v>
      </c>
      <c r="J61" s="916"/>
      <c r="K61" s="916"/>
      <c r="L61" s="916"/>
      <c r="M61" s="916"/>
    </row>
    <row r="62" spans="1:13" ht="16.5">
      <c r="A62" s="175" t="s">
        <v>1515</v>
      </c>
      <c r="B62" s="916">
        <v>27.4</v>
      </c>
      <c r="C62" s="916">
        <v>8.6248079999999998</v>
      </c>
      <c r="D62" s="472">
        <f t="shared" si="5"/>
        <v>2.363197392</v>
      </c>
      <c r="E62" s="916">
        <v>10.1</v>
      </c>
      <c r="F62" s="921">
        <f t="shared" si="6"/>
        <v>2.7673999999999994</v>
      </c>
      <c r="G62" s="1338">
        <f t="shared" si="7"/>
        <v>0.56923732799999993</v>
      </c>
      <c r="H62" s="175"/>
      <c r="I62" s="917" t="s">
        <v>1549</v>
      </c>
      <c r="J62" s="916"/>
      <c r="K62" s="916"/>
      <c r="L62" s="916"/>
      <c r="M62" s="916"/>
    </row>
    <row r="63" spans="1:13" ht="16.5">
      <c r="A63" s="175" t="s">
        <v>1516</v>
      </c>
      <c r="B63" s="916">
        <v>90.6</v>
      </c>
      <c r="C63" s="916">
        <v>8.1642600000000005</v>
      </c>
      <c r="D63" s="472">
        <f t="shared" si="5"/>
        <v>7.39681956</v>
      </c>
      <c r="E63" s="916">
        <v>8.4</v>
      </c>
      <c r="F63" s="921">
        <f t="shared" si="6"/>
        <v>7.6103999999999994</v>
      </c>
      <c r="G63" s="1338">
        <f t="shared" si="7"/>
        <v>0.53884116000000004</v>
      </c>
      <c r="H63" s="175"/>
      <c r="I63" s="917" t="s">
        <v>1549</v>
      </c>
      <c r="J63" s="916"/>
      <c r="K63" s="916"/>
      <c r="L63" s="916"/>
      <c r="M63" s="916"/>
    </row>
    <row r="64" spans="1:13" ht="16.5">
      <c r="A64" s="175" t="s">
        <v>1517</v>
      </c>
      <c r="B64" s="916">
        <v>42.85</v>
      </c>
      <c r="C64" s="916">
        <v>7.49437</v>
      </c>
      <c r="D64" s="472">
        <f t="shared" si="5"/>
        <v>3.2113375450000001</v>
      </c>
      <c r="E64" s="916">
        <v>16.149999999999999</v>
      </c>
      <c r="F64" s="921">
        <f t="shared" si="6"/>
        <v>6.9202749999999993</v>
      </c>
      <c r="G64" s="1338">
        <f t="shared" si="7"/>
        <v>0.49462841999999996</v>
      </c>
      <c r="H64" s="175"/>
      <c r="I64" s="917" t="s">
        <v>1549</v>
      </c>
      <c r="J64" s="916"/>
      <c r="K64" s="916"/>
      <c r="L64" s="916"/>
      <c r="M64" s="916"/>
    </row>
    <row r="65" spans="1:13" ht="16.5">
      <c r="A65" s="175" t="s">
        <v>1632</v>
      </c>
      <c r="B65" s="916">
        <v>26</v>
      </c>
      <c r="C65" s="916">
        <v>7.543013698630137</v>
      </c>
      <c r="D65" s="472">
        <v>1.9611835616438356</v>
      </c>
      <c r="E65" s="916">
        <v>9.882191780821918</v>
      </c>
      <c r="F65" s="921">
        <f t="shared" si="6"/>
        <v>2.5693698630136987</v>
      </c>
      <c r="G65" s="1338">
        <f t="shared" si="7"/>
        <v>0.49783890410958903</v>
      </c>
      <c r="H65" s="175"/>
      <c r="I65" s="917" t="s">
        <v>1250</v>
      </c>
      <c r="J65" s="916">
        <v>350</v>
      </c>
      <c r="K65" s="916">
        <v>20</v>
      </c>
      <c r="L65" s="916">
        <v>31</v>
      </c>
      <c r="M65" s="916">
        <v>8</v>
      </c>
    </row>
    <row r="66" spans="1:13">
      <c r="A66" s="175" t="s">
        <v>1518</v>
      </c>
      <c r="B66" s="916">
        <v>26</v>
      </c>
      <c r="C66" s="916">
        <v>7.58</v>
      </c>
      <c r="D66" s="472">
        <f>B66*C66/100</f>
        <v>1.9708000000000001</v>
      </c>
      <c r="E66" s="916">
        <v>10</v>
      </c>
      <c r="F66" s="921">
        <f t="shared" si="6"/>
        <v>2.6</v>
      </c>
      <c r="G66" s="1338">
        <f t="shared" si="7"/>
        <v>0.50027999999999995</v>
      </c>
      <c r="H66" s="175"/>
      <c r="I66" s="175" t="s">
        <v>1250</v>
      </c>
      <c r="J66" s="916">
        <v>350</v>
      </c>
      <c r="K66" s="916">
        <v>20</v>
      </c>
      <c r="L66" s="916">
        <v>31</v>
      </c>
      <c r="M66" s="916">
        <v>8</v>
      </c>
    </row>
    <row r="67" spans="1:13" ht="16.5">
      <c r="A67" s="175" t="s">
        <v>1633</v>
      </c>
      <c r="B67" s="916">
        <v>28</v>
      </c>
      <c r="C67" s="916">
        <v>7.543013698630137</v>
      </c>
      <c r="D67" s="472">
        <v>2.1120438356164386</v>
      </c>
      <c r="E67" s="916">
        <v>8.2547945205479447</v>
      </c>
      <c r="F67" s="921">
        <f t="shared" si="6"/>
        <v>2.3113424657534245</v>
      </c>
      <c r="G67" s="1338">
        <f t="shared" si="7"/>
        <v>0.49783890410958903</v>
      </c>
      <c r="H67" s="175"/>
      <c r="I67" s="917" t="s">
        <v>1251</v>
      </c>
      <c r="J67" s="916">
        <v>350</v>
      </c>
      <c r="K67" s="916">
        <v>20</v>
      </c>
      <c r="L67" s="916">
        <v>31</v>
      </c>
      <c r="M67" s="916">
        <v>8</v>
      </c>
    </row>
    <row r="68" spans="1:13" ht="16.5">
      <c r="A68" s="175" t="s">
        <v>1519</v>
      </c>
      <c r="B68" s="916">
        <v>86</v>
      </c>
      <c r="C68" s="916">
        <v>9.4621680000000001</v>
      </c>
      <c r="D68" s="472">
        <f>B68*C68/100</f>
        <v>8.1374644800000002</v>
      </c>
      <c r="E68" s="916">
        <v>6.4</v>
      </c>
      <c r="F68" s="921">
        <f t="shared" si="6"/>
        <v>5.5039999999999996</v>
      </c>
      <c r="G68" s="1338">
        <f t="shared" si="7"/>
        <v>0.62450308799999998</v>
      </c>
      <c r="H68" s="175"/>
      <c r="I68" s="917" t="s">
        <v>1550</v>
      </c>
      <c r="J68" s="916"/>
      <c r="K68" s="916"/>
      <c r="L68" s="916"/>
      <c r="M68" s="916"/>
    </row>
    <row r="69" spans="1:13" ht="16.5">
      <c r="A69" s="175" t="s">
        <v>1520</v>
      </c>
      <c r="B69" s="916">
        <v>90.34</v>
      </c>
      <c r="C69" s="916">
        <v>12.43</v>
      </c>
      <c r="D69" s="472">
        <f>B69*C69/100</f>
        <v>11.229262</v>
      </c>
      <c r="E69" s="916">
        <v>13.88</v>
      </c>
      <c r="F69" s="921">
        <f t="shared" si="6"/>
        <v>12.539192</v>
      </c>
      <c r="G69" s="1338">
        <f t="shared" si="7"/>
        <v>0.82038</v>
      </c>
      <c r="H69" s="175"/>
      <c r="I69" s="917" t="s">
        <v>1550</v>
      </c>
      <c r="J69" s="916"/>
      <c r="K69" s="916"/>
      <c r="L69" s="916"/>
      <c r="M69" s="916"/>
    </row>
    <row r="70" spans="1:13" ht="16.5">
      <c r="A70" s="175" t="s">
        <v>1521</v>
      </c>
      <c r="B70" s="916">
        <v>25</v>
      </c>
      <c r="C70" s="916">
        <v>8.5500000000000007</v>
      </c>
      <c r="D70" s="472">
        <f>B70*C70/100</f>
        <v>2.1375000000000002</v>
      </c>
      <c r="E70" s="916">
        <v>13.81</v>
      </c>
      <c r="F70" s="921">
        <f t="shared" si="6"/>
        <v>3.4525000000000001</v>
      </c>
      <c r="G70" s="1338">
        <f t="shared" si="7"/>
        <v>0.56430000000000002</v>
      </c>
      <c r="H70" s="175"/>
      <c r="I70" s="917" t="s">
        <v>1550</v>
      </c>
      <c r="J70" s="916"/>
      <c r="K70" s="916"/>
      <c r="L70" s="916"/>
      <c r="M70" s="916"/>
    </row>
    <row r="71" spans="1:13" ht="16.5">
      <c r="A71" s="175" t="s">
        <v>1724</v>
      </c>
      <c r="B71" s="916">
        <v>15</v>
      </c>
      <c r="C71" s="916">
        <v>9.8808480000000003</v>
      </c>
      <c r="D71" s="472">
        <v>1.4821271999999999</v>
      </c>
      <c r="E71" s="916">
        <v>11</v>
      </c>
      <c r="F71" s="921">
        <f t="shared" si="6"/>
        <v>1.65</v>
      </c>
      <c r="G71" s="1338">
        <f t="shared" si="7"/>
        <v>0.65213596800000007</v>
      </c>
      <c r="H71" s="175"/>
      <c r="I71" s="917" t="s">
        <v>1726</v>
      </c>
      <c r="J71" s="916">
        <v>300</v>
      </c>
      <c r="K71" s="916">
        <v>0</v>
      </c>
      <c r="L71" s="916">
        <v>18</v>
      </c>
      <c r="M71" s="916">
        <v>6</v>
      </c>
    </row>
    <row r="72" spans="1:13" ht="16.5">
      <c r="A72" s="175" t="s">
        <v>1725</v>
      </c>
      <c r="B72" s="1156">
        <v>19.5</v>
      </c>
      <c r="C72" s="1156">
        <v>7.5</v>
      </c>
      <c r="D72" s="1157">
        <f>C72*B72/100</f>
        <v>1.4624999999999999</v>
      </c>
      <c r="E72" s="1156">
        <v>6.5</v>
      </c>
      <c r="F72" s="921">
        <f t="shared" si="6"/>
        <v>1.2675000000000001</v>
      </c>
      <c r="G72" s="1340">
        <f t="shared" si="7"/>
        <v>0.495</v>
      </c>
      <c r="H72" s="1158"/>
      <c r="I72" s="917" t="s">
        <v>1727</v>
      </c>
      <c r="J72" s="1156">
        <v>300</v>
      </c>
      <c r="K72" s="1156">
        <v>0</v>
      </c>
      <c r="L72" s="1156">
        <v>18</v>
      </c>
      <c r="M72" s="1156">
        <v>6</v>
      </c>
    </row>
    <row r="73" spans="1:13" ht="16.5">
      <c r="A73" s="175" t="s">
        <v>1252</v>
      </c>
      <c r="B73" s="916">
        <v>91.69</v>
      </c>
      <c r="C73" s="916">
        <v>7.9967879999999987</v>
      </c>
      <c r="D73" s="472">
        <v>7.3322549171999993</v>
      </c>
      <c r="E73" s="916">
        <v>16.3</v>
      </c>
      <c r="F73" s="921">
        <f t="shared" si="6"/>
        <v>14.94547</v>
      </c>
      <c r="G73" s="1338">
        <f t="shared" si="7"/>
        <v>0.52778800799999981</v>
      </c>
      <c r="H73" s="175"/>
      <c r="I73" s="917" t="s">
        <v>1253</v>
      </c>
      <c r="J73" s="916"/>
      <c r="K73" s="916"/>
      <c r="L73" s="916"/>
      <c r="M73" s="916"/>
    </row>
    <row r="74" spans="1:13" ht="16.5">
      <c r="A74" s="175" t="s">
        <v>1522</v>
      </c>
      <c r="B74" s="916">
        <v>89.4</v>
      </c>
      <c r="C74" s="916">
        <v>11.08</v>
      </c>
      <c r="D74" s="472">
        <f>B74*C74/100</f>
        <v>9.905520000000001</v>
      </c>
      <c r="E74" s="916">
        <v>19.39</v>
      </c>
      <c r="F74" s="921">
        <f t="shared" si="6"/>
        <v>17.33466</v>
      </c>
      <c r="G74" s="1338">
        <f t="shared" si="7"/>
        <v>0.73128000000000004</v>
      </c>
      <c r="H74" s="175"/>
      <c r="I74" s="917" t="s">
        <v>1253</v>
      </c>
      <c r="J74" s="916"/>
      <c r="K74" s="916"/>
      <c r="L74" s="916"/>
      <c r="M74" s="916"/>
    </row>
    <row r="75" spans="1:13" ht="16.5">
      <c r="A75" s="175" t="s">
        <v>1523</v>
      </c>
      <c r="B75" s="916">
        <v>68.7</v>
      </c>
      <c r="C75" s="916">
        <v>11.5</v>
      </c>
      <c r="D75" s="472">
        <f>B75*C75/100</f>
        <v>7.900500000000001</v>
      </c>
      <c r="E75" s="916">
        <v>21.6</v>
      </c>
      <c r="F75" s="921">
        <f t="shared" si="6"/>
        <v>14.8392</v>
      </c>
      <c r="G75" s="1338">
        <f t="shared" si="7"/>
        <v>0.7589999999999999</v>
      </c>
      <c r="H75" s="175"/>
      <c r="I75" s="917" t="s">
        <v>1253</v>
      </c>
      <c r="J75" s="916"/>
      <c r="K75" s="916"/>
      <c r="L75" s="916"/>
      <c r="M75" s="916"/>
    </row>
    <row r="76" spans="1:13" ht="16.5">
      <c r="A76" s="175" t="s">
        <v>1254</v>
      </c>
      <c r="B76" s="916">
        <v>20.6</v>
      </c>
      <c r="C76" s="916">
        <v>11.5137</v>
      </c>
      <c r="D76" s="472">
        <v>2.3718222000000004</v>
      </c>
      <c r="E76" s="916">
        <v>9.1</v>
      </c>
      <c r="F76" s="921">
        <f t="shared" si="6"/>
        <v>1.8746</v>
      </c>
      <c r="G76" s="1338">
        <f t="shared" si="7"/>
        <v>0.75990420000000003</v>
      </c>
      <c r="H76" s="175"/>
      <c r="I76" s="917" t="s">
        <v>1255</v>
      </c>
      <c r="J76" s="916"/>
      <c r="K76" s="916"/>
      <c r="L76" s="916"/>
      <c r="M76" s="916"/>
    </row>
    <row r="77" spans="1:13" ht="16.5">
      <c r="A77" s="175" t="s">
        <v>1524</v>
      </c>
      <c r="B77" s="916">
        <v>35.119999999999997</v>
      </c>
      <c r="C77" s="916">
        <v>8.2200000000000006</v>
      </c>
      <c r="D77" s="472">
        <f>B77*C77/100</f>
        <v>2.8868640000000001</v>
      </c>
      <c r="E77" s="916">
        <v>7.94</v>
      </c>
      <c r="F77" s="921">
        <f t="shared" si="6"/>
        <v>2.7885279999999999</v>
      </c>
      <c r="G77" s="1338">
        <f t="shared" si="7"/>
        <v>0.54252</v>
      </c>
      <c r="H77" s="175"/>
      <c r="I77" s="917" t="s">
        <v>1255</v>
      </c>
      <c r="J77" s="916"/>
      <c r="K77" s="916"/>
      <c r="L77" s="916"/>
      <c r="M77" s="916"/>
    </row>
    <row r="78" spans="1:13" ht="16.5">
      <c r="A78" s="175" t="s">
        <v>1525</v>
      </c>
      <c r="B78" s="916">
        <v>15.44</v>
      </c>
      <c r="C78" s="916">
        <v>10.25</v>
      </c>
      <c r="D78" s="472">
        <f>B78*C78/100</f>
        <v>1.5826</v>
      </c>
      <c r="E78" s="916">
        <v>6.96</v>
      </c>
      <c r="F78" s="921">
        <f t="shared" si="6"/>
        <v>1.074624</v>
      </c>
      <c r="G78" s="1338">
        <f t="shared" si="7"/>
        <v>0.67649999999999988</v>
      </c>
      <c r="H78" s="175"/>
      <c r="I78" s="917" t="s">
        <v>1551</v>
      </c>
      <c r="J78" s="916"/>
      <c r="K78" s="916"/>
      <c r="L78" s="916"/>
      <c r="M78" s="916"/>
    </row>
    <row r="79" spans="1:13" ht="16.5">
      <c r="A79" s="175" t="s">
        <v>1526</v>
      </c>
      <c r="B79" s="916">
        <v>16.34</v>
      </c>
      <c r="C79" s="916">
        <v>12.99</v>
      </c>
      <c r="D79" s="472">
        <f>B79*C79/100</f>
        <v>2.122566</v>
      </c>
      <c r="E79" s="916">
        <v>14.13</v>
      </c>
      <c r="F79" s="921">
        <f t="shared" si="6"/>
        <v>2.3088420000000003</v>
      </c>
      <c r="G79" s="1338">
        <f t="shared" si="7"/>
        <v>0.85733999999999999</v>
      </c>
      <c r="H79" s="175"/>
      <c r="I79" s="917" t="s">
        <v>1551</v>
      </c>
      <c r="J79" s="916"/>
      <c r="K79" s="916"/>
      <c r="L79" s="916"/>
      <c r="M79" s="916"/>
    </row>
    <row r="80" spans="1:13" ht="16.5">
      <c r="A80" s="175" t="s">
        <v>1634</v>
      </c>
      <c r="B80" s="916">
        <v>78.7</v>
      </c>
      <c r="C80" s="916">
        <v>8.1642600000000005</v>
      </c>
      <c r="D80" s="472">
        <v>6.4252726200000012</v>
      </c>
      <c r="E80" s="916">
        <v>17.78</v>
      </c>
      <c r="F80" s="921">
        <f t="shared" si="6"/>
        <v>13.99286</v>
      </c>
      <c r="G80" s="1338">
        <f t="shared" si="7"/>
        <v>0.53884116000000004</v>
      </c>
      <c r="H80" s="175"/>
      <c r="I80" s="917" t="s">
        <v>1112</v>
      </c>
      <c r="J80" s="916"/>
      <c r="K80" s="916"/>
      <c r="L80" s="916"/>
      <c r="M80" s="916"/>
    </row>
    <row r="81" spans="1:13" ht="16.5">
      <c r="A81" s="175" t="s">
        <v>1527</v>
      </c>
      <c r="B81" s="916">
        <v>22.73</v>
      </c>
      <c r="C81" s="916">
        <v>9.91</v>
      </c>
      <c r="D81" s="472">
        <f>B81*C81/100</f>
        <v>2.2525430000000002</v>
      </c>
      <c r="E81" s="916">
        <v>15.44</v>
      </c>
      <c r="F81" s="921">
        <f t="shared" si="6"/>
        <v>3.5095119999999995</v>
      </c>
      <c r="G81" s="1338">
        <f t="shared" si="7"/>
        <v>0.65405999999999986</v>
      </c>
      <c r="H81" s="175"/>
      <c r="I81" s="917" t="s">
        <v>1552</v>
      </c>
      <c r="J81" s="916"/>
      <c r="K81" s="916"/>
      <c r="L81" s="916"/>
      <c r="M81" s="916"/>
    </row>
    <row r="82" spans="1:13" ht="16.5">
      <c r="A82" s="175" t="s">
        <v>1528</v>
      </c>
      <c r="B82" s="916">
        <v>19.600000000000001</v>
      </c>
      <c r="C82" s="916">
        <v>10.425132</v>
      </c>
      <c r="D82" s="472">
        <f>B82*C82/100</f>
        <v>2.043325872</v>
      </c>
      <c r="E82" s="916">
        <v>20.8</v>
      </c>
      <c r="F82" s="921">
        <f t="shared" si="6"/>
        <v>4.0768000000000004</v>
      </c>
      <c r="G82" s="1338">
        <f t="shared" si="7"/>
        <v>0.68805871200000002</v>
      </c>
      <c r="H82" s="175"/>
      <c r="I82" s="917" t="s">
        <v>1553</v>
      </c>
      <c r="J82" s="916"/>
      <c r="K82" s="916"/>
      <c r="L82" s="916"/>
      <c r="M82" s="916"/>
    </row>
    <row r="83" spans="1:13" ht="16.5">
      <c r="A83" s="175" t="s">
        <v>1529</v>
      </c>
      <c r="B83" s="916">
        <v>88.4</v>
      </c>
      <c r="C83" s="916">
        <v>8.3317320000000006</v>
      </c>
      <c r="D83" s="472">
        <f>B83*C83/100</f>
        <v>7.3652510880000008</v>
      </c>
      <c r="E83" s="916">
        <v>15</v>
      </c>
      <c r="F83" s="921">
        <f t="shared" si="6"/>
        <v>13.26</v>
      </c>
      <c r="G83" s="1338">
        <f t="shared" si="7"/>
        <v>0.54989431199999994</v>
      </c>
      <c r="H83" s="175"/>
      <c r="I83" s="917" t="s">
        <v>1553</v>
      </c>
      <c r="J83" s="916"/>
      <c r="K83" s="916"/>
      <c r="L83" s="916"/>
      <c r="M83" s="916"/>
    </row>
    <row r="84" spans="1:13" ht="16.5">
      <c r="A84" s="175" t="s">
        <v>1635</v>
      </c>
      <c r="B84" s="916">
        <v>28.059999999999995</v>
      </c>
      <c r="C84" s="916">
        <v>7.5400000000000009</v>
      </c>
      <c r="D84" s="472">
        <v>2.1157239999999997</v>
      </c>
      <c r="E84" s="916">
        <v>14.1</v>
      </c>
      <c r="F84" s="921">
        <f t="shared" si="6"/>
        <v>3.956459999999999</v>
      </c>
      <c r="G84" s="1338">
        <f t="shared" si="7"/>
        <v>0.49764000000000003</v>
      </c>
      <c r="H84" s="175"/>
      <c r="I84" s="917" t="s">
        <v>1107</v>
      </c>
      <c r="J84" s="916"/>
      <c r="K84" s="916"/>
      <c r="L84" s="916"/>
      <c r="M84" s="916"/>
    </row>
    <row r="85" spans="1:13" ht="16.5">
      <c r="A85" s="175" t="s">
        <v>805</v>
      </c>
      <c r="B85" s="916">
        <v>92.4</v>
      </c>
      <c r="C85" s="916">
        <v>9.1</v>
      </c>
      <c r="D85" s="472">
        <v>8.4084000000000003</v>
      </c>
      <c r="E85" s="916">
        <v>7.7</v>
      </c>
      <c r="F85" s="921">
        <f t="shared" si="6"/>
        <v>7.1147999999999998</v>
      </c>
      <c r="G85" s="1338">
        <f t="shared" si="7"/>
        <v>0.60059999999999991</v>
      </c>
      <c r="H85" s="175"/>
      <c r="I85" s="917" t="s">
        <v>1107</v>
      </c>
      <c r="J85" s="916"/>
      <c r="K85" s="916"/>
      <c r="L85" s="916"/>
      <c r="M85" s="916"/>
    </row>
    <row r="86" spans="1:13" ht="16.5">
      <c r="A86" s="175" t="s">
        <v>1636</v>
      </c>
      <c r="B86" s="916">
        <v>91</v>
      </c>
      <c r="C86" s="916">
        <v>10.425132</v>
      </c>
      <c r="D86" s="472">
        <v>9.486870119999999</v>
      </c>
      <c r="E86" s="916">
        <v>14</v>
      </c>
      <c r="F86" s="921">
        <f t="shared" ref="F86:F113" si="8">E86*B86/100</f>
        <v>12.74</v>
      </c>
      <c r="G86" s="1338">
        <f t="shared" ref="G86:G113" si="9">C86*6.6/100</f>
        <v>0.68805871200000002</v>
      </c>
      <c r="H86" s="175"/>
      <c r="I86" s="917" t="s">
        <v>1112</v>
      </c>
      <c r="J86" s="916"/>
      <c r="K86" s="916"/>
      <c r="L86" s="916"/>
      <c r="M86" s="916"/>
    </row>
    <row r="87" spans="1:13" ht="16.5">
      <c r="A87" s="175" t="s">
        <v>1637</v>
      </c>
      <c r="B87" s="916">
        <v>92</v>
      </c>
      <c r="C87" s="916">
        <v>1.4235120000000001</v>
      </c>
      <c r="D87" s="472">
        <v>1.3096310400000002</v>
      </c>
      <c r="E87" s="916">
        <v>3.1</v>
      </c>
      <c r="F87" s="921">
        <f t="shared" si="8"/>
        <v>2.8519999999999999</v>
      </c>
      <c r="G87" s="1338">
        <f t="shared" si="9"/>
        <v>9.3951791999999992E-2</v>
      </c>
      <c r="H87" s="175"/>
      <c r="I87" s="917" t="s">
        <v>642</v>
      </c>
      <c r="J87" s="916"/>
      <c r="K87" s="916"/>
      <c r="L87" s="916"/>
      <c r="M87" s="916"/>
    </row>
    <row r="88" spans="1:13" ht="16.5">
      <c r="A88" s="175" t="s">
        <v>1638</v>
      </c>
      <c r="B88" s="916">
        <v>91.88</v>
      </c>
      <c r="C88" s="916">
        <v>5.64</v>
      </c>
      <c r="D88" s="472">
        <v>5.1820319999999995</v>
      </c>
      <c r="E88" s="916">
        <v>3.85</v>
      </c>
      <c r="F88" s="921">
        <f t="shared" si="8"/>
        <v>3.5373800000000002</v>
      </c>
      <c r="G88" s="1338">
        <f t="shared" si="9"/>
        <v>0.37223999999999996</v>
      </c>
      <c r="H88" s="175"/>
      <c r="I88" s="917" t="s">
        <v>642</v>
      </c>
      <c r="J88" s="916"/>
      <c r="K88" s="916"/>
      <c r="L88" s="916"/>
      <c r="M88" s="916"/>
    </row>
    <row r="89" spans="1:13" ht="16.5">
      <c r="A89" s="175" t="s">
        <v>1530</v>
      </c>
      <c r="B89" s="916">
        <v>28.9</v>
      </c>
      <c r="C89" s="916">
        <v>8.5399999999999991</v>
      </c>
      <c r="D89" s="472">
        <f>B89*C89/100</f>
        <v>2.4680599999999995</v>
      </c>
      <c r="E89" s="916">
        <v>21.3</v>
      </c>
      <c r="F89" s="921">
        <f t="shared" si="8"/>
        <v>6.1556999999999995</v>
      </c>
      <c r="G89" s="1338">
        <f t="shared" si="9"/>
        <v>0.56363999999999992</v>
      </c>
      <c r="H89" s="13"/>
      <c r="I89" s="917" t="s">
        <v>1554</v>
      </c>
      <c r="J89" s="916"/>
      <c r="K89" s="916"/>
      <c r="L89" s="916"/>
      <c r="M89" s="916"/>
    </row>
    <row r="90" spans="1:13" ht="16.5">
      <c r="A90" s="175" t="s">
        <v>1531</v>
      </c>
      <c r="B90" s="916">
        <v>26.1</v>
      </c>
      <c r="C90" s="916">
        <v>11.220624000000001</v>
      </c>
      <c r="D90" s="472">
        <f>B90*C90/100</f>
        <v>2.9285828640000005</v>
      </c>
      <c r="E90" s="916">
        <v>21.3</v>
      </c>
      <c r="F90" s="921">
        <f t="shared" si="8"/>
        <v>5.5593000000000004</v>
      </c>
      <c r="G90" s="1338">
        <f t="shared" si="9"/>
        <v>0.74056118400000004</v>
      </c>
      <c r="H90" s="13"/>
      <c r="I90" s="917" t="s">
        <v>1555</v>
      </c>
      <c r="J90" s="916"/>
      <c r="K90" s="916"/>
      <c r="L90" s="916"/>
      <c r="M90" s="916"/>
    </row>
    <row r="91" spans="1:13" ht="16.5">
      <c r="A91" s="175" t="s">
        <v>1532</v>
      </c>
      <c r="B91" s="916">
        <v>92.6</v>
      </c>
      <c r="C91" s="916">
        <v>8.0386559999999996</v>
      </c>
      <c r="D91" s="472">
        <f>B91*C91/100</f>
        <v>7.4437954559999993</v>
      </c>
      <c r="E91" s="916">
        <v>6</v>
      </c>
      <c r="F91" s="921">
        <f t="shared" si="8"/>
        <v>5.5559999999999992</v>
      </c>
      <c r="G91" s="1338">
        <f t="shared" si="9"/>
        <v>0.53055129599999995</v>
      </c>
      <c r="H91" s="13"/>
      <c r="I91" s="917" t="s">
        <v>1555</v>
      </c>
      <c r="J91" s="916"/>
      <c r="K91" s="916"/>
      <c r="L91" s="916"/>
      <c r="M91" s="916"/>
    </row>
    <row r="92" spans="1:13" ht="16.5">
      <c r="A92" s="175" t="s">
        <v>1256</v>
      </c>
      <c r="B92" s="916">
        <v>85</v>
      </c>
      <c r="C92" s="916">
        <v>7.0338240000000001</v>
      </c>
      <c r="D92" s="472">
        <v>5.9787504</v>
      </c>
      <c r="E92" s="916">
        <v>4.9000000000000004</v>
      </c>
      <c r="F92" s="921">
        <f t="shared" si="8"/>
        <v>4.1650000000000009</v>
      </c>
      <c r="G92" s="1338">
        <f t="shared" si="9"/>
        <v>0.46423238399999994</v>
      </c>
      <c r="H92" s="175"/>
      <c r="I92" s="917" t="s">
        <v>641</v>
      </c>
      <c r="J92" s="916"/>
      <c r="K92" s="916"/>
      <c r="L92" s="916"/>
      <c r="M92" s="916"/>
    </row>
    <row r="93" spans="1:13" ht="16.5">
      <c r="A93" s="175" t="s">
        <v>1639</v>
      </c>
      <c r="B93" s="916">
        <v>29.46</v>
      </c>
      <c r="C93" s="916">
        <v>12.31</v>
      </c>
      <c r="D93" s="472">
        <v>3.6265260000000001</v>
      </c>
      <c r="E93" s="916">
        <v>9.24</v>
      </c>
      <c r="F93" s="921">
        <f t="shared" si="8"/>
        <v>2.7221039999999999</v>
      </c>
      <c r="G93" s="1338">
        <f t="shared" si="9"/>
        <v>0.81245999999999996</v>
      </c>
      <c r="H93" s="175"/>
      <c r="I93" s="917" t="s">
        <v>641</v>
      </c>
      <c r="J93" s="916"/>
      <c r="K93" s="916">
        <v>200</v>
      </c>
      <c r="L93" s="916"/>
      <c r="M93" s="916">
        <v>10</v>
      </c>
    </row>
    <row r="94" spans="1:13" ht="16.5">
      <c r="A94" s="175" t="s">
        <v>1533</v>
      </c>
      <c r="B94" s="916">
        <v>90</v>
      </c>
      <c r="C94" s="916">
        <v>12.392927999999999</v>
      </c>
      <c r="D94" s="472">
        <f t="shared" ref="D94:D99" si="10">B94*C94/100</f>
        <v>11.153635199999998</v>
      </c>
      <c r="E94" s="916">
        <v>12.6</v>
      </c>
      <c r="F94" s="921">
        <f t="shared" si="8"/>
        <v>11.34</v>
      </c>
      <c r="G94" s="1338">
        <f t="shared" si="9"/>
        <v>0.81793324799999989</v>
      </c>
      <c r="H94" s="13"/>
      <c r="I94" s="917" t="s">
        <v>641</v>
      </c>
      <c r="J94" s="916"/>
      <c r="K94" s="916"/>
      <c r="L94" s="916"/>
      <c r="M94" s="916"/>
    </row>
    <row r="95" spans="1:13" ht="16.5">
      <c r="A95" s="175" t="s">
        <v>1257</v>
      </c>
      <c r="B95" s="916">
        <v>30</v>
      </c>
      <c r="C95" s="916">
        <v>9.043488</v>
      </c>
      <c r="D95" s="472">
        <f t="shared" si="10"/>
        <v>2.7130464000000001</v>
      </c>
      <c r="E95" s="916">
        <v>9.39</v>
      </c>
      <c r="F95" s="921">
        <f t="shared" si="8"/>
        <v>2.8170000000000006</v>
      </c>
      <c r="G95" s="1338">
        <f t="shared" si="9"/>
        <v>0.59687020800000001</v>
      </c>
      <c r="H95" s="13"/>
      <c r="I95" s="917" t="s">
        <v>641</v>
      </c>
      <c r="J95" s="916"/>
      <c r="K95" s="916"/>
      <c r="L95" s="916"/>
      <c r="M95" s="916"/>
    </row>
    <row r="96" spans="1:13" ht="16.5">
      <c r="A96" s="175" t="s">
        <v>1534</v>
      </c>
      <c r="B96" s="916">
        <v>88</v>
      </c>
      <c r="C96" s="916">
        <v>6.3220679999999998</v>
      </c>
      <c r="D96" s="472">
        <f t="shared" si="10"/>
        <v>5.5634198399999999</v>
      </c>
      <c r="E96" s="916">
        <v>5.2</v>
      </c>
      <c r="F96" s="921">
        <f t="shared" si="8"/>
        <v>4.5760000000000005</v>
      </c>
      <c r="G96" s="1338">
        <f t="shared" si="9"/>
        <v>0.41725648799999993</v>
      </c>
      <c r="H96" s="13"/>
      <c r="I96" s="917" t="s">
        <v>1556</v>
      </c>
      <c r="J96" s="916"/>
      <c r="K96" s="916"/>
      <c r="L96" s="916"/>
      <c r="M96" s="916"/>
    </row>
    <row r="97" spans="1:13" ht="16.5">
      <c r="A97" s="175" t="s">
        <v>1535</v>
      </c>
      <c r="B97" s="916">
        <v>89</v>
      </c>
      <c r="C97" s="916">
        <v>13.188420000000001</v>
      </c>
      <c r="D97" s="472">
        <f t="shared" si="10"/>
        <v>11.737693799999999</v>
      </c>
      <c r="E97" s="916">
        <v>49.6</v>
      </c>
      <c r="F97" s="921">
        <f t="shared" si="8"/>
        <v>44.144000000000005</v>
      </c>
      <c r="G97" s="1338">
        <f t="shared" si="9"/>
        <v>0.87043572000000002</v>
      </c>
      <c r="H97" s="13"/>
      <c r="I97" s="917" t="s">
        <v>1556</v>
      </c>
      <c r="J97" s="916"/>
      <c r="K97" s="916"/>
      <c r="L97" s="916"/>
      <c r="M97" s="916"/>
    </row>
    <row r="98" spans="1:13" ht="16.5">
      <c r="A98" s="175" t="s">
        <v>1536</v>
      </c>
      <c r="B98" s="916">
        <v>90.3</v>
      </c>
      <c r="C98" s="916">
        <v>12.476664</v>
      </c>
      <c r="D98" s="472">
        <f t="shared" si="10"/>
        <v>11.266427591999999</v>
      </c>
      <c r="E98" s="916">
        <v>12.2</v>
      </c>
      <c r="F98" s="921">
        <f t="shared" si="8"/>
        <v>11.016599999999999</v>
      </c>
      <c r="G98" s="1338">
        <f t="shared" si="9"/>
        <v>0.82345982399999995</v>
      </c>
      <c r="H98" s="13"/>
      <c r="I98" s="917" t="s">
        <v>1556</v>
      </c>
      <c r="J98" s="916"/>
      <c r="K98" s="916"/>
      <c r="L98" s="916"/>
      <c r="M98" s="916"/>
    </row>
    <row r="99" spans="1:13" ht="16.5">
      <c r="A99" s="175" t="s">
        <v>1537</v>
      </c>
      <c r="B99" s="916">
        <v>86.4</v>
      </c>
      <c r="C99" s="916">
        <v>14.23512</v>
      </c>
      <c r="D99" s="472">
        <f t="shared" si="10"/>
        <v>12.299143680000002</v>
      </c>
      <c r="E99" s="916">
        <v>40.299999999999997</v>
      </c>
      <c r="F99" s="921">
        <f t="shared" si="8"/>
        <v>34.819200000000002</v>
      </c>
      <c r="G99" s="1338">
        <f t="shared" si="9"/>
        <v>0.93951792000000001</v>
      </c>
      <c r="H99" s="13"/>
      <c r="I99" s="917" t="s">
        <v>1556</v>
      </c>
      <c r="J99" s="916"/>
      <c r="K99" s="916"/>
      <c r="L99" s="916"/>
      <c r="M99" s="916"/>
    </row>
    <row r="100" spans="1:13" ht="16.5">
      <c r="A100" s="175" t="s">
        <v>1640</v>
      </c>
      <c r="B100" s="916">
        <v>19.420000000000002</v>
      </c>
      <c r="C100" s="916">
        <v>9.5459040000000002</v>
      </c>
      <c r="D100" s="472">
        <v>1.8538145568000002</v>
      </c>
      <c r="E100" s="916">
        <v>18.690000000000001</v>
      </c>
      <c r="F100" s="921">
        <f t="shared" si="8"/>
        <v>3.6295980000000001</v>
      </c>
      <c r="G100" s="1338">
        <f t="shared" si="9"/>
        <v>0.63002966399999993</v>
      </c>
      <c r="H100" s="175"/>
      <c r="I100" s="917" t="s">
        <v>1258</v>
      </c>
      <c r="J100" s="916"/>
      <c r="K100" s="916"/>
      <c r="L100" s="916"/>
      <c r="M100" s="916"/>
    </row>
    <row r="101" spans="1:13" ht="16.5">
      <c r="A101" s="175" t="s">
        <v>1538</v>
      </c>
      <c r="B101" s="916">
        <v>29</v>
      </c>
      <c r="C101" s="916">
        <v>6.9</v>
      </c>
      <c r="D101" s="472">
        <f>B101*C101/100</f>
        <v>2.0010000000000003</v>
      </c>
      <c r="E101" s="916">
        <v>5.9</v>
      </c>
      <c r="F101" s="921">
        <f t="shared" si="8"/>
        <v>1.7110000000000003</v>
      </c>
      <c r="G101" s="1338">
        <f t="shared" si="9"/>
        <v>0.45539999999999997</v>
      </c>
      <c r="H101" s="13"/>
      <c r="I101" s="917" t="s">
        <v>1112</v>
      </c>
      <c r="J101" s="916"/>
      <c r="K101" s="916"/>
      <c r="L101" s="916"/>
      <c r="M101" s="916"/>
    </row>
    <row r="102" spans="1:13" ht="16.5">
      <c r="A102" s="175" t="s">
        <v>806</v>
      </c>
      <c r="B102" s="916">
        <v>96.27</v>
      </c>
      <c r="C102" s="916">
        <v>7.4400000000000013</v>
      </c>
      <c r="D102" s="472">
        <v>7.1624879999999997</v>
      </c>
      <c r="E102" s="916">
        <v>3.6899999999999995</v>
      </c>
      <c r="F102" s="921">
        <f t="shared" si="8"/>
        <v>3.5523629999999993</v>
      </c>
      <c r="G102" s="1338">
        <f t="shared" si="9"/>
        <v>0.49104000000000009</v>
      </c>
      <c r="H102" s="175"/>
      <c r="I102" s="917" t="s">
        <v>1108</v>
      </c>
      <c r="J102" s="916"/>
      <c r="K102" s="916"/>
      <c r="L102" s="916"/>
      <c r="M102" s="916"/>
    </row>
    <row r="103" spans="1:13" ht="16.5">
      <c r="A103" s="175" t="s">
        <v>1698</v>
      </c>
      <c r="B103" s="1156">
        <v>23.2</v>
      </c>
      <c r="C103" s="1156">
        <v>9</v>
      </c>
      <c r="D103" s="1157">
        <f>C103*B103/100</f>
        <v>2.0879999999999996</v>
      </c>
      <c r="E103" s="1156">
        <v>4.3</v>
      </c>
      <c r="F103" s="921">
        <f t="shared" si="8"/>
        <v>0.99759999999999993</v>
      </c>
      <c r="G103" s="1340">
        <f t="shared" si="9"/>
        <v>0.59399999999999997</v>
      </c>
      <c r="H103" s="1158"/>
      <c r="I103" s="917" t="s">
        <v>1108</v>
      </c>
      <c r="J103" s="1156">
        <v>350</v>
      </c>
      <c r="K103" s="1156">
        <v>200</v>
      </c>
      <c r="L103" s="1156">
        <v>18</v>
      </c>
      <c r="M103" s="1156">
        <v>200</v>
      </c>
    </row>
    <row r="104" spans="1:13" ht="16.5">
      <c r="A104" s="175" t="s">
        <v>807</v>
      </c>
      <c r="B104" s="916">
        <v>74.3</v>
      </c>
      <c r="C104" s="916">
        <v>10.885680000000001</v>
      </c>
      <c r="D104" s="472">
        <v>8.088060239999999</v>
      </c>
      <c r="E104" s="916">
        <v>5.8</v>
      </c>
      <c r="F104" s="921">
        <f t="shared" si="8"/>
        <v>4.3094000000000001</v>
      </c>
      <c r="G104" s="1338">
        <f t="shared" si="9"/>
        <v>0.71845488000000002</v>
      </c>
      <c r="H104" s="175"/>
      <c r="I104" s="917" t="s">
        <v>1112</v>
      </c>
      <c r="J104" s="916"/>
      <c r="K104" s="916">
        <v>0.3</v>
      </c>
      <c r="L104" s="916"/>
      <c r="M104" s="916"/>
    </row>
    <row r="105" spans="1:13" ht="16.5">
      <c r="A105" s="175" t="s">
        <v>1641</v>
      </c>
      <c r="B105" s="916">
        <v>29</v>
      </c>
      <c r="C105" s="916">
        <v>6.9</v>
      </c>
      <c r="D105" s="472">
        <v>2.0010000000000003</v>
      </c>
      <c r="E105" s="916">
        <v>5.9</v>
      </c>
      <c r="F105" s="921">
        <f t="shared" si="8"/>
        <v>1.7110000000000003</v>
      </c>
      <c r="G105" s="1338">
        <f t="shared" si="9"/>
        <v>0.45539999999999997</v>
      </c>
      <c r="H105" s="175"/>
      <c r="I105" s="917" t="s">
        <v>1108</v>
      </c>
      <c r="J105" s="916"/>
      <c r="K105" s="916">
        <v>100</v>
      </c>
      <c r="L105" s="916"/>
      <c r="M105" s="916">
        <v>100</v>
      </c>
    </row>
    <row r="106" spans="1:13" ht="16.5">
      <c r="A106" s="175" t="s">
        <v>1259</v>
      </c>
      <c r="B106" s="916">
        <v>85</v>
      </c>
      <c r="C106" s="916">
        <v>7</v>
      </c>
      <c r="D106" s="472">
        <v>5.95</v>
      </c>
      <c r="E106" s="916">
        <v>5.5</v>
      </c>
      <c r="F106" s="921">
        <f t="shared" si="8"/>
        <v>4.6749999999999998</v>
      </c>
      <c r="G106" s="1338">
        <f t="shared" si="9"/>
        <v>0.46199999999999997</v>
      </c>
      <c r="H106" s="175"/>
      <c r="I106" s="917" t="s">
        <v>1108</v>
      </c>
      <c r="J106" s="916"/>
      <c r="K106" s="916">
        <v>100</v>
      </c>
      <c r="L106" s="916"/>
      <c r="M106" s="916">
        <v>100</v>
      </c>
    </row>
    <row r="107" spans="1:13" ht="16.5">
      <c r="A107" s="175" t="s">
        <v>1539</v>
      </c>
      <c r="B107" s="916">
        <v>94.9</v>
      </c>
      <c r="C107" s="916">
        <v>9.127224</v>
      </c>
      <c r="D107" s="472">
        <f t="shared" ref="D107:D113" si="11">B107*C107/100</f>
        <v>8.6617355760000017</v>
      </c>
      <c r="E107" s="916">
        <v>17.899999999999999</v>
      </c>
      <c r="F107" s="921">
        <f t="shared" si="8"/>
        <v>16.987100000000002</v>
      </c>
      <c r="G107" s="1338">
        <f t="shared" si="9"/>
        <v>0.60239678399999996</v>
      </c>
      <c r="H107" s="13"/>
      <c r="I107" s="917" t="s">
        <v>1112</v>
      </c>
      <c r="J107" s="916"/>
      <c r="K107" s="916"/>
      <c r="L107" s="916"/>
      <c r="M107" s="916"/>
    </row>
    <row r="108" spans="1:13" ht="16.5">
      <c r="A108" s="175" t="s">
        <v>1540</v>
      </c>
      <c r="B108" s="916">
        <v>10.8</v>
      </c>
      <c r="C108" s="916">
        <v>10.01</v>
      </c>
      <c r="D108" s="472">
        <f t="shared" si="11"/>
        <v>1.08108</v>
      </c>
      <c r="E108" s="916">
        <v>19.399999999999999</v>
      </c>
      <c r="F108" s="921">
        <f t="shared" si="8"/>
        <v>2.0952000000000002</v>
      </c>
      <c r="G108" s="1338">
        <f t="shared" si="9"/>
        <v>0.66065999999999991</v>
      </c>
      <c r="H108" s="13"/>
      <c r="I108" s="917" t="s">
        <v>1557</v>
      </c>
      <c r="J108" s="916"/>
      <c r="K108" s="916"/>
      <c r="L108" s="916"/>
      <c r="M108" s="916"/>
    </row>
    <row r="109" spans="1:13" ht="16.5">
      <c r="A109" s="175" t="s">
        <v>1541</v>
      </c>
      <c r="B109" s="916">
        <v>59</v>
      </c>
      <c r="C109" s="916">
        <v>13.58</v>
      </c>
      <c r="D109" s="472">
        <f t="shared" si="11"/>
        <v>8.0122</v>
      </c>
      <c r="E109" s="916">
        <v>5.0999999999999996</v>
      </c>
      <c r="F109" s="921">
        <f t="shared" si="8"/>
        <v>3.0089999999999999</v>
      </c>
      <c r="G109" s="1338">
        <f t="shared" si="9"/>
        <v>0.89627999999999997</v>
      </c>
      <c r="H109" s="13"/>
      <c r="I109" s="917" t="s">
        <v>1557</v>
      </c>
      <c r="J109" s="916"/>
      <c r="K109" s="916"/>
      <c r="L109" s="916"/>
      <c r="M109" s="916"/>
    </row>
    <row r="110" spans="1:13" ht="16.5">
      <c r="A110" s="175" t="s">
        <v>1542</v>
      </c>
      <c r="B110" s="916">
        <v>87.1</v>
      </c>
      <c r="C110" s="916">
        <v>11.35</v>
      </c>
      <c r="D110" s="472">
        <f t="shared" si="11"/>
        <v>9.8858499999999996</v>
      </c>
      <c r="E110" s="916">
        <v>4.5999999999999996</v>
      </c>
      <c r="F110" s="921">
        <f t="shared" si="8"/>
        <v>4.0065999999999997</v>
      </c>
      <c r="G110" s="1338">
        <f t="shared" si="9"/>
        <v>0.74909999999999999</v>
      </c>
      <c r="H110" s="13"/>
      <c r="I110" s="917" t="s">
        <v>1557</v>
      </c>
      <c r="J110" s="916"/>
      <c r="K110" s="916"/>
      <c r="L110" s="916"/>
      <c r="M110" s="916"/>
    </row>
    <row r="111" spans="1:13" ht="16.5">
      <c r="A111" s="175" t="s">
        <v>1543</v>
      </c>
      <c r="B111" s="916">
        <v>10.8</v>
      </c>
      <c r="C111" s="916">
        <v>10.01</v>
      </c>
      <c r="D111" s="472">
        <f t="shared" si="11"/>
        <v>1.08108</v>
      </c>
      <c r="E111" s="916">
        <v>19.399999999999999</v>
      </c>
      <c r="F111" s="921">
        <f t="shared" si="8"/>
        <v>2.0952000000000002</v>
      </c>
      <c r="G111" s="1338">
        <f t="shared" si="9"/>
        <v>0.66065999999999991</v>
      </c>
      <c r="H111" s="13"/>
      <c r="I111" s="917" t="s">
        <v>1557</v>
      </c>
      <c r="J111" s="916"/>
      <c r="K111" s="916"/>
      <c r="L111" s="916"/>
      <c r="M111" s="916"/>
    </row>
    <row r="112" spans="1:13" ht="16.5">
      <c r="A112" s="175" t="s">
        <v>1544</v>
      </c>
      <c r="B112" s="916">
        <v>44.08</v>
      </c>
      <c r="C112" s="916">
        <v>7.43</v>
      </c>
      <c r="D112" s="472">
        <f t="shared" si="11"/>
        <v>3.2751439999999996</v>
      </c>
      <c r="E112" s="916">
        <v>21</v>
      </c>
      <c r="F112" s="921">
        <f t="shared" si="8"/>
        <v>9.2568000000000001</v>
      </c>
      <c r="G112" s="1338">
        <f t="shared" si="9"/>
        <v>0.49037999999999998</v>
      </c>
      <c r="H112" s="13"/>
      <c r="I112" s="917" t="s">
        <v>1558</v>
      </c>
      <c r="J112" s="916"/>
      <c r="K112" s="916"/>
      <c r="L112" s="916"/>
      <c r="M112" s="916"/>
    </row>
    <row r="113" spans="1:13" ht="16.5">
      <c r="A113" s="175" t="s">
        <v>1545</v>
      </c>
      <c r="B113" s="916">
        <v>15</v>
      </c>
      <c r="C113" s="916">
        <v>9.1</v>
      </c>
      <c r="D113" s="472">
        <f t="shared" si="11"/>
        <v>1.365</v>
      </c>
      <c r="E113" s="916">
        <v>22.5</v>
      </c>
      <c r="F113" s="921">
        <f t="shared" si="8"/>
        <v>3.375</v>
      </c>
      <c r="G113" s="1338">
        <f t="shared" si="9"/>
        <v>0.60059999999999991</v>
      </c>
      <c r="H113" s="13"/>
      <c r="I113" s="917" t="s">
        <v>1559</v>
      </c>
      <c r="J113" s="916"/>
      <c r="K113" s="916"/>
      <c r="L113" s="916"/>
      <c r="M113" s="916"/>
    </row>
    <row r="114" spans="1:13" ht="16.5">
      <c r="A114" s="474"/>
      <c r="B114" s="475"/>
      <c r="C114" s="475"/>
      <c r="D114" s="475"/>
      <c r="E114" s="475"/>
      <c r="F114" s="475"/>
      <c r="G114" s="475"/>
      <c r="I114" s="762"/>
    </row>
    <row r="115" spans="1:13" ht="16.5">
      <c r="A115" s="474"/>
      <c r="B115" s="475"/>
      <c r="C115" s="475"/>
      <c r="D115" s="475"/>
      <c r="E115" s="475"/>
      <c r="F115" s="475"/>
      <c r="G115" s="475"/>
      <c r="I115" s="762"/>
    </row>
    <row r="116" spans="1:13" ht="16.5">
      <c r="A116" s="474"/>
      <c r="B116" s="475"/>
      <c r="C116" s="475"/>
      <c r="D116" s="475"/>
      <c r="E116" s="475"/>
      <c r="F116" s="475"/>
      <c r="G116" s="475"/>
      <c r="I116" s="762"/>
    </row>
    <row r="117" spans="1:13" ht="16.5">
      <c r="A117" s="474"/>
      <c r="B117" s="475"/>
      <c r="C117" s="475"/>
      <c r="D117" s="475"/>
      <c r="E117" s="475"/>
      <c r="F117" s="475"/>
      <c r="G117" s="475"/>
      <c r="I117" s="762"/>
    </row>
    <row r="118" spans="1:13" ht="16.5">
      <c r="A118" s="474"/>
      <c r="B118" s="475"/>
      <c r="C118" s="475"/>
      <c r="D118" s="475"/>
      <c r="E118" s="475"/>
      <c r="F118" s="475"/>
      <c r="G118" s="475"/>
      <c r="I118" s="762"/>
    </row>
    <row r="119" spans="1:13" ht="16.5">
      <c r="A119" s="474"/>
      <c r="B119" s="475"/>
      <c r="C119" s="475"/>
      <c r="D119" s="475"/>
      <c r="E119" s="475"/>
      <c r="F119" s="475"/>
      <c r="G119" s="475"/>
      <c r="I119" s="762"/>
    </row>
    <row r="120" spans="1:13" ht="16.5">
      <c r="A120" s="474"/>
      <c r="B120" s="475"/>
      <c r="C120" s="475"/>
      <c r="D120" s="475"/>
      <c r="E120" s="475"/>
      <c r="F120" s="475"/>
      <c r="G120" s="475"/>
      <c r="I120" s="762"/>
    </row>
    <row r="121" spans="1:13" ht="16.5">
      <c r="A121" s="474"/>
      <c r="B121" s="475"/>
      <c r="C121" s="475"/>
      <c r="D121" s="475"/>
      <c r="E121" s="475"/>
      <c r="F121" s="475"/>
      <c r="G121" s="475"/>
      <c r="I121" s="762"/>
    </row>
    <row r="122" spans="1:13" ht="16.5">
      <c r="A122" s="474"/>
      <c r="B122" s="475"/>
      <c r="C122" s="475"/>
      <c r="D122" s="475"/>
      <c r="E122" s="475"/>
      <c r="F122" s="475"/>
      <c r="G122" s="475"/>
      <c r="I122" s="762"/>
    </row>
    <row r="123" spans="1:13" ht="16.5">
      <c r="A123" s="474"/>
      <c r="B123" s="475"/>
      <c r="C123" s="475"/>
      <c r="D123" s="475"/>
      <c r="E123" s="475"/>
      <c r="F123" s="475"/>
      <c r="G123" s="475"/>
      <c r="I123" s="762"/>
    </row>
    <row r="124" spans="1:13" ht="16.5">
      <c r="A124" s="474"/>
      <c r="B124" s="475"/>
      <c r="C124" s="475"/>
      <c r="D124" s="475"/>
      <c r="E124" s="475"/>
      <c r="F124" s="475"/>
      <c r="G124" s="475"/>
      <c r="I124" s="762"/>
    </row>
    <row r="125" spans="1:13" ht="16.5">
      <c r="A125" s="474"/>
      <c r="B125" s="475"/>
      <c r="C125" s="475"/>
      <c r="D125" s="475"/>
      <c r="E125" s="475"/>
      <c r="F125" s="475"/>
      <c r="G125" s="475"/>
      <c r="I125" s="762"/>
    </row>
    <row r="126" spans="1:13" ht="16.5">
      <c r="A126" s="474"/>
      <c r="B126" s="475"/>
      <c r="C126" s="475"/>
      <c r="D126" s="475"/>
      <c r="E126" s="475"/>
      <c r="F126" s="475"/>
      <c r="G126" s="475"/>
      <c r="I126" s="762"/>
    </row>
    <row r="127" spans="1:13" ht="16.5">
      <c r="A127" s="474"/>
      <c r="B127" s="475"/>
      <c r="C127" s="475"/>
      <c r="D127" s="475"/>
      <c r="E127" s="475"/>
      <c r="F127" s="475"/>
      <c r="G127" s="475"/>
      <c r="I127" s="762"/>
    </row>
    <row r="128" spans="1:13" ht="16.5">
      <c r="A128" s="474"/>
      <c r="B128" s="475"/>
      <c r="C128" s="475"/>
      <c r="D128" s="475"/>
      <c r="E128" s="475"/>
      <c r="F128" s="475"/>
      <c r="G128" s="475"/>
      <c r="I128" s="762"/>
    </row>
    <row r="129" spans="1:9" ht="16.5">
      <c r="A129" s="474"/>
      <c r="B129" s="475"/>
      <c r="C129" s="475"/>
      <c r="D129" s="475"/>
      <c r="E129" s="475"/>
      <c r="F129" s="475"/>
      <c r="G129" s="475"/>
      <c r="I129" s="762"/>
    </row>
    <row r="130" spans="1:9" ht="16.5">
      <c r="A130" s="474"/>
      <c r="B130" s="475"/>
      <c r="C130" s="475"/>
      <c r="D130" s="475"/>
      <c r="E130" s="475"/>
      <c r="F130" s="475"/>
      <c r="G130" s="475"/>
      <c r="I130" s="762"/>
    </row>
    <row r="131" spans="1:9" ht="16.5">
      <c r="A131" s="474"/>
      <c r="B131" s="475"/>
      <c r="C131" s="475"/>
      <c r="D131" s="475"/>
      <c r="E131" s="475"/>
      <c r="F131" s="475"/>
      <c r="G131" s="475"/>
      <c r="I131" s="762"/>
    </row>
    <row r="132" spans="1:9" ht="16.5">
      <c r="A132" s="474"/>
      <c r="B132" s="475"/>
      <c r="C132" s="475"/>
      <c r="D132" s="475"/>
      <c r="E132" s="475"/>
      <c r="F132" s="475"/>
      <c r="G132" s="475"/>
      <c r="I132" s="762"/>
    </row>
    <row r="133" spans="1:9" ht="16.5">
      <c r="A133" s="474"/>
      <c r="B133" s="475"/>
      <c r="C133" s="475"/>
      <c r="D133" s="475"/>
      <c r="E133" s="475"/>
      <c r="F133" s="475"/>
      <c r="G133" s="475"/>
      <c r="I133" s="762"/>
    </row>
    <row r="134" spans="1:9" ht="16.5">
      <c r="A134" s="474"/>
      <c r="B134" s="475"/>
      <c r="C134" s="475"/>
      <c r="D134" s="475"/>
      <c r="E134" s="475"/>
      <c r="F134" s="475"/>
      <c r="G134" s="475"/>
      <c r="I134" s="762"/>
    </row>
    <row r="135" spans="1:9" ht="16.5">
      <c r="A135" s="474"/>
      <c r="B135" s="475"/>
      <c r="C135" s="475"/>
      <c r="D135" s="475"/>
      <c r="E135" s="475"/>
      <c r="F135" s="475"/>
      <c r="G135" s="475"/>
      <c r="I135" s="762"/>
    </row>
    <row r="136" spans="1:9" ht="16.5">
      <c r="A136" s="474"/>
      <c r="B136" s="475"/>
      <c r="C136" s="475"/>
      <c r="D136" s="475"/>
      <c r="E136" s="475"/>
      <c r="F136" s="475"/>
      <c r="G136" s="475"/>
      <c r="I136" s="762"/>
    </row>
    <row r="137" spans="1:9" ht="16.5">
      <c r="A137" s="474"/>
      <c r="B137" s="475"/>
      <c r="C137" s="475"/>
      <c r="D137" s="475"/>
      <c r="E137" s="475"/>
      <c r="F137" s="475"/>
      <c r="G137" s="475"/>
      <c r="I137" s="762"/>
    </row>
    <row r="138" spans="1:9" ht="16.5">
      <c r="A138" s="474"/>
      <c r="B138" s="475"/>
      <c r="C138" s="475"/>
      <c r="D138" s="475"/>
      <c r="E138" s="475"/>
      <c r="F138" s="475"/>
      <c r="G138" s="475"/>
      <c r="I138" s="762"/>
    </row>
    <row r="139" spans="1:9" ht="16.5">
      <c r="A139" s="474"/>
      <c r="B139" s="475"/>
      <c r="C139" s="475"/>
      <c r="D139" s="475"/>
      <c r="E139" s="475"/>
      <c r="F139" s="475"/>
      <c r="G139" s="475"/>
      <c r="I139" s="762"/>
    </row>
    <row r="140" spans="1:9" ht="16.5">
      <c r="A140" s="474"/>
      <c r="B140" s="475"/>
      <c r="C140" s="475"/>
      <c r="D140" s="475"/>
      <c r="E140" s="475"/>
      <c r="F140" s="475"/>
      <c r="G140" s="475"/>
      <c r="I140" s="762"/>
    </row>
  </sheetData>
  <sheetProtection selectLockedCells="1"/>
  <pageMargins left="0.75" right="0.75" top="1" bottom="1" header="0.5" footer="0.5"/>
  <pageSetup paperSize="9" orientation="portrait" horizontalDpi="4294967292" verticalDpi="4294967292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5">
    <tabColor theme="0" tint="-0.499984740745262"/>
  </sheetPr>
  <dimension ref="A1:E23"/>
  <sheetViews>
    <sheetView workbookViewId="0">
      <selection activeCell="B23" sqref="B23"/>
    </sheetView>
  </sheetViews>
  <sheetFormatPr defaultRowHeight="15.75"/>
  <cols>
    <col min="2" max="2" width="18.875" bestFit="1" customWidth="1"/>
    <col min="3" max="3" width="25.75" bestFit="1" customWidth="1"/>
    <col min="4" max="4" width="22.375" customWidth="1"/>
    <col min="5" max="5" width="16.625" customWidth="1"/>
  </cols>
  <sheetData>
    <row r="1" spans="1:5" s="509" customFormat="1">
      <c r="A1" s="509" t="s">
        <v>1182</v>
      </c>
      <c r="B1" s="510"/>
    </row>
    <row r="2" spans="1:5">
      <c r="B2" s="37"/>
      <c r="C2" s="37"/>
      <c r="D2" s="37"/>
      <c r="E2" s="37"/>
    </row>
    <row r="3" spans="1:5">
      <c r="B3" s="587" t="s">
        <v>1185</v>
      </c>
      <c r="C3" s="13" t="s">
        <v>1318</v>
      </c>
      <c r="D3" s="13" t="s">
        <v>1186</v>
      </c>
    </row>
    <row r="4" spans="1:5">
      <c r="B4" s="17" t="s">
        <v>1190</v>
      </c>
      <c r="C4" s="576">
        <v>2.5000000000000001E-3</v>
      </c>
      <c r="D4" s="1177" t="s">
        <v>1713</v>
      </c>
    </row>
    <row r="5" spans="1:5">
      <c r="B5" s="17" t="s">
        <v>1191</v>
      </c>
      <c r="C5" s="350"/>
      <c r="D5" s="1177"/>
    </row>
    <row r="6" spans="1:5">
      <c r="B6" s="17" t="s">
        <v>1192</v>
      </c>
      <c r="C6" s="350"/>
      <c r="D6" s="1177"/>
    </row>
    <row r="7" spans="1:5">
      <c r="B7" s="17" t="s">
        <v>1193</v>
      </c>
      <c r="C7" s="350">
        <v>3</v>
      </c>
      <c r="D7" s="1177" t="s">
        <v>1713</v>
      </c>
    </row>
    <row r="8" spans="1:5">
      <c r="B8" s="17" t="s">
        <v>1194</v>
      </c>
      <c r="C8" s="350"/>
      <c r="D8" s="1177"/>
    </row>
    <row r="9" spans="1:5">
      <c r="B9" s="17" t="s">
        <v>1195</v>
      </c>
      <c r="C9" s="350"/>
      <c r="D9" s="1177"/>
    </row>
    <row r="10" spans="1:5">
      <c r="B10" s="17" t="s">
        <v>1204</v>
      </c>
      <c r="C10" s="350">
        <v>0.4</v>
      </c>
      <c r="D10" s="1177" t="s">
        <v>1713</v>
      </c>
    </row>
    <row r="11" spans="1:5">
      <c r="B11" s="17" t="s">
        <v>1205</v>
      </c>
      <c r="C11" s="350"/>
      <c r="D11" s="1177"/>
    </row>
    <row r="12" spans="1:5">
      <c r="B12" s="17" t="s">
        <v>1196</v>
      </c>
      <c r="C12" s="350">
        <v>5</v>
      </c>
      <c r="D12" s="1177" t="s">
        <v>1712</v>
      </c>
    </row>
    <row r="13" spans="1:5">
      <c r="B13" s="577" t="s">
        <v>1669</v>
      </c>
      <c r="C13" s="350"/>
      <c r="D13" s="1177"/>
    </row>
    <row r="14" spans="1:5" s="1178" customFormat="1">
      <c r="B14" s="577" t="s">
        <v>1032</v>
      </c>
      <c r="C14" s="350">
        <v>0.3</v>
      </c>
      <c r="D14" s="1177" t="s">
        <v>1713</v>
      </c>
    </row>
    <row r="15" spans="1:5" s="1178" customFormat="1">
      <c r="B15" s="577" t="s">
        <v>1035</v>
      </c>
      <c r="C15" s="350">
        <v>0.4</v>
      </c>
      <c r="D15" s="1177" t="s">
        <v>1713</v>
      </c>
    </row>
    <row r="17" spans="2:3" s="643" customFormat="1">
      <c r="B17" s="643" t="s">
        <v>1238</v>
      </c>
    </row>
    <row r="18" spans="2:3" s="642" customFormat="1">
      <c r="B18" s="642" t="s">
        <v>1239</v>
      </c>
      <c r="C18" s="684">
        <v>52.09</v>
      </c>
    </row>
    <row r="20" spans="2:3" s="509" customFormat="1">
      <c r="B20" s="509" t="s">
        <v>1149</v>
      </c>
    </row>
    <row r="22" spans="2:3">
      <c r="B22" t="s">
        <v>1197</v>
      </c>
      <c r="C22" s="682">
        <v>0.1</v>
      </c>
    </row>
    <row r="23" spans="2:3">
      <c r="B23" t="s">
        <v>1198</v>
      </c>
      <c r="C23" s="683">
        <v>10</v>
      </c>
    </row>
  </sheetData>
  <sheetProtection selectLockedCells="1"/>
  <sortState xmlns:xlrd2="http://schemas.microsoft.com/office/spreadsheetml/2017/richdata2" ref="B3:E37">
    <sortCondition ref="C2"/>
  </sortState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5">
    <tabColor theme="0" tint="-0.499984740745262"/>
    <pageSetUpPr fitToPage="1"/>
  </sheetPr>
  <dimension ref="A1:AJ261"/>
  <sheetViews>
    <sheetView tabSelected="1" zoomScale="80" zoomScaleNormal="80" workbookViewId="0">
      <selection activeCell="D176" sqref="D176"/>
    </sheetView>
  </sheetViews>
  <sheetFormatPr defaultColWidth="11" defaultRowHeight="15.75"/>
  <cols>
    <col min="1" max="1" width="33.375" style="145" customWidth="1"/>
    <col min="2" max="2" width="43" style="145" customWidth="1"/>
    <col min="3" max="3" width="25.125" style="145" customWidth="1"/>
    <col min="4" max="4" width="54.75" style="145" customWidth="1"/>
    <col min="5" max="5" width="21.75" style="145" customWidth="1"/>
    <col min="6" max="6" width="24.625" style="145" customWidth="1"/>
    <col min="7" max="7" width="34.375" style="145" customWidth="1"/>
    <col min="8" max="8" width="23.375" style="145" customWidth="1"/>
    <col min="9" max="9" width="44.75" style="145" customWidth="1"/>
    <col min="10" max="10" width="22" style="145" customWidth="1"/>
    <col min="11" max="12" width="11" style="145" customWidth="1"/>
    <col min="13" max="13" width="13" style="145" customWidth="1"/>
    <col min="14" max="14" width="11" style="229" customWidth="1"/>
    <col min="15" max="15" width="16" style="145" customWidth="1"/>
    <col min="16" max="16" width="10.125" style="145" bestFit="1" customWidth="1"/>
    <col min="17" max="25" width="10.125" style="145" customWidth="1"/>
    <col min="26" max="26" width="11" style="145"/>
    <col min="27" max="27" width="15.375" style="230" bestFit="1" customWidth="1"/>
    <col min="28" max="28" width="11" style="145"/>
    <col min="29" max="29" width="11.375" style="145" bestFit="1" customWidth="1"/>
    <col min="30" max="35" width="11" style="145"/>
    <col min="36" max="36" width="15.375" style="228" bestFit="1" customWidth="1"/>
    <col min="37" max="16384" width="11" style="145"/>
  </cols>
  <sheetData>
    <row r="1" spans="1:36">
      <c r="A1" s="145" t="s">
        <v>79</v>
      </c>
    </row>
    <row r="2" spans="1:36">
      <c r="A2" s="145" t="s">
        <v>69</v>
      </c>
      <c r="I2" s="1101"/>
      <c r="J2" s="1142"/>
      <c r="K2" s="1101"/>
    </row>
    <row r="3" spans="1:36">
      <c r="A3" s="1296" t="s">
        <v>96</v>
      </c>
      <c r="I3" s="1101"/>
      <c r="J3" s="1142"/>
      <c r="K3" s="1101"/>
    </row>
    <row r="4" spans="1:36">
      <c r="A4" s="227" t="s">
        <v>1644</v>
      </c>
      <c r="I4" s="1101"/>
      <c r="J4" s="1142"/>
      <c r="K4" s="1101"/>
    </row>
    <row r="5" spans="1:36">
      <c r="A5" s="227" t="s">
        <v>1832</v>
      </c>
      <c r="I5" s="1101"/>
      <c r="J5" s="1142"/>
      <c r="K5" s="1101"/>
    </row>
    <row r="6" spans="1:36">
      <c r="I6" s="1101"/>
      <c r="J6" s="1142"/>
      <c r="K6" s="1101"/>
    </row>
    <row r="7" spans="1:36">
      <c r="A7" s="145" t="s">
        <v>78</v>
      </c>
      <c r="I7" s="1101"/>
      <c r="J7" s="1142"/>
      <c r="K7" s="1101"/>
    </row>
    <row r="8" spans="1:36">
      <c r="B8" s="230" t="s">
        <v>1644</v>
      </c>
      <c r="C8" s="230" t="s">
        <v>96</v>
      </c>
      <c r="D8" s="230" t="s">
        <v>1832</v>
      </c>
      <c r="H8" s="1101"/>
      <c r="I8" s="1142"/>
      <c r="J8" s="1101"/>
      <c r="M8" s="229"/>
      <c r="N8" s="145"/>
      <c r="Z8" s="230"/>
      <c r="AA8" s="145"/>
      <c r="AI8" s="228"/>
      <c r="AJ8" s="145"/>
    </row>
    <row r="9" spans="1:36">
      <c r="A9" s="1296" t="s">
        <v>1838</v>
      </c>
      <c r="B9" s="227"/>
      <c r="C9" s="227"/>
      <c r="D9" s="227"/>
      <c r="E9" s="1296" t="s">
        <v>77</v>
      </c>
      <c r="F9" s="1296" t="s">
        <v>76</v>
      </c>
      <c r="G9" s="227" t="s">
        <v>69</v>
      </c>
      <c r="H9" s="1101"/>
      <c r="I9" s="1142"/>
      <c r="J9" s="1101"/>
      <c r="M9" s="229"/>
      <c r="N9" s="145"/>
      <c r="Z9" s="230"/>
      <c r="AA9" s="145"/>
      <c r="AI9" s="228"/>
      <c r="AJ9" s="145"/>
    </row>
    <row r="10" spans="1:36">
      <c r="A10" s="1296" t="str">
        <f>'Livestock parameters'!AL20</f>
        <v>Other mature female</v>
      </c>
      <c r="B10" s="227">
        <v>64</v>
      </c>
      <c r="C10" s="1380">
        <v>32</v>
      </c>
      <c r="D10" s="1385">
        <v>50</v>
      </c>
      <c r="E10" s="1296" t="s">
        <v>55</v>
      </c>
      <c r="F10" s="1296" t="s">
        <v>92</v>
      </c>
      <c r="G10" s="1345" t="str">
        <f>INPUTS!$E$3</f>
        <v>LATIN AMERICA</v>
      </c>
      <c r="H10" s="1101"/>
      <c r="I10" s="1142"/>
      <c r="J10" s="1101"/>
      <c r="M10" s="229"/>
      <c r="N10" s="145"/>
      <c r="Z10" s="230"/>
      <c r="AA10" s="145"/>
      <c r="AI10" s="228"/>
      <c r="AJ10" s="145"/>
    </row>
    <row r="11" spans="1:36">
      <c r="A11" s="1296" t="str">
        <f>'Livestock parameters'!AL21</f>
        <v>Dairy cattle</v>
      </c>
      <c r="B11" s="227">
        <v>72</v>
      </c>
      <c r="C11" s="1380">
        <v>46</v>
      </c>
      <c r="D11" s="1385">
        <v>68</v>
      </c>
      <c r="E11" s="1296" t="s">
        <v>55</v>
      </c>
      <c r="F11" s="1296" t="s">
        <v>639</v>
      </c>
      <c r="G11" s="1345" t="str">
        <f>INPUTS!$E$3</f>
        <v>LATIN AMERICA</v>
      </c>
      <c r="H11" s="1101"/>
      <c r="I11" s="1142"/>
      <c r="J11" s="1101"/>
      <c r="M11" s="229"/>
      <c r="N11" s="145"/>
      <c r="Z11" s="230"/>
      <c r="AA11" s="145"/>
      <c r="AI11" s="228"/>
      <c r="AJ11" s="145"/>
    </row>
    <row r="12" spans="1:36">
      <c r="A12" s="1296" t="str">
        <f>'Livestock parameters'!AL23</f>
        <v>Other draft bull</v>
      </c>
      <c r="B12" s="1295">
        <v>61</v>
      </c>
      <c r="C12" s="1380">
        <v>41</v>
      </c>
      <c r="D12" s="227">
        <v>59</v>
      </c>
      <c r="E12" s="1296" t="s">
        <v>55</v>
      </c>
      <c r="F12" s="1296" t="s">
        <v>92</v>
      </c>
      <c r="G12" s="1345" t="str">
        <f>INPUTS!$E$3</f>
        <v>LATIN AMERICA</v>
      </c>
      <c r="H12" s="1101"/>
      <c r="I12" s="1142"/>
      <c r="J12" s="1101"/>
      <c r="M12" s="229"/>
      <c r="N12" s="145"/>
      <c r="Z12" s="230"/>
      <c r="AA12" s="145"/>
      <c r="AI12" s="228"/>
      <c r="AJ12" s="145"/>
    </row>
    <row r="13" spans="1:36">
      <c r="A13" s="1296" t="str">
        <f>'Livestock parameters'!AL24</f>
        <v xml:space="preserve">other Mature female-grazing </v>
      </c>
      <c r="B13" s="1295">
        <v>61</v>
      </c>
      <c r="C13" s="1380">
        <v>41</v>
      </c>
      <c r="D13" s="1380">
        <v>46</v>
      </c>
      <c r="E13" s="1296" t="s">
        <v>55</v>
      </c>
      <c r="F13" s="1296" t="s">
        <v>92</v>
      </c>
      <c r="G13" s="1345" t="str">
        <f>INPUTS!$E$3</f>
        <v>LATIN AMERICA</v>
      </c>
      <c r="H13" s="1101"/>
      <c r="I13" s="1142"/>
      <c r="J13" s="1101"/>
      <c r="M13" s="229"/>
      <c r="N13" s="145"/>
      <c r="Z13" s="230"/>
      <c r="AA13" s="145"/>
      <c r="AI13" s="228"/>
      <c r="AJ13" s="145"/>
    </row>
    <row r="14" spans="1:36">
      <c r="A14" s="1296" t="str">
        <f>'Livestock parameters'!AL25</f>
        <v>Other young</v>
      </c>
      <c r="B14" s="1295">
        <v>49</v>
      </c>
      <c r="C14" s="1385">
        <v>16</v>
      </c>
      <c r="D14" s="1380">
        <v>36</v>
      </c>
      <c r="E14" s="1296" t="s">
        <v>55</v>
      </c>
      <c r="F14" s="1296" t="s">
        <v>92</v>
      </c>
      <c r="G14" s="1345" t="str">
        <f>INPUTS!$E$3</f>
        <v>LATIN AMERICA</v>
      </c>
      <c r="H14" s="1101"/>
      <c r="I14" s="1142"/>
      <c r="J14" s="1101"/>
      <c r="M14" s="229"/>
      <c r="N14" s="145"/>
      <c r="Z14" s="230"/>
      <c r="AA14" s="145"/>
      <c r="AI14" s="228"/>
      <c r="AJ14" s="145"/>
    </row>
    <row r="15" spans="1:36">
      <c r="A15" s="1296" t="str">
        <f>'Livestock parameters'!AL29</f>
        <v>Goats</v>
      </c>
      <c r="B15" s="1295">
        <v>5</v>
      </c>
      <c r="C15" s="1385">
        <v>5</v>
      </c>
      <c r="D15" s="1380">
        <v>5</v>
      </c>
      <c r="E15" s="1296" t="s">
        <v>55</v>
      </c>
      <c r="F15" s="1296" t="s">
        <v>74</v>
      </c>
      <c r="G15" s="1345" t="str">
        <f>INPUTS!$E$3</f>
        <v>LATIN AMERICA</v>
      </c>
      <c r="H15" s="1101"/>
      <c r="I15" s="1101"/>
      <c r="J15" s="1101"/>
      <c r="M15" s="229"/>
      <c r="N15" s="145"/>
      <c r="Z15" s="230"/>
      <c r="AA15" s="145"/>
      <c r="AI15" s="228"/>
      <c r="AJ15" s="145"/>
    </row>
    <row r="16" spans="1:36">
      <c r="A16" s="1296" t="str">
        <f>'Livestock parameters'!AL33</f>
        <v>Pigs</v>
      </c>
      <c r="B16" s="1295">
        <v>1</v>
      </c>
      <c r="C16" s="1385">
        <v>1</v>
      </c>
      <c r="D16" s="1385">
        <v>1</v>
      </c>
      <c r="E16" s="1296" t="s">
        <v>55</v>
      </c>
      <c r="F16" s="1296" t="s">
        <v>74</v>
      </c>
      <c r="G16" s="1345" t="str">
        <f>INPUTS!$E$3</f>
        <v>LATIN AMERICA</v>
      </c>
      <c r="H16" s="1342"/>
      <c r="I16" s="1101"/>
      <c r="J16" s="1101"/>
      <c r="M16" s="229"/>
      <c r="N16" s="145"/>
      <c r="Z16" s="230"/>
      <c r="AA16" s="145"/>
      <c r="AI16" s="228"/>
      <c r="AJ16" s="145"/>
    </row>
    <row r="17" spans="1:36" s="1101" customFormat="1">
      <c r="A17" s="1346"/>
      <c r="B17" s="1347"/>
      <c r="C17" s="1348"/>
      <c r="D17" s="1349"/>
      <c r="E17" s="1348"/>
      <c r="F17" s="1348"/>
      <c r="G17" s="1350"/>
      <c r="H17" s="1350"/>
      <c r="M17" s="1351"/>
      <c r="Z17" s="1344"/>
      <c r="AI17" s="1287"/>
    </row>
    <row r="18" spans="1:36">
      <c r="D18" s="1343" t="s">
        <v>1833</v>
      </c>
    </row>
    <row r="19" spans="1:36">
      <c r="D19" s="1344"/>
    </row>
    <row r="20" spans="1:36">
      <c r="A20" s="153" t="s">
        <v>1840</v>
      </c>
      <c r="B20" s="226" t="s">
        <v>281</v>
      </c>
      <c r="M20" s="229"/>
      <c r="N20" s="145"/>
      <c r="Z20" s="230"/>
      <c r="AA20" s="145"/>
      <c r="AI20" s="228"/>
      <c r="AJ20" s="145"/>
    </row>
    <row r="21" spans="1:36">
      <c r="A21" s="1419" t="s">
        <v>1838</v>
      </c>
      <c r="B21" s="1297" t="s">
        <v>358</v>
      </c>
      <c r="M21" s="229"/>
      <c r="N21" s="145"/>
      <c r="Z21" s="230"/>
      <c r="AA21" s="145"/>
      <c r="AI21" s="228"/>
      <c r="AJ21" s="145"/>
    </row>
    <row r="22" spans="1:36">
      <c r="A22" s="1419"/>
      <c r="B22" s="1297" t="s">
        <v>386</v>
      </c>
      <c r="M22" s="229"/>
      <c r="N22" s="145"/>
      <c r="Z22" s="230"/>
      <c r="AA22" s="145"/>
      <c r="AI22" s="228"/>
      <c r="AJ22" s="145"/>
    </row>
    <row r="23" spans="1:36">
      <c r="A23" s="1419"/>
      <c r="B23" s="1296" t="s">
        <v>631</v>
      </c>
      <c r="M23" s="229"/>
      <c r="N23" s="145"/>
      <c r="Z23" s="230"/>
      <c r="AA23" s="145"/>
      <c r="AI23" s="228"/>
      <c r="AJ23" s="145"/>
    </row>
    <row r="24" spans="1:36">
      <c r="A24" s="1297" t="s">
        <v>75</v>
      </c>
      <c r="B24" s="1297">
        <v>6.5</v>
      </c>
      <c r="M24" s="229"/>
      <c r="N24" s="145"/>
      <c r="Z24" s="230"/>
      <c r="AA24" s="145"/>
      <c r="AI24" s="228"/>
      <c r="AJ24" s="145"/>
    </row>
    <row r="25" spans="1:36">
      <c r="A25" s="175" t="s">
        <v>1839</v>
      </c>
      <c r="B25" s="1297">
        <v>6.5</v>
      </c>
      <c r="M25" s="229"/>
      <c r="N25" s="145"/>
      <c r="Z25" s="230"/>
      <c r="AA25" s="145"/>
      <c r="AI25" s="228"/>
      <c r="AJ25" s="145"/>
    </row>
    <row r="26" spans="1:36">
      <c r="A26" s="1297" t="s">
        <v>1841</v>
      </c>
      <c r="B26" s="1297">
        <v>6.5</v>
      </c>
      <c r="M26" s="229"/>
      <c r="N26" s="145"/>
      <c r="Z26" s="230"/>
      <c r="AA26" s="145"/>
      <c r="AI26" s="228"/>
      <c r="AJ26" s="145"/>
    </row>
    <row r="27" spans="1:36">
      <c r="A27" s="1297" t="s">
        <v>630</v>
      </c>
      <c r="B27" s="1297">
        <v>6.5</v>
      </c>
      <c r="M27" s="229"/>
      <c r="N27" s="145"/>
      <c r="Z27" s="230"/>
      <c r="AA27" s="145"/>
      <c r="AI27" s="228"/>
      <c r="AJ27" s="145"/>
    </row>
    <row r="28" spans="1:36">
      <c r="A28" s="1297" t="s">
        <v>629</v>
      </c>
      <c r="B28" s="1297">
        <v>4.5</v>
      </c>
      <c r="M28" s="229"/>
      <c r="N28" s="145"/>
      <c r="Z28" s="230"/>
      <c r="AA28" s="145"/>
      <c r="AI28" s="228"/>
      <c r="AJ28" s="145"/>
    </row>
    <row r="29" spans="1:36">
      <c r="A29" s="1297" t="s">
        <v>1145</v>
      </c>
      <c r="B29" s="1297">
        <v>0</v>
      </c>
      <c r="M29" s="229"/>
      <c r="N29" s="145"/>
      <c r="Z29" s="230"/>
      <c r="AA29" s="145"/>
      <c r="AI29" s="228"/>
      <c r="AJ29" s="145"/>
    </row>
    <row r="30" spans="1:36" ht="31.5">
      <c r="A30" s="1049" t="s">
        <v>1597</v>
      </c>
      <c r="B30" s="1050">
        <v>6.5</v>
      </c>
    </row>
    <row r="32" spans="1:36">
      <c r="A32" s="1296"/>
      <c r="B32" s="227" t="s">
        <v>1644</v>
      </c>
      <c r="C32" s="227" t="s">
        <v>96</v>
      </c>
      <c r="D32" s="227" t="s">
        <v>1832</v>
      </c>
      <c r="K32" s="229"/>
      <c r="N32" s="145"/>
      <c r="X32" s="230"/>
      <c r="AA32" s="145"/>
      <c r="AG32" s="228"/>
      <c r="AJ32" s="145"/>
    </row>
    <row r="33" spans="1:36">
      <c r="A33" s="1297" t="s">
        <v>60</v>
      </c>
      <c r="B33" s="227">
        <v>1</v>
      </c>
      <c r="C33" s="227">
        <v>1</v>
      </c>
      <c r="D33" s="227">
        <v>19</v>
      </c>
      <c r="F33" s="145" t="s">
        <v>73</v>
      </c>
      <c r="N33" s="145"/>
      <c r="X33" s="230"/>
      <c r="AA33" s="145"/>
      <c r="AG33" s="228"/>
      <c r="AJ33" s="145"/>
    </row>
    <row r="34" spans="1:36">
      <c r="A34" s="1297" t="s">
        <v>59</v>
      </c>
      <c r="B34" s="227">
        <v>1</v>
      </c>
      <c r="C34" s="227">
        <v>1</v>
      </c>
      <c r="D34" s="227">
        <v>1</v>
      </c>
      <c r="F34" s="145" t="s">
        <v>72</v>
      </c>
      <c r="N34" s="145"/>
      <c r="X34" s="230"/>
      <c r="AA34" s="145"/>
      <c r="AG34" s="228"/>
      <c r="AJ34" s="145"/>
    </row>
    <row r="35" spans="1:36">
      <c r="A35" s="1382" t="s">
        <v>1831</v>
      </c>
      <c r="B35" s="227">
        <v>1</v>
      </c>
      <c r="C35" s="227">
        <v>1</v>
      </c>
      <c r="D35" s="227">
        <v>2</v>
      </c>
      <c r="F35" s="145" t="s">
        <v>71</v>
      </c>
      <c r="N35" s="145"/>
      <c r="X35" s="230"/>
      <c r="AA35" s="145"/>
      <c r="AG35" s="228"/>
      <c r="AJ35" s="145"/>
    </row>
    <row r="36" spans="1:36">
      <c r="A36" s="227" t="s">
        <v>49</v>
      </c>
      <c r="B36" s="227">
        <v>0.15</v>
      </c>
      <c r="C36" s="227">
        <v>0.15</v>
      </c>
      <c r="D36" s="227">
        <v>0.2</v>
      </c>
      <c r="F36" s="145" t="s">
        <v>55</v>
      </c>
      <c r="N36" s="145"/>
      <c r="X36" s="230"/>
      <c r="AA36" s="145"/>
      <c r="AG36" s="228"/>
      <c r="AJ36" s="145"/>
    </row>
    <row r="37" spans="1:36">
      <c r="A37" s="1382" t="s">
        <v>1663</v>
      </c>
      <c r="B37" s="227">
        <v>1</v>
      </c>
      <c r="C37" s="227">
        <v>1</v>
      </c>
      <c r="D37" s="227">
        <v>4</v>
      </c>
      <c r="I37" s="145" t="s">
        <v>70</v>
      </c>
      <c r="N37" s="145"/>
      <c r="X37" s="230"/>
      <c r="AA37" s="145"/>
      <c r="AG37" s="228"/>
      <c r="AJ37" s="145"/>
    </row>
    <row r="38" spans="1:36">
      <c r="A38" s="1287"/>
      <c r="B38" s="1344"/>
      <c r="C38" s="1344"/>
      <c r="D38" s="1344"/>
      <c r="F38" s="1605" t="s">
        <v>69</v>
      </c>
      <c r="G38" s="1605" t="s">
        <v>68</v>
      </c>
      <c r="H38" s="1606" t="s">
        <v>67</v>
      </c>
      <c r="I38" s="1607" t="s">
        <v>66</v>
      </c>
      <c r="J38" s="1608"/>
      <c r="K38" s="1608"/>
      <c r="L38" s="1608"/>
      <c r="M38" s="1609"/>
      <c r="N38" s="1610"/>
      <c r="O38" s="1610"/>
      <c r="P38" s="1610"/>
      <c r="Q38" s="1610"/>
      <c r="R38" s="1610" t="s">
        <v>65</v>
      </c>
      <c r="S38" s="1610"/>
      <c r="T38" s="1610"/>
      <c r="U38" s="1610"/>
      <c r="V38" s="1610"/>
      <c r="W38" s="1610"/>
      <c r="X38" s="1611"/>
      <c r="Y38" s="1612" t="s">
        <v>64</v>
      </c>
      <c r="Z38" s="1610"/>
      <c r="AA38" s="1611"/>
      <c r="AG38" s="228"/>
      <c r="AJ38" s="145"/>
    </row>
    <row r="39" spans="1:36" ht="15.6" customHeight="1">
      <c r="A39" s="1287"/>
      <c r="B39" s="1344"/>
      <c r="C39" s="1344"/>
      <c r="D39" s="1344"/>
      <c r="F39" s="1613" t="s">
        <v>96</v>
      </c>
      <c r="G39" s="1614" t="s">
        <v>61</v>
      </c>
      <c r="H39" s="1606"/>
      <c r="I39" s="1615" t="s">
        <v>63</v>
      </c>
      <c r="J39" s="1606">
        <v>11</v>
      </c>
      <c r="K39" s="1606">
        <v>12</v>
      </c>
      <c r="L39" s="1606">
        <v>13</v>
      </c>
      <c r="M39" s="1606">
        <v>14</v>
      </c>
      <c r="N39" s="1606">
        <v>15</v>
      </c>
      <c r="O39" s="1606">
        <v>16</v>
      </c>
      <c r="P39" s="1606">
        <v>17</v>
      </c>
      <c r="Q39" s="1606">
        <v>18</v>
      </c>
      <c r="R39" s="1606">
        <v>19</v>
      </c>
      <c r="S39" s="1606">
        <v>20</v>
      </c>
      <c r="T39" s="1606">
        <v>21</v>
      </c>
      <c r="U39" s="1606">
        <v>22</v>
      </c>
      <c r="V39" s="1606">
        <v>23</v>
      </c>
      <c r="W39" s="1606">
        <v>24</v>
      </c>
      <c r="X39" s="1606">
        <v>25</v>
      </c>
      <c r="Y39" s="1606">
        <v>26</v>
      </c>
      <c r="Z39" s="1606">
        <v>27</v>
      </c>
      <c r="AA39" s="1615" t="s">
        <v>62</v>
      </c>
      <c r="AG39" s="228"/>
      <c r="AJ39" s="145"/>
    </row>
    <row r="40" spans="1:36" ht="15" customHeight="1">
      <c r="A40" s="1287"/>
      <c r="B40" s="1344"/>
      <c r="C40" s="1344"/>
      <c r="D40" s="1344"/>
      <c r="F40" s="1616"/>
      <c r="G40" s="1617"/>
      <c r="H40" s="1606" t="s">
        <v>60</v>
      </c>
      <c r="I40" s="1618">
        <v>1</v>
      </c>
      <c r="J40" s="1618">
        <v>1</v>
      </c>
      <c r="K40" s="1618">
        <v>1</v>
      </c>
      <c r="L40" s="1618">
        <v>1</v>
      </c>
      <c r="M40" s="1618">
        <v>1</v>
      </c>
      <c r="N40" s="1618">
        <v>1</v>
      </c>
      <c r="O40" s="1618">
        <v>1</v>
      </c>
      <c r="P40" s="1618">
        <v>1</v>
      </c>
      <c r="Q40" s="1618">
        <v>1</v>
      </c>
      <c r="R40" s="1618">
        <v>1</v>
      </c>
      <c r="S40" s="1618">
        <v>1</v>
      </c>
      <c r="T40" s="1618">
        <v>1</v>
      </c>
      <c r="U40" s="1618">
        <v>1</v>
      </c>
      <c r="V40" s="1618">
        <v>1</v>
      </c>
      <c r="W40" s="1618">
        <v>1</v>
      </c>
      <c r="X40" s="1618">
        <v>1</v>
      </c>
      <c r="Y40" s="1618">
        <v>1</v>
      </c>
      <c r="Z40" s="1618">
        <v>1</v>
      </c>
      <c r="AA40" s="1618">
        <v>1</v>
      </c>
      <c r="AG40" s="228"/>
      <c r="AJ40" s="145"/>
    </row>
    <row r="41" spans="1:36">
      <c r="A41" s="1287"/>
      <c r="B41" s="1344"/>
      <c r="C41" s="1344"/>
      <c r="D41" s="1344"/>
      <c r="F41" s="1616"/>
      <c r="G41" s="1617"/>
      <c r="H41" s="1606" t="s">
        <v>59</v>
      </c>
      <c r="I41" s="1618">
        <v>0</v>
      </c>
      <c r="J41" s="1618">
        <v>0</v>
      </c>
      <c r="K41" s="1618">
        <v>0</v>
      </c>
      <c r="L41" s="1618">
        <v>0</v>
      </c>
      <c r="M41" s="1618">
        <v>0</v>
      </c>
      <c r="N41" s="1618">
        <v>1</v>
      </c>
      <c r="O41" s="1618">
        <v>1</v>
      </c>
      <c r="P41" s="1618">
        <v>1</v>
      </c>
      <c r="Q41" s="1618">
        <v>1</v>
      </c>
      <c r="R41" s="1618">
        <v>1</v>
      </c>
      <c r="S41" s="1618">
        <v>1</v>
      </c>
      <c r="T41" s="1618">
        <v>1</v>
      </c>
      <c r="U41" s="1618">
        <v>1</v>
      </c>
      <c r="V41" s="1618">
        <v>1</v>
      </c>
      <c r="W41" s="1618">
        <v>1</v>
      </c>
      <c r="X41" s="1618">
        <v>1</v>
      </c>
      <c r="Y41" s="1618">
        <v>1</v>
      </c>
      <c r="Z41" s="1618">
        <v>1</v>
      </c>
      <c r="AA41" s="1618">
        <v>1</v>
      </c>
      <c r="AG41" s="228"/>
      <c r="AJ41" s="145"/>
    </row>
    <row r="42" spans="1:36">
      <c r="A42" s="1287"/>
      <c r="B42" s="1344"/>
      <c r="C42" s="1344"/>
      <c r="D42" s="1344"/>
      <c r="F42" s="1619"/>
      <c r="G42" s="1620"/>
      <c r="H42" s="1606" t="s">
        <v>1663</v>
      </c>
      <c r="I42" s="1618">
        <v>0</v>
      </c>
      <c r="J42" s="1618">
        <v>0</v>
      </c>
      <c r="K42" s="1618">
        <v>0</v>
      </c>
      <c r="L42" s="1618">
        <v>1</v>
      </c>
      <c r="M42" s="1618">
        <v>1</v>
      </c>
      <c r="N42" s="1618">
        <v>1</v>
      </c>
      <c r="O42" s="1618">
        <v>1</v>
      </c>
      <c r="P42" s="1618">
        <v>1</v>
      </c>
      <c r="Q42" s="1618">
        <v>1</v>
      </c>
      <c r="R42" s="1618">
        <v>1</v>
      </c>
      <c r="S42" s="1618">
        <v>1</v>
      </c>
      <c r="T42" s="1618">
        <v>1</v>
      </c>
      <c r="U42" s="1618">
        <v>1</v>
      </c>
      <c r="V42" s="1618">
        <v>1</v>
      </c>
      <c r="W42" s="1618">
        <v>1</v>
      </c>
      <c r="X42" s="1618">
        <v>1</v>
      </c>
      <c r="Y42" s="1618">
        <v>1</v>
      </c>
      <c r="Z42" s="1618">
        <v>1</v>
      </c>
      <c r="AA42" s="1618">
        <v>2</v>
      </c>
      <c r="AG42" s="228"/>
      <c r="AJ42" s="145"/>
    </row>
    <row r="43" spans="1:36" ht="15.75" customHeight="1">
      <c r="A43" s="1344"/>
      <c r="B43" s="1344"/>
      <c r="C43" s="1344"/>
      <c r="D43" s="1344"/>
      <c r="F43" s="1621" t="s">
        <v>1644</v>
      </c>
      <c r="G43" s="1622" t="s">
        <v>1834</v>
      </c>
      <c r="H43" s="1623" t="s">
        <v>60</v>
      </c>
      <c r="I43" s="1624">
        <v>1</v>
      </c>
      <c r="J43" s="1624">
        <v>1</v>
      </c>
      <c r="K43" s="1624">
        <v>1</v>
      </c>
      <c r="L43" s="1624">
        <v>1</v>
      </c>
      <c r="M43" s="1624">
        <v>1</v>
      </c>
      <c r="N43" s="1618">
        <v>1</v>
      </c>
      <c r="O43" s="1618">
        <v>1</v>
      </c>
      <c r="P43" s="1618">
        <v>1</v>
      </c>
      <c r="Q43" s="1618">
        <v>1</v>
      </c>
      <c r="R43" s="1618">
        <v>1</v>
      </c>
      <c r="S43" s="1618">
        <v>1</v>
      </c>
      <c r="T43" s="1618">
        <v>1</v>
      </c>
      <c r="U43" s="1618">
        <v>1</v>
      </c>
      <c r="V43" s="1624">
        <v>1</v>
      </c>
      <c r="W43" s="1624">
        <v>1</v>
      </c>
      <c r="X43" s="1624">
        <v>1</v>
      </c>
      <c r="Y43" s="1618">
        <v>2</v>
      </c>
      <c r="Z43" s="1618">
        <v>2</v>
      </c>
      <c r="AA43" s="1618">
        <v>2</v>
      </c>
      <c r="AG43" s="228"/>
      <c r="AJ43" s="145"/>
    </row>
    <row r="44" spans="1:36">
      <c r="A44" s="1344"/>
      <c r="B44" s="1344"/>
      <c r="C44" s="1344"/>
      <c r="D44" s="1344"/>
      <c r="F44" s="1621"/>
      <c r="G44" s="1625"/>
      <c r="H44" s="1623" t="s">
        <v>59</v>
      </c>
      <c r="I44" s="1624">
        <v>1</v>
      </c>
      <c r="J44" s="1624">
        <v>1</v>
      </c>
      <c r="K44" s="1624">
        <v>1</v>
      </c>
      <c r="L44" s="1624">
        <v>1</v>
      </c>
      <c r="M44" s="1624">
        <v>1</v>
      </c>
      <c r="N44" s="1618">
        <v>1</v>
      </c>
      <c r="O44" s="1618">
        <v>1</v>
      </c>
      <c r="P44" s="1618">
        <v>1</v>
      </c>
      <c r="Q44" s="1618">
        <v>1</v>
      </c>
      <c r="R44" s="1618">
        <v>1</v>
      </c>
      <c r="S44" s="1618">
        <v>1</v>
      </c>
      <c r="T44" s="1618">
        <v>1</v>
      </c>
      <c r="U44" s="1618">
        <v>1</v>
      </c>
      <c r="V44" s="1624">
        <v>1</v>
      </c>
      <c r="W44" s="1624">
        <v>1</v>
      </c>
      <c r="X44" s="1624">
        <v>1</v>
      </c>
      <c r="Y44" s="1618">
        <v>1</v>
      </c>
      <c r="Z44" s="1618">
        <v>1</v>
      </c>
      <c r="AA44" s="1618">
        <v>1</v>
      </c>
      <c r="AG44" s="228"/>
      <c r="AJ44" s="145"/>
    </row>
    <row r="45" spans="1:36">
      <c r="A45" s="1344"/>
      <c r="B45" s="1344"/>
      <c r="C45" s="1344"/>
      <c r="D45" s="1344"/>
      <c r="F45" s="1621"/>
      <c r="G45" s="1625"/>
      <c r="H45" s="1623" t="s">
        <v>1663</v>
      </c>
      <c r="I45" s="1624">
        <v>1</v>
      </c>
      <c r="J45" s="1624">
        <v>1</v>
      </c>
      <c r="K45" s="1624">
        <v>1</v>
      </c>
      <c r="L45" s="1624">
        <v>1</v>
      </c>
      <c r="M45" s="1624">
        <v>1</v>
      </c>
      <c r="N45" s="1618">
        <v>1</v>
      </c>
      <c r="O45" s="1618">
        <v>1</v>
      </c>
      <c r="P45" s="1618">
        <v>1</v>
      </c>
      <c r="Q45" s="1618">
        <v>1</v>
      </c>
      <c r="R45" s="1618">
        <v>1</v>
      </c>
      <c r="S45" s="1618">
        <v>1</v>
      </c>
      <c r="T45" s="1618">
        <v>1</v>
      </c>
      <c r="U45" s="1618">
        <v>1</v>
      </c>
      <c r="V45" s="1624">
        <v>1</v>
      </c>
      <c r="W45" s="1624">
        <v>1</v>
      </c>
      <c r="X45" s="1624">
        <v>1</v>
      </c>
      <c r="Y45" s="1618">
        <v>2</v>
      </c>
      <c r="Z45" s="1618">
        <v>2</v>
      </c>
      <c r="AA45" s="1618">
        <v>2</v>
      </c>
      <c r="AG45" s="228"/>
      <c r="AJ45" s="145"/>
    </row>
    <row r="46" spans="1:36">
      <c r="A46" s="1344"/>
      <c r="B46" s="1344"/>
      <c r="C46" s="1344"/>
      <c r="D46" s="1344"/>
      <c r="F46" s="1621"/>
      <c r="G46" s="1626"/>
      <c r="H46" s="1623" t="s">
        <v>1831</v>
      </c>
      <c r="I46" s="1624">
        <v>1</v>
      </c>
      <c r="J46" s="1624">
        <v>1</v>
      </c>
      <c r="K46" s="1624">
        <v>1</v>
      </c>
      <c r="L46" s="1624">
        <v>1</v>
      </c>
      <c r="M46" s="1624">
        <v>1</v>
      </c>
      <c r="N46" s="1618">
        <v>1</v>
      </c>
      <c r="O46" s="1618">
        <v>1</v>
      </c>
      <c r="P46" s="1618">
        <v>1</v>
      </c>
      <c r="Q46" s="1618">
        <v>1</v>
      </c>
      <c r="R46" s="1618">
        <v>1</v>
      </c>
      <c r="S46" s="1618">
        <v>1</v>
      </c>
      <c r="T46" s="1618">
        <v>1</v>
      </c>
      <c r="U46" s="1618">
        <v>1</v>
      </c>
      <c r="V46" s="1624">
        <v>1</v>
      </c>
      <c r="W46" s="1624">
        <v>1</v>
      </c>
      <c r="X46" s="1624">
        <v>1</v>
      </c>
      <c r="Y46" s="1618">
        <v>2</v>
      </c>
      <c r="Z46" s="1618">
        <v>2</v>
      </c>
      <c r="AA46" s="1618">
        <v>2</v>
      </c>
      <c r="AG46" s="228"/>
      <c r="AJ46" s="145"/>
    </row>
    <row r="47" spans="1:36">
      <c r="A47" s="1287"/>
      <c r="B47" s="1344"/>
      <c r="C47" s="1344"/>
      <c r="D47" s="1344"/>
      <c r="F47" s="1621" t="s">
        <v>1832</v>
      </c>
      <c r="G47" s="1627" t="s">
        <v>1835</v>
      </c>
      <c r="H47" s="1623" t="s">
        <v>60</v>
      </c>
      <c r="I47" s="1624">
        <v>9</v>
      </c>
      <c r="J47" s="1624">
        <v>10</v>
      </c>
      <c r="K47" s="1624">
        <v>10</v>
      </c>
      <c r="L47" s="1624">
        <v>11</v>
      </c>
      <c r="M47" s="1624">
        <v>12</v>
      </c>
      <c r="N47" s="1624">
        <v>13</v>
      </c>
      <c r="O47" s="1624">
        <v>14</v>
      </c>
      <c r="P47" s="1624">
        <v>15</v>
      </c>
      <c r="Q47" s="1624">
        <v>16</v>
      </c>
      <c r="R47" s="1624">
        <v>17</v>
      </c>
      <c r="S47" s="1624">
        <v>18</v>
      </c>
      <c r="T47" s="1624">
        <v>20</v>
      </c>
      <c r="U47" s="1624">
        <v>21</v>
      </c>
      <c r="V47" s="1624">
        <v>23</v>
      </c>
      <c r="W47" s="1624">
        <v>24</v>
      </c>
      <c r="X47" s="1624">
        <v>26</v>
      </c>
      <c r="Y47" s="1624">
        <v>28</v>
      </c>
      <c r="Z47" s="1624">
        <v>31</v>
      </c>
      <c r="AA47" s="1624">
        <v>31</v>
      </c>
      <c r="AG47" s="228"/>
      <c r="AJ47" s="145"/>
    </row>
    <row r="48" spans="1:36">
      <c r="A48" s="1287"/>
      <c r="B48" s="1344"/>
      <c r="C48" s="1344"/>
      <c r="D48" s="1344"/>
      <c r="F48" s="1621"/>
      <c r="G48" s="1627"/>
      <c r="H48" s="1623" t="s">
        <v>59</v>
      </c>
      <c r="I48" s="1624">
        <v>1</v>
      </c>
      <c r="J48" s="1624">
        <v>1</v>
      </c>
      <c r="K48" s="1624">
        <v>1</v>
      </c>
      <c r="L48" s="1624">
        <v>1</v>
      </c>
      <c r="M48" s="1624">
        <v>1</v>
      </c>
      <c r="N48" s="1624">
        <v>1</v>
      </c>
      <c r="O48" s="1624">
        <v>1</v>
      </c>
      <c r="P48" s="1624">
        <v>1</v>
      </c>
      <c r="Q48" s="1624">
        <v>1</v>
      </c>
      <c r="R48" s="1624">
        <v>1</v>
      </c>
      <c r="S48" s="1624">
        <v>1</v>
      </c>
      <c r="T48" s="1624">
        <v>1</v>
      </c>
      <c r="U48" s="1624">
        <v>1</v>
      </c>
      <c r="V48" s="1624">
        <v>1</v>
      </c>
      <c r="W48" s="1624">
        <v>1</v>
      </c>
      <c r="X48" s="1624">
        <v>1</v>
      </c>
      <c r="Y48" s="1618">
        <v>1</v>
      </c>
      <c r="Z48" s="1618">
        <v>1</v>
      </c>
      <c r="AA48" s="1618">
        <v>1</v>
      </c>
      <c r="AG48" s="228"/>
      <c r="AJ48" s="145"/>
    </row>
    <row r="49" spans="1:36">
      <c r="A49" s="1287"/>
      <c r="B49" s="1344"/>
      <c r="C49" s="1344"/>
      <c r="D49" s="1344"/>
      <c r="F49" s="1621"/>
      <c r="G49" s="1627"/>
      <c r="H49" s="1623" t="s">
        <v>1663</v>
      </c>
      <c r="I49" s="1624">
        <v>2</v>
      </c>
      <c r="J49" s="1624">
        <v>2</v>
      </c>
      <c r="K49" s="1624">
        <v>2</v>
      </c>
      <c r="L49" s="1624">
        <v>2</v>
      </c>
      <c r="M49" s="1624">
        <v>2</v>
      </c>
      <c r="N49" s="1624">
        <v>3</v>
      </c>
      <c r="O49" s="1624">
        <v>3</v>
      </c>
      <c r="P49" s="1624">
        <v>3</v>
      </c>
      <c r="Q49" s="1624">
        <v>3</v>
      </c>
      <c r="R49" s="1624">
        <v>4</v>
      </c>
      <c r="S49" s="1624">
        <v>4</v>
      </c>
      <c r="T49" s="1624">
        <v>5</v>
      </c>
      <c r="U49" s="1624">
        <v>5</v>
      </c>
      <c r="V49" s="1624">
        <v>5</v>
      </c>
      <c r="W49" s="1624">
        <v>5</v>
      </c>
      <c r="X49" s="1624">
        <v>6</v>
      </c>
      <c r="Y49" s="1624">
        <v>6</v>
      </c>
      <c r="Z49" s="1624">
        <v>7</v>
      </c>
      <c r="AA49" s="1624">
        <v>7</v>
      </c>
      <c r="AG49" s="228"/>
      <c r="AJ49" s="145"/>
    </row>
    <row r="50" spans="1:36">
      <c r="F50" s="1621"/>
      <c r="G50" s="1627"/>
      <c r="H50" s="1623" t="s">
        <v>1831</v>
      </c>
      <c r="I50" s="1624">
        <v>1</v>
      </c>
      <c r="J50" s="1624">
        <v>1</v>
      </c>
      <c r="K50" s="1624">
        <v>1</v>
      </c>
      <c r="L50" s="1624">
        <v>1</v>
      </c>
      <c r="M50" s="1624">
        <v>1</v>
      </c>
      <c r="N50" s="1624">
        <v>2</v>
      </c>
      <c r="O50" s="1624">
        <v>2</v>
      </c>
      <c r="P50" s="1624">
        <v>2</v>
      </c>
      <c r="Q50" s="1624">
        <v>2</v>
      </c>
      <c r="R50" s="1624">
        <v>2</v>
      </c>
      <c r="S50" s="1624">
        <v>2</v>
      </c>
      <c r="T50" s="1624">
        <v>2</v>
      </c>
      <c r="U50" s="1624">
        <v>2</v>
      </c>
      <c r="V50" s="1624">
        <v>2</v>
      </c>
      <c r="W50" s="1624">
        <v>2</v>
      </c>
      <c r="X50" s="1624">
        <v>2</v>
      </c>
      <c r="Y50" s="1624">
        <v>2</v>
      </c>
      <c r="Z50" s="1624">
        <v>2</v>
      </c>
      <c r="AA50" s="1624">
        <v>2</v>
      </c>
      <c r="AG50" s="228"/>
      <c r="AJ50" s="145"/>
    </row>
    <row r="51" spans="1:36">
      <c r="N51" s="145"/>
      <c r="X51" s="230"/>
      <c r="AA51" s="145"/>
      <c r="AG51" s="228"/>
      <c r="AJ51" s="145"/>
    </row>
    <row r="52" spans="1:36" ht="21" customHeight="1">
      <c r="A52" s="1637" t="s">
        <v>430</v>
      </c>
      <c r="B52" s="1637"/>
      <c r="C52" s="1637"/>
      <c r="D52" s="1637"/>
      <c r="F52" s="145" t="s">
        <v>58</v>
      </c>
      <c r="N52" s="145"/>
      <c r="X52" s="230"/>
      <c r="AA52" s="145"/>
      <c r="AG52" s="228"/>
      <c r="AJ52" s="145"/>
    </row>
    <row r="53" spans="1:36" ht="63">
      <c r="A53" s="1638" t="s">
        <v>426</v>
      </c>
      <c r="B53" s="1638" t="s">
        <v>427</v>
      </c>
      <c r="C53" s="1638" t="s">
        <v>428</v>
      </c>
      <c r="D53" s="1638" t="s">
        <v>429</v>
      </c>
      <c r="F53" s="145" t="s">
        <v>57</v>
      </c>
      <c r="N53" s="145"/>
      <c r="X53" s="230"/>
      <c r="AA53" s="145"/>
      <c r="AG53" s="228"/>
      <c r="AJ53" s="145"/>
    </row>
    <row r="54" spans="1:36">
      <c r="A54" s="1605"/>
      <c r="B54" s="1606"/>
      <c r="C54" s="1606" t="s">
        <v>120</v>
      </c>
      <c r="D54" s="1606" t="s">
        <v>358</v>
      </c>
      <c r="F54" s="145" t="s">
        <v>56</v>
      </c>
      <c r="N54" s="145"/>
      <c r="X54" s="230"/>
      <c r="AA54" s="145"/>
      <c r="AG54" s="228"/>
      <c r="AJ54" s="145"/>
    </row>
    <row r="55" spans="1:36">
      <c r="A55" s="1621" t="s">
        <v>431</v>
      </c>
      <c r="B55" s="1639" t="s">
        <v>443</v>
      </c>
      <c r="C55" s="1639" t="s">
        <v>123</v>
      </c>
      <c r="D55" s="1606"/>
      <c r="F55" s="145" t="s">
        <v>55</v>
      </c>
      <c r="N55" s="145"/>
      <c r="X55" s="230"/>
      <c r="AA55" s="145"/>
      <c r="AG55" s="228"/>
      <c r="AJ55" s="145"/>
    </row>
    <row r="56" spans="1:36">
      <c r="A56" s="1621"/>
      <c r="B56" s="1640" t="s">
        <v>432</v>
      </c>
      <c r="C56" s="1641">
        <v>0.28000000000000003</v>
      </c>
      <c r="D56" s="1606" t="s">
        <v>434</v>
      </c>
      <c r="F56" s="1623"/>
      <c r="G56" s="1644" t="s">
        <v>54</v>
      </c>
      <c r="H56" s="1645"/>
      <c r="I56" s="1646"/>
      <c r="N56" s="145"/>
      <c r="X56" s="230"/>
      <c r="AA56" s="145"/>
      <c r="AG56" s="228"/>
      <c r="AJ56" s="145"/>
    </row>
    <row r="57" spans="1:36">
      <c r="A57" s="1621"/>
      <c r="B57" s="1640" t="s">
        <v>634</v>
      </c>
      <c r="C57" s="1641">
        <v>0.2</v>
      </c>
      <c r="D57" s="1606" t="s">
        <v>435</v>
      </c>
      <c r="F57" s="1623" t="s">
        <v>53</v>
      </c>
      <c r="G57" s="1623" t="s">
        <v>52</v>
      </c>
      <c r="H57" s="1623" t="s">
        <v>51</v>
      </c>
      <c r="I57" s="1623" t="s">
        <v>50</v>
      </c>
      <c r="N57" s="145"/>
      <c r="X57" s="230"/>
      <c r="AA57" s="145"/>
      <c r="AG57" s="228"/>
      <c r="AJ57" s="145"/>
    </row>
    <row r="58" spans="1:36">
      <c r="A58" s="1621"/>
      <c r="B58" s="1640" t="s">
        <v>458</v>
      </c>
      <c r="C58" s="1641">
        <v>0.3</v>
      </c>
      <c r="D58" s="1606" t="s">
        <v>434</v>
      </c>
      <c r="F58" s="1647" t="s">
        <v>1836</v>
      </c>
      <c r="G58" s="1648"/>
      <c r="H58" s="1648"/>
      <c r="I58" s="1649"/>
      <c r="N58" s="145"/>
      <c r="X58" s="230"/>
      <c r="AA58" s="145"/>
      <c r="AG58" s="228"/>
      <c r="AJ58" s="145"/>
    </row>
    <row r="59" spans="1:36">
      <c r="A59" s="1621"/>
      <c r="B59" s="1640"/>
      <c r="C59" s="1641"/>
      <c r="D59" s="1606"/>
      <c r="F59" s="1623" t="s">
        <v>49</v>
      </c>
      <c r="G59" s="1623">
        <v>0.1</v>
      </c>
      <c r="H59" s="1623">
        <v>0.15</v>
      </c>
      <c r="I59" s="1623">
        <v>0.2</v>
      </c>
      <c r="N59" s="145"/>
      <c r="X59" s="230"/>
      <c r="AA59" s="145"/>
      <c r="AG59" s="228"/>
      <c r="AJ59" s="145"/>
    </row>
    <row r="60" spans="1:36">
      <c r="A60" s="1621"/>
      <c r="B60" s="1640"/>
      <c r="C60" s="1641"/>
      <c r="D60" s="1606"/>
      <c r="F60" s="1623" t="s">
        <v>48</v>
      </c>
      <c r="G60" s="1623">
        <v>0.11</v>
      </c>
      <c r="H60" s="1623">
        <v>0.17</v>
      </c>
      <c r="I60" s="1623">
        <v>0.22</v>
      </c>
      <c r="N60" s="145"/>
      <c r="X60" s="230"/>
      <c r="AA60" s="145"/>
      <c r="AG60" s="228"/>
      <c r="AJ60" s="145"/>
    </row>
    <row r="61" spans="1:36">
      <c r="A61" s="1621"/>
      <c r="B61" s="1640"/>
      <c r="C61" s="1641"/>
      <c r="D61" s="1606"/>
      <c r="N61" s="145"/>
      <c r="X61" s="230"/>
      <c r="AA61" s="145"/>
      <c r="AG61" s="228"/>
      <c r="AJ61" s="145"/>
    </row>
    <row r="62" spans="1:36">
      <c r="A62" s="1621"/>
      <c r="B62" s="1640" t="s">
        <v>433</v>
      </c>
      <c r="C62" s="1641">
        <v>7.0000000000000007E-2</v>
      </c>
      <c r="D62" s="1606" t="s">
        <v>436</v>
      </c>
      <c r="F62" s="145" t="s">
        <v>47</v>
      </c>
      <c r="N62" s="145"/>
      <c r="X62" s="230"/>
      <c r="AA62" s="145"/>
      <c r="AG62" s="228"/>
      <c r="AJ62" s="145"/>
    </row>
    <row r="63" spans="1:36">
      <c r="A63" s="1613" t="s">
        <v>437</v>
      </c>
      <c r="B63" s="1642" t="s">
        <v>634</v>
      </c>
      <c r="C63" s="1641">
        <v>0.3</v>
      </c>
      <c r="D63" s="1606" t="s">
        <v>439</v>
      </c>
      <c r="F63" s="243" t="s">
        <v>698</v>
      </c>
      <c r="N63" s="145"/>
      <c r="X63" s="230"/>
      <c r="AA63" s="145"/>
      <c r="AG63" s="228"/>
      <c r="AJ63" s="145"/>
    </row>
    <row r="64" spans="1:36">
      <c r="A64" s="1616"/>
      <c r="B64" s="1642" t="s">
        <v>458</v>
      </c>
      <c r="C64" s="1641">
        <v>0.45</v>
      </c>
      <c r="D64" s="1606" t="s">
        <v>440</v>
      </c>
      <c r="F64" s="243"/>
      <c r="N64" s="145"/>
      <c r="X64" s="230"/>
      <c r="AA64" s="145"/>
      <c r="AG64" s="228"/>
      <c r="AJ64" s="145"/>
    </row>
    <row r="65" spans="1:36">
      <c r="A65" s="1619"/>
      <c r="B65" s="1642" t="s">
        <v>438</v>
      </c>
      <c r="C65" s="1641">
        <v>0.3</v>
      </c>
      <c r="D65" s="1606" t="s">
        <v>441</v>
      </c>
      <c r="F65" s="243"/>
      <c r="N65" s="145"/>
      <c r="X65" s="230"/>
      <c r="AA65" s="145"/>
      <c r="AG65" s="228"/>
      <c r="AJ65" s="145"/>
    </row>
    <row r="66" spans="1:36">
      <c r="A66" s="1605" t="s">
        <v>442</v>
      </c>
      <c r="B66" s="1605"/>
      <c r="C66" s="1643"/>
      <c r="D66" s="1605"/>
      <c r="F66" s="243"/>
      <c r="N66" s="145"/>
      <c r="X66" s="230"/>
      <c r="AA66" s="145"/>
      <c r="AG66" s="228"/>
      <c r="AJ66" s="145"/>
    </row>
    <row r="67" spans="1:36">
      <c r="F67" s="243"/>
      <c r="N67" s="145"/>
      <c r="X67" s="230"/>
      <c r="AA67" s="145"/>
      <c r="AG67" s="228"/>
      <c r="AJ67" s="145"/>
    </row>
    <row r="68" spans="1:36">
      <c r="F68" s="243"/>
      <c r="N68" s="145"/>
      <c r="X68" s="230"/>
      <c r="AA68" s="145"/>
      <c r="AG68" s="228"/>
      <c r="AJ68" s="145"/>
    </row>
    <row r="69" spans="1:36">
      <c r="F69" s="243"/>
      <c r="N69" s="145"/>
      <c r="X69" s="230"/>
      <c r="AA69" s="145"/>
      <c r="AG69" s="228"/>
      <c r="AJ69" s="145"/>
    </row>
    <row r="70" spans="1:36">
      <c r="F70" s="243"/>
      <c r="N70" s="145"/>
      <c r="X70" s="230"/>
      <c r="AA70" s="145"/>
      <c r="AG70" s="228"/>
      <c r="AJ70" s="145"/>
    </row>
    <row r="71" spans="1:36">
      <c r="F71" s="243"/>
      <c r="N71" s="145"/>
      <c r="X71" s="230"/>
      <c r="AA71" s="145"/>
      <c r="AG71" s="228"/>
      <c r="AJ71" s="145"/>
    </row>
    <row r="72" spans="1:36">
      <c r="A72" s="164" t="s">
        <v>458</v>
      </c>
      <c r="B72" s="169" t="s">
        <v>633</v>
      </c>
      <c r="F72" s="243"/>
      <c r="N72" s="145"/>
      <c r="X72" s="230"/>
      <c r="AA72" s="145"/>
      <c r="AG72" s="228"/>
      <c r="AJ72" s="145"/>
    </row>
    <row r="73" spans="1:36">
      <c r="A73" s="164" t="s">
        <v>634</v>
      </c>
      <c r="B73" s="169" t="s">
        <v>1819</v>
      </c>
      <c r="F73" s="243"/>
      <c r="N73" s="145"/>
      <c r="X73" s="230"/>
      <c r="AA73" s="145"/>
      <c r="AG73" s="228"/>
      <c r="AJ73" s="145"/>
    </row>
    <row r="74" spans="1:36">
      <c r="A74" s="164" t="s">
        <v>699</v>
      </c>
      <c r="B74" s="169" t="s">
        <v>635</v>
      </c>
      <c r="F74" s="243"/>
      <c r="N74" s="145"/>
      <c r="X74" s="230"/>
      <c r="AA74" s="145"/>
      <c r="AG74" s="228"/>
      <c r="AJ74" s="145"/>
    </row>
    <row r="75" spans="1:36">
      <c r="A75" s="169"/>
      <c r="F75" s="243"/>
      <c r="N75" s="145"/>
      <c r="X75" s="230"/>
      <c r="AA75" s="145"/>
      <c r="AG75" s="228"/>
      <c r="AJ75" s="145"/>
    </row>
    <row r="76" spans="1:36">
      <c r="F76" s="243"/>
      <c r="N76" s="145"/>
      <c r="X76" s="230"/>
      <c r="AA76" s="145"/>
      <c r="AG76" s="228"/>
      <c r="AJ76" s="145"/>
    </row>
    <row r="77" spans="1:36">
      <c r="A77" s="145" t="s">
        <v>445</v>
      </c>
      <c r="AG77" s="228"/>
      <c r="AJ77" s="145"/>
    </row>
    <row r="80" spans="1:36" s="1637" customFormat="1">
      <c r="A80" s="1650" t="s">
        <v>446</v>
      </c>
      <c r="B80" s="1651" t="s">
        <v>450</v>
      </c>
      <c r="C80" s="1652"/>
      <c r="D80" s="1652"/>
      <c r="E80" s="1652"/>
      <c r="F80" s="1652"/>
      <c r="G80" s="1652"/>
      <c r="H80" s="1652"/>
      <c r="I80" s="1652"/>
      <c r="J80" s="1652"/>
      <c r="K80" s="1652"/>
      <c r="L80" s="1652"/>
      <c r="M80" s="1652"/>
      <c r="N80" s="1652"/>
      <c r="O80" s="1652"/>
      <c r="P80" s="1652"/>
      <c r="Q80" s="1652"/>
      <c r="R80" s="1652"/>
      <c r="S80" s="1652"/>
      <c r="T80" s="1652"/>
      <c r="U80" s="1652"/>
      <c r="V80" s="1652"/>
      <c r="W80" s="1652"/>
      <c r="X80" s="1652"/>
      <c r="Y80" s="1652"/>
      <c r="Z80" s="1652"/>
      <c r="AA80" s="1652"/>
      <c r="AB80" s="1652"/>
      <c r="AC80" s="1652"/>
      <c r="AD80" s="1652"/>
      <c r="AE80" s="1653"/>
      <c r="AJ80" s="1654"/>
    </row>
    <row r="81" spans="1:36" s="1655" customFormat="1">
      <c r="A81" s="1650"/>
      <c r="B81" s="1650" t="s">
        <v>447</v>
      </c>
      <c r="C81" s="1650"/>
      <c r="D81" s="1650"/>
      <c r="E81" s="1650"/>
      <c r="F81" s="1650"/>
      <c r="G81" s="1621" t="s">
        <v>65</v>
      </c>
      <c r="H81" s="1621"/>
      <c r="I81" s="1621"/>
      <c r="J81" s="1621"/>
      <c r="K81" s="1621"/>
      <c r="L81" s="1621"/>
      <c r="M81" s="1621"/>
      <c r="N81" s="1621"/>
      <c r="O81" s="1621"/>
      <c r="P81" s="1621"/>
      <c r="Q81" s="1621"/>
      <c r="R81" s="1621"/>
      <c r="S81" s="1621"/>
      <c r="T81" s="1621"/>
      <c r="U81" s="1621"/>
      <c r="V81" s="1621"/>
      <c r="W81" s="1621"/>
      <c r="X81" s="1621"/>
      <c r="Y81" s="1621"/>
      <c r="Z81" s="1621"/>
      <c r="AA81" s="1621"/>
      <c r="AB81" s="1621"/>
      <c r="AC81" s="1621" t="s">
        <v>451</v>
      </c>
      <c r="AD81" s="1621"/>
      <c r="AE81" s="1621"/>
    </row>
    <row r="82" spans="1:36" s="1637" customFormat="1">
      <c r="A82" s="1650"/>
      <c r="B82" s="1638" t="s">
        <v>448</v>
      </c>
      <c r="C82" s="1638">
        <v>11</v>
      </c>
      <c r="D82" s="1638">
        <v>12</v>
      </c>
      <c r="E82" s="1638">
        <v>13</v>
      </c>
      <c r="F82" s="1638">
        <v>14</v>
      </c>
      <c r="G82" s="1638">
        <v>15</v>
      </c>
      <c r="H82" s="1606">
        <v>16</v>
      </c>
      <c r="I82" s="1606">
        <v>17</v>
      </c>
      <c r="J82" s="1606">
        <v>18</v>
      </c>
      <c r="K82" s="1606">
        <v>19</v>
      </c>
      <c r="L82" s="1606"/>
      <c r="M82" s="1606"/>
      <c r="N82" s="1656">
        <v>20</v>
      </c>
      <c r="O82" s="1606">
        <v>21</v>
      </c>
      <c r="P82" s="1606">
        <v>22</v>
      </c>
      <c r="Q82" s="1606"/>
      <c r="R82" s="1606"/>
      <c r="S82" s="1606"/>
      <c r="T82" s="1606"/>
      <c r="U82" s="1606"/>
      <c r="V82" s="1606"/>
      <c r="W82" s="1606"/>
      <c r="X82" s="1606"/>
      <c r="Y82" s="1606"/>
      <c r="Z82" s="1606">
        <v>23</v>
      </c>
      <c r="AA82" s="1606">
        <v>24</v>
      </c>
      <c r="AB82" s="1606">
        <v>25</v>
      </c>
      <c r="AC82" s="1606">
        <v>26</v>
      </c>
      <c r="AD82" s="1606">
        <v>27</v>
      </c>
      <c r="AE82" s="1606" t="s">
        <v>452</v>
      </c>
      <c r="AJ82" s="1654"/>
    </row>
    <row r="83" spans="1:36" s="1637" customFormat="1">
      <c r="A83" s="1638" t="s">
        <v>449</v>
      </c>
      <c r="B83" s="1657">
        <v>1</v>
      </c>
      <c r="C83" s="1657"/>
      <c r="D83" s="1657"/>
      <c r="E83" s="1657"/>
      <c r="F83" s="1657"/>
      <c r="G83" s="1658">
        <v>1.5</v>
      </c>
      <c r="H83" s="1658"/>
      <c r="I83" s="1658"/>
      <c r="J83" s="1658"/>
      <c r="K83" s="1658"/>
      <c r="L83" s="1658"/>
      <c r="M83" s="1658"/>
      <c r="N83" s="1658"/>
      <c r="O83" s="1658"/>
      <c r="P83" s="1658"/>
      <c r="Q83" s="1658"/>
      <c r="R83" s="1658"/>
      <c r="S83" s="1658"/>
      <c r="T83" s="1658"/>
      <c r="U83" s="1658"/>
      <c r="V83" s="1658"/>
      <c r="W83" s="1658"/>
      <c r="X83" s="1658"/>
      <c r="Y83" s="1658"/>
      <c r="Z83" s="1658"/>
      <c r="AA83" s="1658"/>
      <c r="AB83" s="1658"/>
      <c r="AC83" s="1659">
        <v>2</v>
      </c>
      <c r="AD83" s="1659"/>
      <c r="AE83" s="1659"/>
      <c r="AJ83" s="1654"/>
    </row>
    <row r="84" spans="1:36" s="1637" customFormat="1">
      <c r="A84" s="1638" t="s">
        <v>433</v>
      </c>
      <c r="B84" s="1660">
        <v>0.1</v>
      </c>
      <c r="C84" s="1661"/>
      <c r="D84" s="1661"/>
      <c r="E84" s="1661"/>
      <c r="F84" s="1662"/>
      <c r="G84" s="1663">
        <v>0.5</v>
      </c>
      <c r="H84" s="1664"/>
      <c r="I84" s="1664"/>
      <c r="J84" s="1664"/>
      <c r="K84" s="1664"/>
      <c r="L84" s="1664"/>
      <c r="M84" s="1664"/>
      <c r="N84" s="1664"/>
      <c r="O84" s="1664"/>
      <c r="P84" s="1664"/>
      <c r="Q84" s="1664"/>
      <c r="R84" s="1664"/>
      <c r="S84" s="1664"/>
      <c r="T84" s="1664"/>
      <c r="U84" s="1664"/>
      <c r="V84" s="1664"/>
      <c r="W84" s="1664"/>
      <c r="X84" s="1664"/>
      <c r="Y84" s="1664"/>
      <c r="Z84" s="1664"/>
      <c r="AA84" s="1664"/>
      <c r="AB84" s="1665"/>
      <c r="AC84" s="1666">
        <v>1</v>
      </c>
      <c r="AD84" s="1667"/>
      <c r="AE84" s="1668"/>
      <c r="AJ84" s="1654"/>
    </row>
    <row r="85" spans="1:36" s="1637" customFormat="1">
      <c r="A85" s="1638" t="s">
        <v>453</v>
      </c>
      <c r="B85" s="1660">
        <v>2</v>
      </c>
      <c r="C85" s="1661"/>
      <c r="D85" s="1661"/>
      <c r="E85" s="1661"/>
      <c r="F85" s="1662"/>
      <c r="G85" s="1663">
        <v>4</v>
      </c>
      <c r="H85" s="1664"/>
      <c r="I85" s="1664"/>
      <c r="J85" s="1664"/>
      <c r="K85" s="1664"/>
      <c r="L85" s="1664"/>
      <c r="M85" s="1664"/>
      <c r="N85" s="1664"/>
      <c r="O85" s="1664"/>
      <c r="P85" s="1664"/>
      <c r="Q85" s="1664"/>
      <c r="R85" s="1664"/>
      <c r="S85" s="1664"/>
      <c r="T85" s="1664"/>
      <c r="U85" s="1664"/>
      <c r="V85" s="1664"/>
      <c r="W85" s="1664"/>
      <c r="X85" s="1664"/>
      <c r="Y85" s="1664"/>
      <c r="Z85" s="1664"/>
      <c r="AA85" s="1664"/>
      <c r="AB85" s="1665"/>
      <c r="AC85" s="1669">
        <v>5</v>
      </c>
      <c r="AD85" s="1670"/>
      <c r="AE85" s="1671"/>
      <c r="AJ85" s="1654"/>
    </row>
    <row r="86" spans="1:36" s="1637" customFormat="1">
      <c r="A86" s="1638" t="s">
        <v>121</v>
      </c>
      <c r="B86" s="1660">
        <v>1</v>
      </c>
      <c r="C86" s="1661"/>
      <c r="D86" s="1661"/>
      <c r="E86" s="1661"/>
      <c r="F86" s="1662"/>
      <c r="G86" s="1663">
        <v>1.5</v>
      </c>
      <c r="H86" s="1664"/>
      <c r="I86" s="1664"/>
      <c r="J86" s="1664"/>
      <c r="K86" s="1664"/>
      <c r="L86" s="1664"/>
      <c r="M86" s="1664"/>
      <c r="N86" s="1664"/>
      <c r="O86" s="1664"/>
      <c r="P86" s="1664"/>
      <c r="Q86" s="1664"/>
      <c r="R86" s="1664"/>
      <c r="S86" s="1664"/>
      <c r="T86" s="1664"/>
      <c r="U86" s="1664"/>
      <c r="V86" s="1664"/>
      <c r="W86" s="1664"/>
      <c r="X86" s="1664"/>
      <c r="Y86" s="1664"/>
      <c r="Z86" s="1664"/>
      <c r="AA86" s="1664"/>
      <c r="AB86" s="1665"/>
      <c r="AC86" s="1669">
        <v>2</v>
      </c>
      <c r="AD86" s="1670"/>
      <c r="AE86" s="1671"/>
      <c r="AJ86" s="1654"/>
    </row>
    <row r="87" spans="1:36" s="1637" customFormat="1">
      <c r="A87" s="1605"/>
      <c r="B87" s="1605"/>
      <c r="N87" s="1672"/>
      <c r="AA87" s="1673"/>
      <c r="AJ87" s="1654"/>
    </row>
    <row r="88" spans="1:36">
      <c r="A88" s="1420" t="s">
        <v>446</v>
      </c>
      <c r="B88" s="175" t="s">
        <v>450</v>
      </c>
    </row>
    <row r="89" spans="1:36">
      <c r="A89" s="1420"/>
      <c r="B89" s="175"/>
    </row>
    <row r="90" spans="1:36">
      <c r="A90" s="1420"/>
      <c r="B90" s="175"/>
    </row>
    <row r="91" spans="1:36">
      <c r="A91" s="1380" t="s">
        <v>449</v>
      </c>
      <c r="B91" s="1058">
        <v>1.4999999999999999E-2</v>
      </c>
    </row>
    <row r="92" spans="1:36">
      <c r="A92" s="1380" t="s">
        <v>453</v>
      </c>
      <c r="B92" s="1060">
        <v>0.04</v>
      </c>
    </row>
    <row r="93" spans="1:36">
      <c r="A93" s="1380" t="s">
        <v>121</v>
      </c>
      <c r="B93" s="1059">
        <v>1.4999999999999999E-2</v>
      </c>
    </row>
    <row r="94" spans="1:36">
      <c r="A94" s="154"/>
      <c r="B94" s="187"/>
    </row>
    <row r="95" spans="1:36">
      <c r="A95" s="244" t="s">
        <v>444</v>
      </c>
    </row>
    <row r="96" spans="1:36">
      <c r="A96" s="1380" t="s">
        <v>283</v>
      </c>
    </row>
    <row r="97" spans="1:36" ht="22.5" customHeight="1">
      <c r="A97" s="1380" t="s">
        <v>289</v>
      </c>
      <c r="F97" s="1101"/>
      <c r="G97" s="1101"/>
    </row>
    <row r="98" spans="1:36">
      <c r="A98" s="1379" t="s">
        <v>290</v>
      </c>
      <c r="F98" s="1101"/>
      <c r="G98" s="1101"/>
    </row>
    <row r="99" spans="1:36">
      <c r="A99" s="1380"/>
      <c r="B99" s="227" t="s">
        <v>1644</v>
      </c>
      <c r="C99" s="227" t="s">
        <v>96</v>
      </c>
      <c r="D99" s="227" t="s">
        <v>1832</v>
      </c>
      <c r="H99" s="229"/>
      <c r="N99" s="145"/>
      <c r="U99" s="230"/>
      <c r="AA99" s="145"/>
      <c r="AD99" s="228"/>
      <c r="AJ99" s="145"/>
    </row>
    <row r="100" spans="1:36">
      <c r="A100" s="1382" t="s">
        <v>75</v>
      </c>
      <c r="B100" s="227">
        <v>0.48</v>
      </c>
      <c r="C100" s="227">
        <v>0.6</v>
      </c>
      <c r="D100" s="227">
        <v>0.47</v>
      </c>
      <c r="H100" s="229"/>
      <c r="N100" s="145"/>
      <c r="U100" s="230"/>
      <c r="AA100" s="145"/>
      <c r="AD100" s="228"/>
      <c r="AJ100" s="145"/>
    </row>
    <row r="101" spans="1:36">
      <c r="A101" s="1382" t="s">
        <v>104</v>
      </c>
      <c r="B101" s="227">
        <v>0.37</v>
      </c>
      <c r="C101" s="227">
        <v>0.63</v>
      </c>
      <c r="D101" s="227">
        <v>0.34</v>
      </c>
      <c r="H101" s="229"/>
      <c r="N101" s="145"/>
      <c r="U101" s="230"/>
      <c r="AA101" s="145"/>
      <c r="AD101" s="228"/>
      <c r="AJ101" s="145"/>
    </row>
    <row r="102" spans="1:36">
      <c r="A102" s="1382" t="s">
        <v>630</v>
      </c>
      <c r="B102" s="227">
        <v>1.17</v>
      </c>
      <c r="C102" s="227">
        <v>1.17</v>
      </c>
      <c r="D102" s="227">
        <v>1.17</v>
      </c>
      <c r="H102" s="229"/>
      <c r="N102" s="145"/>
      <c r="U102" s="230"/>
      <c r="AA102" s="145"/>
      <c r="AD102" s="228"/>
      <c r="AJ102" s="145"/>
    </row>
    <row r="103" spans="1:36">
      <c r="A103" s="227" t="s">
        <v>1670</v>
      </c>
      <c r="B103" s="227">
        <v>1.64</v>
      </c>
      <c r="C103" s="227">
        <v>1.64</v>
      </c>
      <c r="D103" s="227">
        <v>0.5</v>
      </c>
      <c r="H103" s="229"/>
      <c r="N103" s="145"/>
      <c r="U103" s="230"/>
      <c r="AA103" s="145"/>
      <c r="AD103" s="228"/>
      <c r="AJ103" s="145"/>
    </row>
    <row r="104" spans="1:36">
      <c r="A104" s="1382"/>
      <c r="B104" s="227"/>
      <c r="C104" s="227"/>
      <c r="D104" s="227"/>
      <c r="H104" s="229"/>
      <c r="N104" s="145"/>
      <c r="U104" s="230"/>
      <c r="AA104" s="145"/>
      <c r="AD104" s="228"/>
      <c r="AJ104" s="145"/>
    </row>
    <row r="105" spans="1:36">
      <c r="H105" s="229"/>
      <c r="N105" s="145"/>
      <c r="U105" s="230"/>
      <c r="AA105" s="145"/>
      <c r="AD105" s="228"/>
      <c r="AJ105" s="145"/>
    </row>
    <row r="106" spans="1:36">
      <c r="A106" s="169" t="s">
        <v>454</v>
      </c>
    </row>
    <row r="107" spans="1:36">
      <c r="A107" s="1421" t="s">
        <v>455</v>
      </c>
      <c r="B107" s="1380" t="s">
        <v>456</v>
      </c>
    </row>
    <row r="108" spans="1:36">
      <c r="A108" s="1422"/>
      <c r="B108" s="1380" t="s">
        <v>457</v>
      </c>
    </row>
    <row r="109" spans="1:36">
      <c r="A109" s="1427"/>
      <c r="B109" s="1380" t="s">
        <v>393</v>
      </c>
    </row>
    <row r="110" spans="1:36">
      <c r="A110" s="1380" t="s">
        <v>449</v>
      </c>
      <c r="B110" s="1052">
        <v>0.01</v>
      </c>
      <c r="D110" s="154"/>
      <c r="E110" s="455"/>
    </row>
    <row r="111" spans="1:36">
      <c r="A111" s="1380" t="s">
        <v>453</v>
      </c>
      <c r="B111" s="245">
        <v>5.0000000000000001E-3</v>
      </c>
      <c r="D111" s="154"/>
      <c r="E111" s="1053"/>
    </row>
    <row r="112" spans="1:36">
      <c r="A112" s="1380" t="s">
        <v>121</v>
      </c>
      <c r="B112" s="245">
        <v>0.02</v>
      </c>
      <c r="D112" s="154"/>
      <c r="E112" s="1053"/>
    </row>
    <row r="115" spans="1:31">
      <c r="A115" s="145" t="s">
        <v>46</v>
      </c>
    </row>
    <row r="116" spans="1:31">
      <c r="A116" s="145" t="s">
        <v>45</v>
      </c>
    </row>
    <row r="117" spans="1:31">
      <c r="A117" s="1"/>
    </row>
    <row r="118" spans="1:31">
      <c r="O118" s="145" t="s">
        <v>44</v>
      </c>
    </row>
    <row r="119" spans="1:31">
      <c r="A119" s="28" t="s">
        <v>43</v>
      </c>
      <c r="B119" s="245" t="s">
        <v>42</v>
      </c>
      <c r="C119" s="245" t="s">
        <v>41</v>
      </c>
      <c r="D119" s="28" t="s">
        <v>40</v>
      </c>
      <c r="E119" s="1380" t="s">
        <v>39</v>
      </c>
      <c r="F119" s="224"/>
      <c r="G119" s="224"/>
      <c r="H119" s="224"/>
      <c r="I119" s="224"/>
      <c r="J119" s="224"/>
      <c r="K119" s="224"/>
      <c r="L119" s="224"/>
      <c r="M119" s="224"/>
      <c r="N119" s="246"/>
      <c r="O119" s="224"/>
      <c r="P119" s="224"/>
      <c r="Q119" s="224"/>
      <c r="R119" s="224"/>
      <c r="S119" s="224"/>
      <c r="T119" s="224"/>
      <c r="U119" s="224"/>
      <c r="V119" s="224"/>
      <c r="W119" s="224"/>
      <c r="X119" s="224"/>
      <c r="Y119" s="224"/>
      <c r="Z119" s="224"/>
      <c r="AA119" s="247"/>
      <c r="AB119" s="224"/>
      <c r="AC119" s="224"/>
      <c r="AD119" s="224"/>
      <c r="AE119" s="224"/>
    </row>
    <row r="120" spans="1:31" ht="31.5">
      <c r="A120" s="1382" t="s">
        <v>38</v>
      </c>
      <c r="B120" s="164" t="s">
        <v>18</v>
      </c>
      <c r="C120" s="245" t="s">
        <v>37</v>
      </c>
      <c r="D120" s="1382">
        <v>0.01</v>
      </c>
      <c r="E120" s="1382" t="s">
        <v>28</v>
      </c>
    </row>
    <row r="121" spans="1:31" ht="63">
      <c r="A121" s="1382" t="s">
        <v>36</v>
      </c>
      <c r="B121" s="164" t="s">
        <v>35</v>
      </c>
      <c r="C121" s="245" t="s">
        <v>34</v>
      </c>
      <c r="D121" s="1382">
        <v>16</v>
      </c>
      <c r="E121" s="1382" t="s">
        <v>33</v>
      </c>
    </row>
    <row r="122" spans="1:31" ht="78.75">
      <c r="A122" s="1382" t="s">
        <v>32</v>
      </c>
      <c r="B122" s="164" t="s">
        <v>18</v>
      </c>
      <c r="C122" s="245" t="s">
        <v>29</v>
      </c>
      <c r="D122" s="1382">
        <v>0.02</v>
      </c>
      <c r="E122" s="1382" t="s">
        <v>31</v>
      </c>
    </row>
    <row r="123" spans="1:31" ht="78.75">
      <c r="A123" s="1382" t="s">
        <v>30</v>
      </c>
      <c r="B123" s="164" t="s">
        <v>18</v>
      </c>
      <c r="C123" s="245" t="s">
        <v>29</v>
      </c>
      <c r="D123" s="1382">
        <v>0.01</v>
      </c>
      <c r="E123" s="1382" t="s">
        <v>28</v>
      </c>
    </row>
    <row r="124" spans="1:31" ht="63">
      <c r="A124" s="1382" t="s">
        <v>27</v>
      </c>
      <c r="B124" s="164" t="s">
        <v>26</v>
      </c>
      <c r="C124" s="245" t="s">
        <v>25</v>
      </c>
      <c r="D124" s="1382">
        <v>0.01</v>
      </c>
      <c r="E124" s="1382" t="s">
        <v>24</v>
      </c>
    </row>
    <row r="125" spans="1:31" ht="47.25">
      <c r="A125" s="1382" t="s">
        <v>23</v>
      </c>
      <c r="B125" s="164" t="s">
        <v>22</v>
      </c>
      <c r="C125" s="245" t="s">
        <v>21</v>
      </c>
      <c r="D125" s="1382">
        <v>7.4999999999999997E-3</v>
      </c>
      <c r="E125" s="1382" t="s">
        <v>20</v>
      </c>
    </row>
    <row r="126" spans="1:31" ht="47.25">
      <c r="A126" s="1382" t="s">
        <v>19</v>
      </c>
      <c r="B126" s="164" t="s">
        <v>18</v>
      </c>
      <c r="C126" s="245" t="s">
        <v>17</v>
      </c>
      <c r="D126" s="1382">
        <v>3.0000000000000001E-3</v>
      </c>
      <c r="E126" s="1382" t="s">
        <v>16</v>
      </c>
    </row>
    <row r="127" spans="1:31">
      <c r="A127" s="1382"/>
      <c r="B127" s="164"/>
      <c r="C127" s="245"/>
      <c r="D127" s="1382"/>
      <c r="E127" s="1382"/>
    </row>
    <row r="128" spans="1:31" ht="47.25">
      <c r="A128" s="1382" t="s">
        <v>15</v>
      </c>
      <c r="B128" s="164" t="s">
        <v>14</v>
      </c>
      <c r="C128" s="245" t="s">
        <v>13</v>
      </c>
      <c r="D128" s="1382">
        <v>0.1</v>
      </c>
      <c r="E128" s="1382" t="s">
        <v>12</v>
      </c>
    </row>
    <row r="129" spans="1:6" ht="94.5">
      <c r="A129" s="1382" t="s">
        <v>11</v>
      </c>
      <c r="B129" s="164" t="s">
        <v>10</v>
      </c>
      <c r="C129" s="245" t="s">
        <v>9</v>
      </c>
      <c r="D129" s="1382">
        <v>0.2</v>
      </c>
      <c r="E129" s="1382" t="s">
        <v>8</v>
      </c>
    </row>
    <row r="130" spans="1:6" ht="94.5">
      <c r="A130" s="1382" t="s">
        <v>7</v>
      </c>
      <c r="B130" s="164" t="s">
        <v>6</v>
      </c>
      <c r="C130" s="245" t="s">
        <v>5</v>
      </c>
      <c r="D130" s="1382">
        <v>0.3</v>
      </c>
      <c r="E130" s="1380" t="s">
        <v>4</v>
      </c>
    </row>
    <row r="131" spans="1:6">
      <c r="A131" s="1382"/>
      <c r="B131" s="164"/>
      <c r="C131" s="164"/>
      <c r="D131" s="1382">
        <v>0</v>
      </c>
      <c r="E131" s="1382" t="s">
        <v>3</v>
      </c>
    </row>
    <row r="132" spans="1:6">
      <c r="A132" s="1386" t="s">
        <v>616</v>
      </c>
    </row>
    <row r="133" spans="1:6">
      <c r="B133" s="145" t="s">
        <v>540</v>
      </c>
      <c r="C133" s="145" t="s">
        <v>548</v>
      </c>
    </row>
    <row r="134" spans="1:6">
      <c r="A134" s="1443" t="s">
        <v>513</v>
      </c>
      <c r="B134" s="1444"/>
      <c r="C134" s="1444"/>
      <c r="D134" s="1444"/>
      <c r="E134" s="1433"/>
    </row>
    <row r="135" spans="1:6" ht="16.5" thickBot="1">
      <c r="A135" s="1379" t="s">
        <v>514</v>
      </c>
      <c r="B135" s="1379" t="s">
        <v>515</v>
      </c>
      <c r="C135" s="1379" t="s">
        <v>518</v>
      </c>
      <c r="D135" s="1379" t="s">
        <v>516</v>
      </c>
      <c r="F135" s="1379" t="s">
        <v>517</v>
      </c>
    </row>
    <row r="136" spans="1:6">
      <c r="A136" s="1424" t="s">
        <v>542</v>
      </c>
      <c r="B136" s="1438" t="s">
        <v>519</v>
      </c>
      <c r="C136" s="231" t="s">
        <v>520</v>
      </c>
      <c r="D136" s="231" t="s">
        <v>523</v>
      </c>
      <c r="E136" s="145" t="s">
        <v>700</v>
      </c>
      <c r="F136" s="232">
        <v>0.8</v>
      </c>
    </row>
    <row r="137" spans="1:6">
      <c r="A137" s="1425"/>
      <c r="B137" s="1422"/>
      <c r="C137" s="1380"/>
      <c r="D137" s="1380" t="s">
        <v>524</v>
      </c>
      <c r="E137" s="145" t="s">
        <v>701</v>
      </c>
      <c r="F137" s="233">
        <v>0.69</v>
      </c>
    </row>
    <row r="138" spans="1:6">
      <c r="A138" s="1425"/>
      <c r="B138" s="1422"/>
      <c r="C138" s="1421" t="s">
        <v>521</v>
      </c>
      <c r="D138" s="1380" t="s">
        <v>523</v>
      </c>
      <c r="E138" s="145" t="s">
        <v>702</v>
      </c>
      <c r="F138" s="233">
        <v>0.57999999999999996</v>
      </c>
    </row>
    <row r="139" spans="1:6">
      <c r="A139" s="1425"/>
      <c r="B139" s="1422"/>
      <c r="C139" s="1427"/>
      <c r="D139" s="1380" t="s">
        <v>525</v>
      </c>
      <c r="E139" s="145" t="s">
        <v>703</v>
      </c>
      <c r="F139" s="233">
        <v>0.48</v>
      </c>
    </row>
    <row r="140" spans="1:6">
      <c r="A140" s="1425"/>
      <c r="B140" s="1427"/>
      <c r="C140" s="1380" t="s">
        <v>522</v>
      </c>
      <c r="D140" s="1380" t="s">
        <v>526</v>
      </c>
      <c r="E140" s="145" t="s">
        <v>704</v>
      </c>
      <c r="F140" s="233">
        <v>0.64</v>
      </c>
    </row>
    <row r="141" spans="1:6">
      <c r="A141" s="1425"/>
      <c r="B141" s="1382" t="s">
        <v>527</v>
      </c>
      <c r="C141" s="1382" t="s">
        <v>528</v>
      </c>
      <c r="D141" s="1380" t="s">
        <v>529</v>
      </c>
      <c r="E141" s="234" t="s">
        <v>527</v>
      </c>
      <c r="F141" s="235">
        <v>1.1000000000000001</v>
      </c>
    </row>
    <row r="142" spans="1:6">
      <c r="A142" s="1425"/>
      <c r="B142" s="1380" t="s">
        <v>530</v>
      </c>
      <c r="C142" s="1380" t="s">
        <v>528</v>
      </c>
      <c r="D142" s="1380" t="s">
        <v>529</v>
      </c>
      <c r="E142" s="234" t="s">
        <v>705</v>
      </c>
      <c r="F142" s="233">
        <v>1</v>
      </c>
    </row>
    <row r="143" spans="1:6" ht="15.6" customHeight="1">
      <c r="A143" s="1425"/>
      <c r="B143" s="1421" t="s">
        <v>531</v>
      </c>
      <c r="C143" s="1420" t="s">
        <v>533</v>
      </c>
      <c r="D143" s="1380" t="s">
        <v>523</v>
      </c>
      <c r="E143" s="145" t="s">
        <v>706</v>
      </c>
      <c r="F143" s="233">
        <v>0.93</v>
      </c>
    </row>
    <row r="144" spans="1:6">
      <c r="A144" s="1425"/>
      <c r="B144" s="1422"/>
      <c r="C144" s="1420"/>
      <c r="D144" s="1380" t="s">
        <v>532</v>
      </c>
      <c r="E144" s="145" t="s">
        <v>707</v>
      </c>
      <c r="F144" s="233">
        <v>0.82</v>
      </c>
    </row>
    <row r="145" spans="1:36" ht="16.5" thickBot="1">
      <c r="A145" s="1425"/>
      <c r="B145" s="1422"/>
      <c r="C145" s="1379" t="s">
        <v>534</v>
      </c>
      <c r="D145" s="1379" t="s">
        <v>526</v>
      </c>
      <c r="E145" s="145" t="s">
        <v>708</v>
      </c>
      <c r="F145" s="236">
        <v>0.88</v>
      </c>
    </row>
    <row r="146" spans="1:36">
      <c r="A146" s="1428" t="s">
        <v>535</v>
      </c>
      <c r="B146" s="1381" t="s">
        <v>536</v>
      </c>
      <c r="C146" s="231" t="s">
        <v>528</v>
      </c>
      <c r="D146" s="231" t="s">
        <v>529</v>
      </c>
      <c r="E146" s="145" t="s">
        <v>536</v>
      </c>
      <c r="F146" s="237">
        <v>1</v>
      </c>
    </row>
    <row r="147" spans="1:36" s="224" customFormat="1">
      <c r="A147" s="1429"/>
      <c r="B147" s="1420" t="s">
        <v>537</v>
      </c>
      <c r="C147" s="1420" t="s">
        <v>538</v>
      </c>
      <c r="D147" s="1380" t="s">
        <v>523</v>
      </c>
      <c r="E147" s="145" t="s">
        <v>709</v>
      </c>
      <c r="F147" s="235">
        <v>1.02</v>
      </c>
      <c r="G147" s="145"/>
      <c r="H147" s="145"/>
      <c r="I147" s="145"/>
      <c r="J147" s="145"/>
      <c r="K147" s="145"/>
      <c r="L147" s="145"/>
      <c r="M147" s="145"/>
      <c r="N147" s="229"/>
      <c r="O147" s="145"/>
      <c r="P147" s="145"/>
      <c r="Q147" s="145"/>
      <c r="R147" s="145"/>
      <c r="S147" s="145"/>
      <c r="T147" s="145"/>
      <c r="U147" s="145"/>
      <c r="V147" s="145"/>
      <c r="W147" s="145"/>
      <c r="X147" s="145"/>
      <c r="Y147" s="145"/>
      <c r="Z147" s="145"/>
      <c r="AA147" s="230"/>
      <c r="AB147" s="145"/>
      <c r="AC147" s="145"/>
      <c r="AD147" s="145"/>
      <c r="AE147" s="145"/>
      <c r="AJ147" s="154"/>
    </row>
    <row r="148" spans="1:36">
      <c r="A148" s="1429"/>
      <c r="B148" s="1420"/>
      <c r="C148" s="1420"/>
      <c r="D148" s="1380" t="s">
        <v>524</v>
      </c>
      <c r="E148" s="145" t="s">
        <v>710</v>
      </c>
      <c r="F148" s="235">
        <v>1.08</v>
      </c>
    </row>
    <row r="149" spans="1:36">
      <c r="A149" s="1429"/>
      <c r="B149" s="1420"/>
      <c r="C149" s="1420" t="s">
        <v>539</v>
      </c>
      <c r="D149" s="1380" t="s">
        <v>523</v>
      </c>
      <c r="E149" s="145" t="s">
        <v>711</v>
      </c>
      <c r="F149" s="235">
        <v>1.0900000000000001</v>
      </c>
    </row>
    <row r="150" spans="1:36">
      <c r="A150" s="1429"/>
      <c r="B150" s="1420"/>
      <c r="C150" s="1420"/>
      <c r="D150" s="1380" t="s">
        <v>525</v>
      </c>
      <c r="E150" s="145" t="s">
        <v>712</v>
      </c>
      <c r="F150" s="235">
        <v>1.1499999999999999</v>
      </c>
    </row>
    <row r="151" spans="1:36">
      <c r="A151" s="1429"/>
      <c r="B151" s="1420"/>
      <c r="C151" s="1380" t="s">
        <v>522</v>
      </c>
      <c r="D151" s="1380" t="s">
        <v>526</v>
      </c>
      <c r="E151" s="145" t="s">
        <v>713</v>
      </c>
      <c r="F151" s="235">
        <v>1.0900000000000001</v>
      </c>
    </row>
    <row r="152" spans="1:36">
      <c r="A152" s="1429"/>
      <c r="B152" s="1420" t="s">
        <v>541</v>
      </c>
      <c r="C152" s="1420" t="s">
        <v>538</v>
      </c>
      <c r="D152" s="1380" t="s">
        <v>523</v>
      </c>
      <c r="E152" s="145" t="s">
        <v>714</v>
      </c>
      <c r="F152" s="235">
        <v>1.1000000000000001</v>
      </c>
    </row>
    <row r="153" spans="1:36">
      <c r="A153" s="1429"/>
      <c r="B153" s="1420"/>
      <c r="C153" s="1420"/>
      <c r="D153" s="1380" t="s">
        <v>524</v>
      </c>
      <c r="E153" s="145" t="s">
        <v>715</v>
      </c>
      <c r="F153" s="235">
        <v>1.1499999999999999</v>
      </c>
    </row>
    <row r="154" spans="1:36">
      <c r="A154" s="1429"/>
      <c r="B154" s="1420"/>
      <c r="C154" s="1420" t="s">
        <v>539</v>
      </c>
      <c r="D154" s="1380" t="s">
        <v>523</v>
      </c>
      <c r="E154" s="145" t="s">
        <v>716</v>
      </c>
      <c r="F154" s="235">
        <v>1.17</v>
      </c>
    </row>
    <row r="155" spans="1:36">
      <c r="A155" s="1429"/>
      <c r="B155" s="1420"/>
      <c r="C155" s="1420"/>
      <c r="D155" s="1380" t="s">
        <v>525</v>
      </c>
      <c r="E155" s="145" t="s">
        <v>717</v>
      </c>
      <c r="F155" s="235">
        <v>1.22</v>
      </c>
    </row>
    <row r="156" spans="1:36" ht="16.5" thickBot="1">
      <c r="A156" s="1442"/>
      <c r="B156" s="1421"/>
      <c r="C156" s="1379" t="s">
        <v>522</v>
      </c>
      <c r="D156" s="1379" t="s">
        <v>526</v>
      </c>
      <c r="E156" s="145" t="s">
        <v>718</v>
      </c>
      <c r="F156" s="238">
        <v>1.1599999999999999</v>
      </c>
    </row>
    <row r="157" spans="1:36">
      <c r="A157" s="1428" t="s">
        <v>543</v>
      </c>
      <c r="B157" s="1439" t="s">
        <v>544</v>
      </c>
      <c r="C157" s="1432" t="s">
        <v>538</v>
      </c>
      <c r="D157" s="231" t="s">
        <v>523</v>
      </c>
      <c r="E157" s="145" t="s">
        <v>719</v>
      </c>
      <c r="F157" s="237">
        <v>0.95</v>
      </c>
    </row>
    <row r="158" spans="1:36">
      <c r="A158" s="1429"/>
      <c r="B158" s="1419"/>
      <c r="C158" s="1433"/>
      <c r="D158" s="1380" t="s">
        <v>524</v>
      </c>
      <c r="E158" s="145" t="s">
        <v>720</v>
      </c>
      <c r="F158" s="235">
        <v>0.92</v>
      </c>
    </row>
    <row r="159" spans="1:36">
      <c r="A159" s="1429"/>
      <c r="B159" s="1419"/>
      <c r="C159" s="1420" t="s">
        <v>539</v>
      </c>
      <c r="D159" s="1380" t="s">
        <v>523</v>
      </c>
      <c r="E159" s="145" t="s">
        <v>721</v>
      </c>
      <c r="F159" s="235">
        <v>0.95</v>
      </c>
    </row>
    <row r="160" spans="1:36">
      <c r="A160" s="1429"/>
      <c r="B160" s="1419"/>
      <c r="C160" s="1420"/>
      <c r="D160" s="1380" t="s">
        <v>525</v>
      </c>
      <c r="E160" s="145" t="s">
        <v>722</v>
      </c>
      <c r="F160" s="235">
        <v>0.92</v>
      </c>
    </row>
    <row r="161" spans="1:8">
      <c r="A161" s="1429"/>
      <c r="B161" s="1419"/>
      <c r="C161" s="1380" t="s">
        <v>522</v>
      </c>
      <c r="D161" s="1380" t="s">
        <v>526</v>
      </c>
      <c r="E161" s="145" t="s">
        <v>723</v>
      </c>
      <c r="F161" s="235">
        <v>0.94</v>
      </c>
    </row>
    <row r="162" spans="1:8" ht="15.6" customHeight="1">
      <c r="A162" s="1429"/>
      <c r="B162" s="1380" t="s">
        <v>545</v>
      </c>
      <c r="C162" s="1382" t="s">
        <v>528</v>
      </c>
      <c r="D162" s="1380" t="s">
        <v>529</v>
      </c>
      <c r="E162" s="145" t="s">
        <v>724</v>
      </c>
      <c r="F162" s="235">
        <v>1</v>
      </c>
    </row>
    <row r="163" spans="1:8" ht="15.95" customHeight="1">
      <c r="A163" s="1429"/>
      <c r="B163" s="1420" t="s">
        <v>546</v>
      </c>
      <c r="C163" s="1420" t="s">
        <v>533</v>
      </c>
      <c r="D163" s="1380" t="s">
        <v>523</v>
      </c>
      <c r="E163" s="145" t="s">
        <v>725</v>
      </c>
      <c r="F163" s="235">
        <v>1.04</v>
      </c>
    </row>
    <row r="164" spans="1:8">
      <c r="A164" s="1429"/>
      <c r="B164" s="1420"/>
      <c r="C164" s="1420"/>
      <c r="D164" s="1380" t="s">
        <v>532</v>
      </c>
      <c r="E164" s="145" t="s">
        <v>726</v>
      </c>
      <c r="F164" s="235">
        <v>1.1100000000000001</v>
      </c>
    </row>
    <row r="165" spans="1:8">
      <c r="A165" s="1429"/>
      <c r="B165" s="1420"/>
      <c r="C165" s="248" t="s">
        <v>534</v>
      </c>
      <c r="D165" s="1379" t="s">
        <v>526</v>
      </c>
      <c r="E165" s="145" t="s">
        <v>727</v>
      </c>
      <c r="F165" s="235">
        <v>1.08</v>
      </c>
    </row>
    <row r="166" spans="1:8" ht="15.6" customHeight="1">
      <c r="A166" s="1429"/>
      <c r="B166" s="1420" t="s">
        <v>547</v>
      </c>
      <c r="C166" s="1433" t="s">
        <v>533</v>
      </c>
      <c r="D166" s="1380" t="s">
        <v>523</v>
      </c>
      <c r="E166" s="145" t="s">
        <v>729</v>
      </c>
      <c r="F166" s="235">
        <v>1.37</v>
      </c>
    </row>
    <row r="167" spans="1:8">
      <c r="A167" s="1429"/>
      <c r="B167" s="1420"/>
      <c r="C167" s="1433"/>
      <c r="D167" s="1380" t="s">
        <v>532</v>
      </c>
      <c r="E167" s="145" t="s">
        <v>728</v>
      </c>
      <c r="F167" s="235">
        <v>1.44</v>
      </c>
    </row>
    <row r="168" spans="1:8" ht="16.5" thickBot="1">
      <c r="A168" s="1430"/>
      <c r="B168" s="1431"/>
      <c r="C168" s="249" t="s">
        <v>534</v>
      </c>
      <c r="D168" s="1384" t="s">
        <v>526</v>
      </c>
      <c r="E168" s="145" t="s">
        <v>730</v>
      </c>
      <c r="F168" s="239">
        <v>1.41</v>
      </c>
    </row>
    <row r="171" spans="1:8">
      <c r="B171" s="145" t="s">
        <v>549</v>
      </c>
      <c r="C171" s="145" t="s">
        <v>550</v>
      </c>
    </row>
    <row r="172" spans="1:8">
      <c r="A172" s="1420" t="s">
        <v>552</v>
      </c>
      <c r="B172" s="1420"/>
      <c r="C172" s="1420"/>
      <c r="D172" s="1420"/>
      <c r="E172" s="1420"/>
      <c r="F172" s="1420"/>
    </row>
    <row r="173" spans="1:8" ht="16.5" thickBot="1">
      <c r="A173" s="1383" t="s">
        <v>554</v>
      </c>
      <c r="B173" s="1383" t="s">
        <v>555</v>
      </c>
      <c r="C173" s="1383" t="s">
        <v>556</v>
      </c>
      <c r="E173" s="1383" t="s">
        <v>557</v>
      </c>
      <c r="G173" s="1445" t="s">
        <v>567</v>
      </c>
      <c r="H173" s="1446"/>
    </row>
    <row r="174" spans="1:8" ht="16.5" thickBot="1">
      <c r="A174" s="250" t="s">
        <v>553</v>
      </c>
      <c r="B174" s="251" t="s">
        <v>528</v>
      </c>
      <c r="C174" s="251" t="s">
        <v>528</v>
      </c>
      <c r="E174" s="252">
        <v>1</v>
      </c>
      <c r="G174" s="1447" t="s">
        <v>559</v>
      </c>
      <c r="H174" s="1448"/>
    </row>
    <row r="175" spans="1:8">
      <c r="A175" s="1424" t="s">
        <v>563</v>
      </c>
      <c r="B175" s="231" t="s">
        <v>564</v>
      </c>
      <c r="C175" s="1381" t="s">
        <v>528</v>
      </c>
      <c r="D175" s="145" t="s">
        <v>732</v>
      </c>
      <c r="E175" s="253">
        <v>1</v>
      </c>
      <c r="G175" s="1449" t="s">
        <v>560</v>
      </c>
      <c r="H175" s="1450"/>
    </row>
    <row r="176" spans="1:8">
      <c r="A176" s="1425"/>
      <c r="B176" s="1420" t="s">
        <v>561</v>
      </c>
      <c r="C176" s="1380" t="s">
        <v>538</v>
      </c>
      <c r="D176" s="145" t="s">
        <v>733</v>
      </c>
      <c r="E176" s="254">
        <v>0.95</v>
      </c>
      <c r="G176" s="1451" t="s">
        <v>565</v>
      </c>
      <c r="H176" s="1452"/>
    </row>
    <row r="177" spans="1:8">
      <c r="A177" s="1425"/>
      <c r="B177" s="1420"/>
      <c r="C177" s="1380" t="s">
        <v>539</v>
      </c>
      <c r="D177" s="145" t="s">
        <v>735</v>
      </c>
      <c r="E177" s="254">
        <v>0.97</v>
      </c>
      <c r="G177" s="1453"/>
      <c r="H177" s="1454"/>
    </row>
    <row r="178" spans="1:8">
      <c r="A178" s="1425"/>
      <c r="B178" s="1420"/>
      <c r="C178" s="1380" t="s">
        <v>522</v>
      </c>
      <c r="D178" s="145" t="s">
        <v>734</v>
      </c>
      <c r="E178" s="225">
        <v>0.96</v>
      </c>
      <c r="G178" s="1455"/>
      <c r="H178" s="1456"/>
    </row>
    <row r="179" spans="1:8">
      <c r="A179" s="1425"/>
      <c r="B179" s="1380" t="s">
        <v>562</v>
      </c>
      <c r="C179" s="1382" t="s">
        <v>528</v>
      </c>
      <c r="D179" s="145" t="s">
        <v>736</v>
      </c>
      <c r="E179" s="225">
        <v>0.7</v>
      </c>
      <c r="G179" s="1443" t="s">
        <v>566</v>
      </c>
      <c r="H179" s="1457"/>
    </row>
    <row r="180" spans="1:8">
      <c r="A180" s="1425"/>
      <c r="B180" s="1421" t="s">
        <v>568</v>
      </c>
      <c r="C180" s="1382" t="s">
        <v>538</v>
      </c>
      <c r="D180" s="145" t="s">
        <v>737</v>
      </c>
      <c r="E180" s="1382">
        <v>1.1399999999999999</v>
      </c>
      <c r="G180" s="1451" t="s">
        <v>570</v>
      </c>
      <c r="H180" s="1452"/>
    </row>
    <row r="181" spans="1:8">
      <c r="A181" s="1425"/>
      <c r="B181" s="1422"/>
      <c r="C181" s="1382" t="s">
        <v>569</v>
      </c>
      <c r="D181" s="145" t="s">
        <v>738</v>
      </c>
      <c r="E181" s="1382">
        <v>1.17</v>
      </c>
      <c r="G181" s="1453"/>
      <c r="H181" s="1454"/>
    </row>
    <row r="182" spans="1:8" ht="16.5" thickBot="1">
      <c r="A182" s="1426"/>
      <c r="B182" s="1423"/>
      <c r="C182" s="240" t="s">
        <v>534</v>
      </c>
      <c r="D182" s="145" t="s">
        <v>740</v>
      </c>
      <c r="E182" s="240">
        <v>1.1599999999999999</v>
      </c>
      <c r="G182" s="1458"/>
      <c r="H182" s="1459"/>
    </row>
    <row r="183" spans="1:8" ht="15.6" customHeight="1">
      <c r="A183" s="1440" t="s">
        <v>571</v>
      </c>
      <c r="B183" s="1381" t="s">
        <v>545</v>
      </c>
      <c r="C183" s="1381" t="s">
        <v>528</v>
      </c>
      <c r="D183" s="145" t="s">
        <v>739</v>
      </c>
      <c r="E183" s="1381">
        <v>1</v>
      </c>
      <c r="G183" s="1460" t="s">
        <v>731</v>
      </c>
      <c r="H183" s="1461"/>
    </row>
    <row r="184" spans="1:8" ht="16.5" thickBot="1">
      <c r="A184" s="1441"/>
      <c r="B184" s="240" t="s">
        <v>572</v>
      </c>
      <c r="C184" s="240" t="s">
        <v>528</v>
      </c>
      <c r="D184" s="145" t="s">
        <v>572</v>
      </c>
      <c r="E184" s="240">
        <v>1.1100000000000001</v>
      </c>
      <c r="G184" s="1458"/>
      <c r="H184" s="1459"/>
    </row>
    <row r="185" spans="1:8">
      <c r="D185" s="145" t="s">
        <v>741</v>
      </c>
      <c r="E185" s="230">
        <v>1</v>
      </c>
    </row>
    <row r="187" spans="1:8">
      <c r="A187" s="244" t="s">
        <v>616</v>
      </c>
    </row>
    <row r="188" spans="1:8">
      <c r="B188" s="145" t="s">
        <v>574</v>
      </c>
    </row>
    <row r="189" spans="1:8">
      <c r="A189" s="1674" t="s">
        <v>575</v>
      </c>
      <c r="B189" s="1675"/>
      <c r="C189" s="1675"/>
      <c r="D189" s="1675"/>
      <c r="E189" s="1676"/>
    </row>
    <row r="190" spans="1:8">
      <c r="A190" s="1606" t="s">
        <v>585</v>
      </c>
      <c r="B190" s="1638" t="s">
        <v>555</v>
      </c>
      <c r="C190" s="1606" t="s">
        <v>576</v>
      </c>
      <c r="D190" s="1606" t="s">
        <v>577</v>
      </c>
      <c r="E190" s="1606" t="s">
        <v>578</v>
      </c>
    </row>
    <row r="191" spans="1:8">
      <c r="A191" s="1621" t="s">
        <v>579</v>
      </c>
      <c r="B191" s="1650" t="s">
        <v>580</v>
      </c>
      <c r="C191" s="1606" t="s">
        <v>558</v>
      </c>
      <c r="D191" s="1606">
        <v>1</v>
      </c>
      <c r="E191" s="1677" t="s">
        <v>583</v>
      </c>
    </row>
    <row r="192" spans="1:8">
      <c r="A192" s="1621"/>
      <c r="B192" s="1650"/>
      <c r="C192" s="1606" t="s">
        <v>569</v>
      </c>
      <c r="D192" s="1606">
        <v>1</v>
      </c>
      <c r="E192" s="1678"/>
    </row>
    <row r="193" spans="1:5">
      <c r="A193" s="1621"/>
      <c r="B193" s="1638" t="s">
        <v>581</v>
      </c>
      <c r="C193" s="1606" t="s">
        <v>521</v>
      </c>
      <c r="D193" s="1606">
        <v>0.64</v>
      </c>
      <c r="E193" s="1677" t="s">
        <v>584</v>
      </c>
    </row>
    <row r="194" spans="1:5">
      <c r="A194" s="1621"/>
      <c r="B194" s="1638" t="s">
        <v>582</v>
      </c>
      <c r="C194" s="1606" t="s">
        <v>521</v>
      </c>
      <c r="D194" s="1606">
        <v>0.8</v>
      </c>
      <c r="E194" s="1678"/>
    </row>
    <row r="196" spans="1:5">
      <c r="A196" s="244" t="s">
        <v>615</v>
      </c>
    </row>
    <row r="197" spans="1:5" ht="15.6" customHeight="1">
      <c r="A197" s="1434" t="s">
        <v>208</v>
      </c>
      <c r="B197" s="1434"/>
      <c r="C197" s="1382">
        <v>1.3</v>
      </c>
    </row>
    <row r="199" spans="1:5">
      <c r="A199" s="145" t="s">
        <v>149</v>
      </c>
      <c r="B199" s="145" t="s">
        <v>185</v>
      </c>
    </row>
    <row r="200" spans="1:5" ht="15.6" customHeight="1">
      <c r="A200" s="1637"/>
      <c r="B200" s="1637"/>
      <c r="C200" s="1605" t="s">
        <v>183</v>
      </c>
      <c r="D200" s="1605" t="s">
        <v>184</v>
      </c>
    </row>
    <row r="201" spans="1:5">
      <c r="A201" s="1637"/>
      <c r="B201" s="1637" t="s">
        <v>664</v>
      </c>
      <c r="C201" s="1605" t="s">
        <v>182</v>
      </c>
      <c r="D201" s="1605" t="s">
        <v>182</v>
      </c>
    </row>
    <row r="202" spans="1:5">
      <c r="A202" s="1621" t="s">
        <v>174</v>
      </c>
      <c r="B202" s="1679" t="s">
        <v>176</v>
      </c>
      <c r="C202" s="1613">
        <v>0.78</v>
      </c>
      <c r="D202" s="1623">
        <v>1</v>
      </c>
    </row>
    <row r="203" spans="1:5" ht="15.75" customHeight="1">
      <c r="A203" s="1621"/>
      <c r="B203" s="1679" t="s">
        <v>177</v>
      </c>
      <c r="C203" s="1616"/>
      <c r="D203" s="1623">
        <v>0.6</v>
      </c>
    </row>
    <row r="204" spans="1:5" ht="15.75" customHeight="1">
      <c r="A204" s="1621"/>
      <c r="B204" s="1679" t="s">
        <v>178</v>
      </c>
      <c r="C204" s="1619"/>
      <c r="D204" s="1623">
        <v>0.52</v>
      </c>
    </row>
    <row r="205" spans="1:5">
      <c r="A205" s="1650" t="s">
        <v>175</v>
      </c>
      <c r="B205" s="1679" t="s">
        <v>179</v>
      </c>
      <c r="C205" s="1613">
        <v>0.27</v>
      </c>
      <c r="D205" s="1623">
        <v>0.28000000000000003</v>
      </c>
    </row>
    <row r="206" spans="1:5">
      <c r="A206" s="1650"/>
      <c r="B206" s="1679" t="s">
        <v>180</v>
      </c>
      <c r="C206" s="1616"/>
      <c r="D206" s="1623">
        <v>0.25</v>
      </c>
    </row>
    <row r="207" spans="1:5" ht="15.75" customHeight="1">
      <c r="A207" s="1650"/>
      <c r="B207" s="1679" t="s">
        <v>181</v>
      </c>
      <c r="C207" s="1619"/>
      <c r="D207" s="1623">
        <v>0.31</v>
      </c>
    </row>
    <row r="208" spans="1:5" ht="15.75" customHeight="1">
      <c r="A208" s="1607" t="s">
        <v>133</v>
      </c>
      <c r="B208" s="1608"/>
      <c r="C208" s="1623">
        <v>0</v>
      </c>
      <c r="D208" s="1623">
        <v>0</v>
      </c>
    </row>
    <row r="211" spans="1:4" ht="15.75" customHeight="1">
      <c r="A211" s="145" t="s">
        <v>192</v>
      </c>
    </row>
    <row r="212" spans="1:4">
      <c r="A212" s="1637" t="s">
        <v>193</v>
      </c>
      <c r="B212" s="1637"/>
      <c r="C212" s="1605" t="s">
        <v>183</v>
      </c>
      <c r="D212" s="1605" t="s">
        <v>184</v>
      </c>
    </row>
    <row r="213" spans="1:4">
      <c r="A213" s="1637"/>
      <c r="B213" s="1680" t="s">
        <v>187</v>
      </c>
      <c r="C213" s="1605" t="s">
        <v>186</v>
      </c>
      <c r="D213" s="1605" t="s">
        <v>186</v>
      </c>
    </row>
    <row r="214" spans="1:4" ht="31.5">
      <c r="A214" s="1637"/>
      <c r="B214" s="1680" t="s">
        <v>190</v>
      </c>
      <c r="C214" s="1613">
        <v>1.22</v>
      </c>
      <c r="D214" s="1606">
        <v>1</v>
      </c>
    </row>
    <row r="215" spans="1:4" ht="31.5">
      <c r="A215" s="1637"/>
      <c r="B215" s="1680" t="s">
        <v>191</v>
      </c>
      <c r="C215" s="1616"/>
      <c r="D215" s="1606">
        <v>0.68</v>
      </c>
    </row>
    <row r="216" spans="1:4">
      <c r="A216" s="1637"/>
      <c r="B216" s="1680" t="s">
        <v>188</v>
      </c>
      <c r="C216" s="1619"/>
      <c r="D216" s="1606">
        <v>1.9</v>
      </c>
    </row>
    <row r="217" spans="1:4" ht="15.6" customHeight="1">
      <c r="A217" s="1637"/>
      <c r="B217" s="1637"/>
      <c r="C217" s="1637"/>
      <c r="D217" s="1637"/>
    </row>
    <row r="218" spans="1:4">
      <c r="A218" s="1637"/>
      <c r="B218" s="1637" t="s">
        <v>189</v>
      </c>
      <c r="C218" s="1637"/>
      <c r="D218" s="1637"/>
    </row>
    <row r="219" spans="1:4" ht="15.6" customHeight="1"/>
    <row r="220" spans="1:4">
      <c r="A220" s="145" t="s">
        <v>194</v>
      </c>
    </row>
    <row r="221" spans="1:4" ht="15.6" customHeight="1">
      <c r="A221" s="145" t="s">
        <v>195</v>
      </c>
    </row>
    <row r="223" spans="1:4">
      <c r="B223" s="175" t="s">
        <v>202</v>
      </c>
      <c r="C223" s="255" t="s">
        <v>196</v>
      </c>
    </row>
    <row r="224" spans="1:4" ht="31.5">
      <c r="B224" s="241" t="s">
        <v>197</v>
      </c>
      <c r="C224" s="1382">
        <v>1</v>
      </c>
    </row>
    <row r="225" spans="1:31" ht="31.5">
      <c r="B225" s="241" t="s">
        <v>198</v>
      </c>
      <c r="C225" s="1382">
        <v>0.28999999999999998</v>
      </c>
    </row>
    <row r="226" spans="1:31">
      <c r="B226" s="241" t="s">
        <v>199</v>
      </c>
      <c r="C226" s="1382">
        <v>0.05</v>
      </c>
    </row>
    <row r="227" spans="1:31">
      <c r="B227" s="241" t="s">
        <v>200</v>
      </c>
      <c r="C227" s="1382">
        <v>0.14000000000000001</v>
      </c>
    </row>
    <row r="228" spans="1:31">
      <c r="B228" s="175" t="s">
        <v>201</v>
      </c>
      <c r="C228" s="1382">
        <v>0.5</v>
      </c>
    </row>
    <row r="229" spans="1:31">
      <c r="B229" s="241" t="s">
        <v>204</v>
      </c>
      <c r="C229" s="1382">
        <v>0</v>
      </c>
    </row>
    <row r="231" spans="1:31" ht="15.6" customHeight="1">
      <c r="A231" s="1435" t="s">
        <v>784</v>
      </c>
      <c r="B231" s="277" t="s">
        <v>883</v>
      </c>
      <c r="C231" s="278">
        <v>1</v>
      </c>
      <c r="D231" s="275"/>
    </row>
    <row r="232" spans="1:31">
      <c r="A232" s="1436"/>
      <c r="B232" s="277" t="s">
        <v>884</v>
      </c>
      <c r="C232" s="277">
        <v>0.03</v>
      </c>
      <c r="D232" s="275"/>
      <c r="J232" s="11"/>
      <c r="K232" s="11"/>
      <c r="L232" s="11"/>
      <c r="M232" s="11"/>
      <c r="N232" s="260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261"/>
      <c r="AB232" s="11"/>
      <c r="AC232" s="11"/>
      <c r="AD232" s="11"/>
      <c r="AE232" s="11"/>
    </row>
    <row r="233" spans="1:31">
      <c r="A233" s="1437"/>
      <c r="B233" s="279" t="s">
        <v>824</v>
      </c>
      <c r="C233" s="279">
        <v>0.7</v>
      </c>
      <c r="D233" s="275"/>
      <c r="J233" s="11"/>
      <c r="K233" s="11"/>
      <c r="L233" s="11"/>
      <c r="M233" s="11"/>
      <c r="N233" s="260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261"/>
      <c r="AB233" s="11"/>
      <c r="AC233" s="11"/>
      <c r="AD233" s="11"/>
      <c r="AE233" s="11"/>
    </row>
    <row r="234" spans="1:31">
      <c r="A234" s="275"/>
      <c r="B234" s="275"/>
      <c r="C234" s="275"/>
      <c r="D234" s="275"/>
    </row>
    <row r="260" spans="1:36" s="11" customFormat="1">
      <c r="A260" s="145"/>
      <c r="B260" s="145"/>
      <c r="C260" s="145"/>
      <c r="D260" s="145"/>
      <c r="E260" s="145"/>
      <c r="F260" s="145"/>
      <c r="G260" s="145"/>
      <c r="H260" s="145"/>
      <c r="I260" s="145"/>
      <c r="N260" s="260"/>
      <c r="AA260" s="261"/>
      <c r="AJ260" s="262"/>
    </row>
    <row r="261" spans="1:36" s="11" customFormat="1">
      <c r="A261" s="145"/>
      <c r="B261" s="145"/>
      <c r="C261" s="145"/>
      <c r="D261" s="145"/>
      <c r="E261" s="145"/>
      <c r="F261" s="145"/>
      <c r="G261" s="145"/>
      <c r="H261" s="145"/>
      <c r="I261" s="145"/>
      <c r="N261" s="260"/>
      <c r="AA261" s="261"/>
      <c r="AJ261" s="262"/>
    </row>
  </sheetData>
  <mergeCells count="73">
    <mergeCell ref="G180:H182"/>
    <mergeCell ref="G183:H184"/>
    <mergeCell ref="A189:E189"/>
    <mergeCell ref="E191:E192"/>
    <mergeCell ref="E193:E194"/>
    <mergeCell ref="A191:A194"/>
    <mergeCell ref="B191:B192"/>
    <mergeCell ref="G173:H173"/>
    <mergeCell ref="G174:H174"/>
    <mergeCell ref="G175:H175"/>
    <mergeCell ref="G176:H178"/>
    <mergeCell ref="G179:H179"/>
    <mergeCell ref="G47:G50"/>
    <mergeCell ref="AC85:AE85"/>
    <mergeCell ref="B86:F86"/>
    <mergeCell ref="AC86:AE86"/>
    <mergeCell ref="A134:E134"/>
    <mergeCell ref="A231:A233"/>
    <mergeCell ref="B136:B140"/>
    <mergeCell ref="C138:C139"/>
    <mergeCell ref="C143:C144"/>
    <mergeCell ref="B143:B145"/>
    <mergeCell ref="A136:A145"/>
    <mergeCell ref="B157:B161"/>
    <mergeCell ref="B163:B165"/>
    <mergeCell ref="C152:C153"/>
    <mergeCell ref="C154:C155"/>
    <mergeCell ref="B152:B156"/>
    <mergeCell ref="A183:A184"/>
    <mergeCell ref="C163:C164"/>
    <mergeCell ref="C166:C167"/>
    <mergeCell ref="A146:A156"/>
    <mergeCell ref="C214:C216"/>
    <mergeCell ref="B83:F83"/>
    <mergeCell ref="AC83:AE83"/>
    <mergeCell ref="B84:F84"/>
    <mergeCell ref="AC84:AE84"/>
    <mergeCell ref="B85:F85"/>
    <mergeCell ref="A197:B197"/>
    <mergeCell ref="A202:A204"/>
    <mergeCell ref="A205:A207"/>
    <mergeCell ref="A208:B208"/>
    <mergeCell ref="C202:C204"/>
    <mergeCell ref="C205:C207"/>
    <mergeCell ref="C147:C148"/>
    <mergeCell ref="A157:A168"/>
    <mergeCell ref="B166:B168"/>
    <mergeCell ref="C157:C158"/>
    <mergeCell ref="C159:C160"/>
    <mergeCell ref="B147:B151"/>
    <mergeCell ref="C149:C150"/>
    <mergeCell ref="B180:B182"/>
    <mergeCell ref="A175:A182"/>
    <mergeCell ref="A107:A109"/>
    <mergeCell ref="A88:A90"/>
    <mergeCell ref="B176:B178"/>
    <mergeCell ref="A172:F172"/>
    <mergeCell ref="A21:A23"/>
    <mergeCell ref="A55:A62"/>
    <mergeCell ref="A63:A65"/>
    <mergeCell ref="A80:A82"/>
    <mergeCell ref="I38:M38"/>
    <mergeCell ref="G39:G42"/>
    <mergeCell ref="F39:F42"/>
    <mergeCell ref="B80:AE80"/>
    <mergeCell ref="B81:F81"/>
    <mergeCell ref="G81:AB81"/>
    <mergeCell ref="AC81:AE81"/>
    <mergeCell ref="F58:I58"/>
    <mergeCell ref="G56:I56"/>
    <mergeCell ref="F43:F46"/>
    <mergeCell ref="G43:G46"/>
    <mergeCell ref="F47:F50"/>
  </mergeCells>
  <phoneticPr fontId="42" type="noConversion"/>
  <pageMargins left="0.75" right="0.75" top="1" bottom="1" header="0.5" footer="0.5"/>
  <pageSetup paperSize="9" scale="10" orientation="landscape" horizontalDpi="4294967292" verticalDpi="4294967292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2">
    <tabColor theme="0" tint="-0.499984740745262"/>
  </sheetPr>
  <dimension ref="A2:I64"/>
  <sheetViews>
    <sheetView topLeftCell="A40" zoomScale="90" zoomScaleNormal="90" workbookViewId="0">
      <selection activeCell="D56" sqref="D56"/>
    </sheetView>
  </sheetViews>
  <sheetFormatPr defaultRowHeight="15.75"/>
  <cols>
    <col min="1" max="1" width="21.875" customWidth="1"/>
    <col min="2" max="2" width="16.375" customWidth="1"/>
    <col min="3" max="3" width="18.875" customWidth="1"/>
    <col min="4" max="4" width="43.75" customWidth="1"/>
    <col min="5" max="5" width="53.625" customWidth="1"/>
    <col min="9" max="9" width="21.75" customWidth="1"/>
  </cols>
  <sheetData>
    <row r="2" spans="1:7">
      <c r="A2" s="787" t="s">
        <v>616</v>
      </c>
    </row>
    <row r="3" spans="1:7">
      <c r="B3" t="s">
        <v>540</v>
      </c>
      <c r="C3" t="s">
        <v>548</v>
      </c>
    </row>
    <row r="4" spans="1:7">
      <c r="A4" s="1462" t="s">
        <v>513</v>
      </c>
      <c r="B4" s="1463"/>
      <c r="C4" s="1463"/>
      <c r="D4" s="1463"/>
      <c r="E4" s="1464"/>
      <c r="F4" s="30"/>
    </row>
    <row r="5" spans="1:7" ht="32.25" thickBot="1">
      <c r="A5" s="87" t="s">
        <v>514</v>
      </c>
      <c r="B5" s="87" t="s">
        <v>515</v>
      </c>
      <c r="C5" s="87" t="s">
        <v>518</v>
      </c>
      <c r="D5" s="87" t="s">
        <v>516</v>
      </c>
      <c r="G5" s="87" t="s">
        <v>517</v>
      </c>
    </row>
    <row r="6" spans="1:7">
      <c r="A6" s="1465" t="s">
        <v>542</v>
      </c>
      <c r="B6" s="1467" t="s">
        <v>540</v>
      </c>
      <c r="C6" s="416" t="s">
        <v>520</v>
      </c>
      <c r="D6" s="416" t="s">
        <v>523</v>
      </c>
      <c r="E6" t="s">
        <v>700</v>
      </c>
      <c r="G6" s="422">
        <v>0.8</v>
      </c>
    </row>
    <row r="7" spans="1:7">
      <c r="A7" s="1466"/>
      <c r="B7" s="1468"/>
      <c r="C7" s="24"/>
      <c r="D7" s="24" t="s">
        <v>524</v>
      </c>
      <c r="E7" t="s">
        <v>701</v>
      </c>
      <c r="G7" s="788">
        <v>0.69</v>
      </c>
    </row>
    <row r="8" spans="1:7">
      <c r="A8" s="1466"/>
      <c r="B8" s="1468"/>
      <c r="C8" s="1470" t="s">
        <v>521</v>
      </c>
      <c r="D8" s="24" t="s">
        <v>523</v>
      </c>
      <c r="E8" t="s">
        <v>702</v>
      </c>
      <c r="G8" s="788">
        <v>0.57999999999999996</v>
      </c>
    </row>
    <row r="9" spans="1:7">
      <c r="A9" s="1466"/>
      <c r="B9" s="1468"/>
      <c r="C9" s="1469"/>
      <c r="D9" s="24" t="s">
        <v>525</v>
      </c>
      <c r="E9" t="s">
        <v>703</v>
      </c>
      <c r="G9" s="788">
        <v>0.48</v>
      </c>
    </row>
    <row r="10" spans="1:7">
      <c r="A10" s="1466"/>
      <c r="B10" s="1469"/>
      <c r="C10" s="24" t="s">
        <v>522</v>
      </c>
      <c r="D10" s="24" t="s">
        <v>526</v>
      </c>
      <c r="E10" t="s">
        <v>704</v>
      </c>
      <c r="G10" s="788">
        <v>0.64</v>
      </c>
    </row>
    <row r="11" spans="1:7">
      <c r="A11" s="1466"/>
      <c r="B11" s="27" t="s">
        <v>527</v>
      </c>
      <c r="C11" s="27" t="s">
        <v>528</v>
      </c>
      <c r="D11" s="24" t="s">
        <v>529</v>
      </c>
      <c r="E11" s="789" t="s">
        <v>527</v>
      </c>
      <c r="F11" s="789"/>
      <c r="G11" s="790">
        <v>1.1000000000000001</v>
      </c>
    </row>
    <row r="12" spans="1:7" ht="31.5">
      <c r="A12" s="1466"/>
      <c r="B12" s="24" t="s">
        <v>1740</v>
      </c>
      <c r="C12" s="24" t="s">
        <v>528</v>
      </c>
      <c r="D12" s="24" t="s">
        <v>529</v>
      </c>
      <c r="E12" s="789" t="s">
        <v>1387</v>
      </c>
      <c r="F12" s="789"/>
      <c r="G12" s="788">
        <v>1</v>
      </c>
    </row>
    <row r="13" spans="1:7">
      <c r="A13" s="1466"/>
      <c r="B13" s="1470" t="s">
        <v>531</v>
      </c>
      <c r="C13" s="1471" t="s">
        <v>533</v>
      </c>
      <c r="D13" s="24" t="s">
        <v>523</v>
      </c>
      <c r="E13" t="s">
        <v>706</v>
      </c>
      <c r="G13" s="788">
        <v>0.93</v>
      </c>
    </row>
    <row r="14" spans="1:7">
      <c r="A14" s="1466"/>
      <c r="B14" s="1468"/>
      <c r="C14" s="1471"/>
      <c r="D14" s="24" t="s">
        <v>532</v>
      </c>
      <c r="E14" t="s">
        <v>707</v>
      </c>
      <c r="G14" s="788">
        <v>0.82</v>
      </c>
    </row>
    <row r="15" spans="1:7" ht="16.5" thickBot="1">
      <c r="A15" s="1466"/>
      <c r="B15" s="1468"/>
      <c r="C15" s="87" t="s">
        <v>534</v>
      </c>
      <c r="D15" s="87" t="s">
        <v>526</v>
      </c>
      <c r="E15" t="s">
        <v>708</v>
      </c>
      <c r="G15" s="791">
        <v>0.88</v>
      </c>
    </row>
    <row r="16" spans="1:7">
      <c r="A16" s="1472" t="s">
        <v>535</v>
      </c>
      <c r="B16" s="412" t="s">
        <v>536</v>
      </c>
      <c r="C16" s="416" t="s">
        <v>528</v>
      </c>
      <c r="D16" s="416" t="s">
        <v>529</v>
      </c>
      <c r="E16" s="802" t="s">
        <v>536</v>
      </c>
      <c r="F16" s="803"/>
      <c r="G16" s="426">
        <v>1</v>
      </c>
    </row>
    <row r="17" spans="1:7">
      <c r="A17" s="1473"/>
      <c r="B17" s="1471" t="s">
        <v>537</v>
      </c>
      <c r="C17" s="1475" t="s">
        <v>538</v>
      </c>
      <c r="D17" s="113" t="s">
        <v>523</v>
      </c>
      <c r="E17" t="s">
        <v>709</v>
      </c>
      <c r="G17" s="790">
        <v>1.02</v>
      </c>
    </row>
    <row r="18" spans="1:7">
      <c r="A18" s="1473"/>
      <c r="B18" s="1471"/>
      <c r="C18" s="1475"/>
      <c r="D18" s="113" t="s">
        <v>524</v>
      </c>
      <c r="E18" t="s">
        <v>710</v>
      </c>
      <c r="G18" s="790">
        <v>1.08</v>
      </c>
    </row>
    <row r="19" spans="1:7">
      <c r="A19" s="1473"/>
      <c r="B19" s="1471"/>
      <c r="C19" s="1471" t="s">
        <v>539</v>
      </c>
      <c r="D19" s="113" t="s">
        <v>523</v>
      </c>
      <c r="E19" t="s">
        <v>711</v>
      </c>
      <c r="G19" s="790">
        <v>1.0900000000000001</v>
      </c>
    </row>
    <row r="20" spans="1:7">
      <c r="A20" s="1473"/>
      <c r="B20" s="1471"/>
      <c r="C20" s="1471"/>
      <c r="D20" s="113" t="s">
        <v>525</v>
      </c>
      <c r="E20" t="s">
        <v>712</v>
      </c>
      <c r="G20" s="790">
        <v>1.1499999999999999</v>
      </c>
    </row>
    <row r="21" spans="1:7">
      <c r="A21" s="1473"/>
      <c r="B21" s="1471"/>
      <c r="C21" s="24" t="s">
        <v>522</v>
      </c>
      <c r="D21" s="113" t="s">
        <v>526</v>
      </c>
      <c r="E21" t="s">
        <v>713</v>
      </c>
      <c r="G21" s="790">
        <v>1.0900000000000001</v>
      </c>
    </row>
    <row r="22" spans="1:7">
      <c r="A22" s="1473"/>
      <c r="B22" s="1471" t="s">
        <v>541</v>
      </c>
      <c r="C22" s="1475" t="s">
        <v>538</v>
      </c>
      <c r="D22" s="113" t="s">
        <v>523</v>
      </c>
      <c r="E22" t="s">
        <v>714</v>
      </c>
      <c r="G22" s="790">
        <v>1.1000000000000001</v>
      </c>
    </row>
    <row r="23" spans="1:7">
      <c r="A23" s="1473"/>
      <c r="B23" s="1471"/>
      <c r="C23" s="1475"/>
      <c r="D23" s="113" t="s">
        <v>524</v>
      </c>
      <c r="E23" t="s">
        <v>715</v>
      </c>
      <c r="G23" s="790">
        <v>1.1499999999999999</v>
      </c>
    </row>
    <row r="24" spans="1:7">
      <c r="A24" s="1473"/>
      <c r="B24" s="1471"/>
      <c r="C24" s="1471" t="s">
        <v>539</v>
      </c>
      <c r="D24" s="113" t="s">
        <v>523</v>
      </c>
      <c r="E24" t="s">
        <v>716</v>
      </c>
      <c r="G24" s="790">
        <v>1.17</v>
      </c>
    </row>
    <row r="25" spans="1:7">
      <c r="A25" s="1473"/>
      <c r="B25" s="1471"/>
      <c r="C25" s="1471"/>
      <c r="D25" s="113" t="s">
        <v>525</v>
      </c>
      <c r="E25" t="s">
        <v>717</v>
      </c>
      <c r="G25" s="790">
        <v>1.22</v>
      </c>
    </row>
    <row r="26" spans="1:7" ht="16.5" thickBot="1">
      <c r="A26" s="1474"/>
      <c r="B26" s="1470"/>
      <c r="C26" s="87" t="s">
        <v>522</v>
      </c>
      <c r="D26" s="792" t="s">
        <v>526</v>
      </c>
      <c r="E26" t="s">
        <v>718</v>
      </c>
      <c r="G26" s="793">
        <v>1.1599999999999999</v>
      </c>
    </row>
    <row r="27" spans="1:7">
      <c r="A27" s="1472" t="s">
        <v>543</v>
      </c>
      <c r="B27" s="1477" t="s">
        <v>544</v>
      </c>
      <c r="C27" s="1479" t="s">
        <v>538</v>
      </c>
      <c r="D27" s="585" t="s">
        <v>523</v>
      </c>
      <c r="E27" s="802" t="s">
        <v>719</v>
      </c>
      <c r="F27" s="803"/>
      <c r="G27" s="426">
        <v>0.95</v>
      </c>
    </row>
    <row r="28" spans="1:7">
      <c r="A28" s="1473"/>
      <c r="B28" s="1478"/>
      <c r="C28" s="1480"/>
      <c r="D28" s="113" t="s">
        <v>524</v>
      </c>
      <c r="E28" t="s">
        <v>720</v>
      </c>
      <c r="G28" s="790">
        <v>0.92</v>
      </c>
    </row>
    <row r="29" spans="1:7">
      <c r="A29" s="1473"/>
      <c r="B29" s="1478"/>
      <c r="C29" s="1471" t="s">
        <v>539</v>
      </c>
      <c r="D29" s="113" t="s">
        <v>523</v>
      </c>
      <c r="E29" t="s">
        <v>721</v>
      </c>
      <c r="G29" s="790">
        <v>0.95</v>
      </c>
    </row>
    <row r="30" spans="1:7">
      <c r="A30" s="1473"/>
      <c r="B30" s="1478"/>
      <c r="C30" s="1471"/>
      <c r="D30" s="113" t="s">
        <v>525</v>
      </c>
      <c r="E30" t="s">
        <v>722</v>
      </c>
      <c r="G30" s="790">
        <v>0.92</v>
      </c>
    </row>
    <row r="31" spans="1:7">
      <c r="A31" s="1473"/>
      <c r="B31" s="1478"/>
      <c r="C31" s="24" t="s">
        <v>522</v>
      </c>
      <c r="D31" s="113" t="s">
        <v>526</v>
      </c>
      <c r="E31" t="s">
        <v>723</v>
      </c>
      <c r="G31" s="790">
        <v>0.94</v>
      </c>
    </row>
    <row r="32" spans="1:7">
      <c r="A32" s="1473"/>
      <c r="B32" s="24" t="s">
        <v>545</v>
      </c>
      <c r="C32" s="27" t="s">
        <v>528</v>
      </c>
      <c r="D32" s="24" t="s">
        <v>529</v>
      </c>
      <c r="E32" t="s">
        <v>724</v>
      </c>
      <c r="G32" s="790">
        <v>1</v>
      </c>
    </row>
    <row r="33" spans="1:9">
      <c r="A33" s="1473"/>
      <c r="B33" s="1471" t="s">
        <v>546</v>
      </c>
      <c r="C33" s="1471" t="s">
        <v>533</v>
      </c>
      <c r="D33" s="24" t="s">
        <v>523</v>
      </c>
      <c r="E33" t="s">
        <v>725</v>
      </c>
      <c r="G33" s="790">
        <v>1.04</v>
      </c>
    </row>
    <row r="34" spans="1:9">
      <c r="A34" s="1473"/>
      <c r="B34" s="1471"/>
      <c r="C34" s="1471"/>
      <c r="D34" s="24" t="s">
        <v>532</v>
      </c>
      <c r="E34" t="s">
        <v>726</v>
      </c>
      <c r="G34" s="790">
        <v>1.1100000000000001</v>
      </c>
    </row>
    <row r="35" spans="1:9">
      <c r="A35" s="1473"/>
      <c r="B35" s="1471"/>
      <c r="C35" s="794" t="s">
        <v>534</v>
      </c>
      <c r="D35" s="87" t="s">
        <v>526</v>
      </c>
      <c r="E35" t="s">
        <v>727</v>
      </c>
      <c r="G35" s="790">
        <v>1.08</v>
      </c>
    </row>
    <row r="36" spans="1:9">
      <c r="A36" s="1473"/>
      <c r="B36" s="1471" t="s">
        <v>547</v>
      </c>
      <c r="C36" s="1464" t="s">
        <v>533</v>
      </c>
      <c r="D36" s="24" t="s">
        <v>523</v>
      </c>
      <c r="E36" t="s">
        <v>729</v>
      </c>
      <c r="G36" s="790">
        <v>1.37</v>
      </c>
    </row>
    <row r="37" spans="1:9">
      <c r="A37" s="1473"/>
      <c r="B37" s="1471"/>
      <c r="C37" s="1464"/>
      <c r="D37" s="24" t="s">
        <v>532</v>
      </c>
      <c r="E37" t="s">
        <v>728</v>
      </c>
      <c r="G37" s="790">
        <v>1.44</v>
      </c>
    </row>
    <row r="38" spans="1:9" ht="16.5" thickBot="1">
      <c r="A38" s="1476"/>
      <c r="B38" s="1481"/>
      <c r="C38" s="795" t="s">
        <v>534</v>
      </c>
      <c r="D38" s="418" t="s">
        <v>526</v>
      </c>
      <c r="E38" t="s">
        <v>730</v>
      </c>
      <c r="G38" s="796">
        <v>1.41</v>
      </c>
    </row>
    <row r="39" spans="1:9">
      <c r="E39" s="802"/>
      <c r="F39" s="803"/>
    </row>
    <row r="41" spans="1:9">
      <c r="B41" t="s">
        <v>549</v>
      </c>
      <c r="C41" t="s">
        <v>550</v>
      </c>
    </row>
    <row r="42" spans="1:9">
      <c r="A42" s="1471" t="s">
        <v>552</v>
      </c>
      <c r="B42" s="1471"/>
      <c r="C42" s="1471"/>
      <c r="D42" s="1471"/>
      <c r="E42" s="1471"/>
      <c r="F42" s="1471"/>
      <c r="G42" s="1471"/>
    </row>
    <row r="43" spans="1:9" ht="16.5" thickBot="1">
      <c r="A43" s="125" t="s">
        <v>554</v>
      </c>
      <c r="B43" s="125" t="s">
        <v>555</v>
      </c>
      <c r="C43" s="125" t="s">
        <v>556</v>
      </c>
      <c r="E43" s="125" t="s">
        <v>557</v>
      </c>
      <c r="F43" s="12"/>
      <c r="H43" s="1482" t="s">
        <v>567</v>
      </c>
      <c r="I43" s="1482"/>
    </row>
    <row r="44" spans="1:9" ht="16.5" thickBot="1">
      <c r="A44" s="797" t="s">
        <v>553</v>
      </c>
      <c r="B44" s="798" t="s">
        <v>528</v>
      </c>
      <c r="C44" s="798" t="s">
        <v>528</v>
      </c>
      <c r="E44" s="799">
        <v>1</v>
      </c>
      <c r="F44" s="63"/>
      <c r="H44" s="1483" t="s">
        <v>1388</v>
      </c>
      <c r="I44" s="1484"/>
    </row>
    <row r="45" spans="1:9" ht="31.5">
      <c r="A45" s="1465" t="s">
        <v>563</v>
      </c>
      <c r="B45" s="416" t="s">
        <v>564</v>
      </c>
      <c r="C45" s="412" t="s">
        <v>528</v>
      </c>
      <c r="D45" t="s">
        <v>732</v>
      </c>
      <c r="E45" s="800">
        <v>1</v>
      </c>
      <c r="F45" s="63"/>
      <c r="H45" s="1486" t="s">
        <v>560</v>
      </c>
      <c r="I45" s="1487"/>
    </row>
    <row r="46" spans="1:9">
      <c r="A46" s="1466"/>
      <c r="B46" s="1471" t="s">
        <v>561</v>
      </c>
      <c r="C46" s="113" t="s">
        <v>538</v>
      </c>
      <c r="D46" t="s">
        <v>733</v>
      </c>
      <c r="E46" s="801">
        <v>0.95</v>
      </c>
      <c r="F46" s="63"/>
      <c r="H46" s="1471" t="s">
        <v>565</v>
      </c>
      <c r="I46" s="1488"/>
    </row>
    <row r="47" spans="1:9">
      <c r="A47" s="1466"/>
      <c r="B47" s="1471"/>
      <c r="C47" s="24" t="s">
        <v>539</v>
      </c>
      <c r="D47" t="s">
        <v>735</v>
      </c>
      <c r="E47" s="801">
        <v>0.97</v>
      </c>
      <c r="F47" s="63"/>
      <c r="H47" s="1471"/>
      <c r="I47" s="1488"/>
    </row>
    <row r="48" spans="1:9">
      <c r="A48" s="1466"/>
      <c r="B48" s="1471"/>
      <c r="C48" s="24" t="s">
        <v>522</v>
      </c>
      <c r="D48" t="s">
        <v>734</v>
      </c>
      <c r="E48" s="68">
        <v>0.96</v>
      </c>
      <c r="F48" s="63"/>
      <c r="H48" s="1471"/>
      <c r="I48" s="1488"/>
    </row>
    <row r="49" spans="1:9">
      <c r="A49" s="1466"/>
      <c r="B49" s="24" t="s">
        <v>562</v>
      </c>
      <c r="C49" s="27" t="s">
        <v>528</v>
      </c>
      <c r="D49" t="s">
        <v>736</v>
      </c>
      <c r="E49" s="68">
        <v>0.7</v>
      </c>
      <c r="F49" s="63"/>
      <c r="H49" s="1471" t="s">
        <v>566</v>
      </c>
      <c r="I49" s="1488"/>
    </row>
    <row r="50" spans="1:9">
      <c r="A50" s="1466"/>
      <c r="B50" s="1470" t="s">
        <v>568</v>
      </c>
      <c r="C50" s="27" t="s">
        <v>538</v>
      </c>
      <c r="D50" t="s">
        <v>737</v>
      </c>
      <c r="E50" s="27">
        <v>1.1399999999999999</v>
      </c>
      <c r="F50" s="12"/>
      <c r="H50" s="1490" t="s">
        <v>570</v>
      </c>
      <c r="I50" s="1491"/>
    </row>
    <row r="51" spans="1:9">
      <c r="A51" s="1466"/>
      <c r="B51" s="1468"/>
      <c r="C51" s="27" t="s">
        <v>569</v>
      </c>
      <c r="D51" t="s">
        <v>738</v>
      </c>
      <c r="E51" s="27">
        <v>1.17</v>
      </c>
      <c r="F51" s="12"/>
      <c r="H51" s="1492"/>
      <c r="I51" s="1493"/>
    </row>
    <row r="52" spans="1:9" ht="16.5" thickBot="1">
      <c r="A52" s="1485"/>
      <c r="B52" s="1489"/>
      <c r="C52" s="681" t="s">
        <v>534</v>
      </c>
      <c r="D52" t="s">
        <v>740</v>
      </c>
      <c r="E52" s="681">
        <v>1.1599999999999999</v>
      </c>
      <c r="F52" s="12"/>
      <c r="H52" s="1494"/>
      <c r="I52" s="1495"/>
    </row>
    <row r="53" spans="1:9">
      <c r="A53" s="1496" t="s">
        <v>571</v>
      </c>
      <c r="B53" s="412" t="s">
        <v>545</v>
      </c>
      <c r="C53" s="412" t="s">
        <v>528</v>
      </c>
      <c r="D53" t="s">
        <v>739</v>
      </c>
      <c r="E53" s="412">
        <v>1</v>
      </c>
      <c r="F53" s="12"/>
      <c r="H53" s="1486" t="s">
        <v>731</v>
      </c>
      <c r="I53" s="1487"/>
    </row>
    <row r="54" spans="1:9" ht="16.5" thickBot="1">
      <c r="A54" s="1497"/>
      <c r="B54" s="681" t="s">
        <v>572</v>
      </c>
      <c r="C54" s="681" t="s">
        <v>528</v>
      </c>
      <c r="D54" t="s">
        <v>572</v>
      </c>
      <c r="E54" s="681">
        <v>1.1100000000000001</v>
      </c>
      <c r="F54" s="12"/>
      <c r="H54" s="1481"/>
      <c r="I54" s="1498"/>
    </row>
    <row r="55" spans="1:9">
      <c r="D55" t="s">
        <v>741</v>
      </c>
      <c r="E55" s="809">
        <v>1</v>
      </c>
    </row>
    <row r="57" spans="1:9">
      <c r="A57" s="37" t="s">
        <v>616</v>
      </c>
    </row>
    <row r="58" spans="1:9">
      <c r="B58" t="s">
        <v>574</v>
      </c>
    </row>
    <row r="59" spans="1:9">
      <c r="A59" s="1628" t="s">
        <v>575</v>
      </c>
      <c r="B59" s="1629"/>
      <c r="C59" s="1629"/>
      <c r="D59" s="1629"/>
      <c r="E59" s="1630"/>
      <c r="F59" s="30"/>
    </row>
    <row r="60" spans="1:9">
      <c r="A60" s="1631" t="s">
        <v>585</v>
      </c>
      <c r="B60" s="1632" t="s">
        <v>555</v>
      </c>
      <c r="C60" s="1631" t="s">
        <v>576</v>
      </c>
      <c r="D60" s="1631" t="s">
        <v>577</v>
      </c>
      <c r="E60" s="1631" t="s">
        <v>578</v>
      </c>
      <c r="F60" s="12"/>
    </row>
    <row r="61" spans="1:9">
      <c r="A61" s="1633" t="s">
        <v>579</v>
      </c>
      <c r="B61" s="1634" t="s">
        <v>580</v>
      </c>
      <c r="C61" s="1631" t="s">
        <v>558</v>
      </c>
      <c r="D61" s="1631">
        <v>1</v>
      </c>
      <c r="E61" s="1635" t="s">
        <v>583</v>
      </c>
      <c r="F61" s="30"/>
    </row>
    <row r="62" spans="1:9">
      <c r="A62" s="1633"/>
      <c r="B62" s="1634"/>
      <c r="C62" s="1631" t="s">
        <v>569</v>
      </c>
      <c r="D62" s="1631">
        <v>1</v>
      </c>
      <c r="E62" s="1636"/>
      <c r="F62" s="30"/>
    </row>
    <row r="63" spans="1:9" ht="31.5">
      <c r="A63" s="1633"/>
      <c r="B63" s="1632" t="s">
        <v>581</v>
      </c>
      <c r="C63" s="1631" t="s">
        <v>521</v>
      </c>
      <c r="D63" s="1631">
        <v>0.64</v>
      </c>
      <c r="E63" s="1635" t="s">
        <v>584</v>
      </c>
      <c r="F63" s="30"/>
    </row>
    <row r="64" spans="1:9" ht="31.5">
      <c r="A64" s="1633"/>
      <c r="B64" s="1632" t="s">
        <v>582</v>
      </c>
      <c r="C64" s="1631" t="s">
        <v>521</v>
      </c>
      <c r="D64" s="1631">
        <v>0.8</v>
      </c>
      <c r="E64" s="1636"/>
      <c r="F64" s="30"/>
    </row>
  </sheetData>
  <mergeCells count="38">
    <mergeCell ref="A53:A54"/>
    <mergeCell ref="H53:I54"/>
    <mergeCell ref="A59:E59"/>
    <mergeCell ref="A61:A64"/>
    <mergeCell ref="B61:B62"/>
    <mergeCell ref="E61:E62"/>
    <mergeCell ref="E63:E64"/>
    <mergeCell ref="A42:G42"/>
    <mergeCell ref="H43:I43"/>
    <mergeCell ref="H44:I44"/>
    <mergeCell ref="A45:A52"/>
    <mergeCell ref="H45:I45"/>
    <mergeCell ref="B46:B48"/>
    <mergeCell ref="H46:I48"/>
    <mergeCell ref="H49:I49"/>
    <mergeCell ref="B50:B52"/>
    <mergeCell ref="H50:I52"/>
    <mergeCell ref="A27:A38"/>
    <mergeCell ref="B27:B31"/>
    <mergeCell ref="C27:C28"/>
    <mergeCell ref="C29:C30"/>
    <mergeCell ref="B33:B35"/>
    <mergeCell ref="C33:C34"/>
    <mergeCell ref="B36:B38"/>
    <mergeCell ref="C36:C37"/>
    <mergeCell ref="A16:A26"/>
    <mergeCell ref="B17:B21"/>
    <mergeCell ref="C17:C18"/>
    <mergeCell ref="C19:C20"/>
    <mergeCell ref="B22:B26"/>
    <mergeCell ref="C22:C23"/>
    <mergeCell ref="C24:C25"/>
    <mergeCell ref="A4:E4"/>
    <mergeCell ref="A6:A15"/>
    <mergeCell ref="B6:B10"/>
    <mergeCell ref="C8:C9"/>
    <mergeCell ref="B13:B15"/>
    <mergeCell ref="C13:C1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theme="0" tint="-0.499984740745262"/>
  </sheetPr>
  <dimension ref="A1:AW79"/>
  <sheetViews>
    <sheetView workbookViewId="0">
      <selection activeCell="F46" sqref="F46"/>
    </sheetView>
  </sheetViews>
  <sheetFormatPr defaultColWidth="8.875" defaultRowHeight="15.75"/>
  <cols>
    <col min="1" max="1" width="39.875" bestFit="1" customWidth="1"/>
    <col min="2" max="2" width="15" customWidth="1"/>
    <col min="6" max="6" width="32.125" bestFit="1" customWidth="1"/>
  </cols>
  <sheetData>
    <row r="1" spans="1:49" s="11" customFormat="1" ht="24.75" customHeight="1">
      <c r="A1" s="263" t="s">
        <v>840</v>
      </c>
      <c r="B1" s="263"/>
      <c r="C1" s="263"/>
      <c r="D1" s="263"/>
      <c r="E1" s="263"/>
      <c r="F1" s="264"/>
      <c r="N1" s="260"/>
      <c r="R1" s="261"/>
      <c r="AA1" s="262"/>
    </row>
    <row r="2" spans="1:49" s="11" customFormat="1">
      <c r="A2" s="1689" t="s">
        <v>841</v>
      </c>
      <c r="B2" s="1690" t="s">
        <v>579</v>
      </c>
      <c r="C2" s="1690" t="s">
        <v>831</v>
      </c>
      <c r="D2" s="1690" t="s">
        <v>839</v>
      </c>
      <c r="E2" s="1690" t="s">
        <v>833</v>
      </c>
      <c r="F2" s="264" t="s">
        <v>969</v>
      </c>
      <c r="G2" s="176" t="s">
        <v>839</v>
      </c>
      <c r="N2" s="260"/>
      <c r="R2" s="261"/>
      <c r="AA2" s="262"/>
    </row>
    <row r="3" spans="1:49" s="11" customFormat="1">
      <c r="A3" s="1689"/>
      <c r="B3" s="1605" t="s">
        <v>832</v>
      </c>
      <c r="C3" s="1605" t="s">
        <v>830</v>
      </c>
      <c r="D3" s="1605">
        <v>0.11</v>
      </c>
      <c r="E3" s="1677" t="s">
        <v>895</v>
      </c>
      <c r="F3" s="145" t="s">
        <v>970</v>
      </c>
      <c r="G3" s="145">
        <v>0.11</v>
      </c>
      <c r="H3" s="145"/>
      <c r="I3" s="145"/>
      <c r="N3" s="260"/>
      <c r="R3" s="261"/>
      <c r="AA3" s="262"/>
    </row>
    <row r="4" spans="1:49" s="11" customFormat="1">
      <c r="A4" s="1689"/>
      <c r="B4" s="1605"/>
      <c r="C4" s="1691" t="s">
        <v>835</v>
      </c>
      <c r="D4" s="1605">
        <v>0.12</v>
      </c>
      <c r="E4" s="1692"/>
      <c r="F4" s="145" t="s">
        <v>971</v>
      </c>
      <c r="G4" s="145">
        <v>0.13</v>
      </c>
      <c r="H4" s="145"/>
      <c r="I4" s="145"/>
      <c r="N4" s="260"/>
      <c r="R4" s="261"/>
      <c r="AA4" s="262"/>
    </row>
    <row r="5" spans="1:49" s="145" customFormat="1">
      <c r="A5" s="1689"/>
      <c r="B5" s="1605"/>
      <c r="C5" s="1691" t="s">
        <v>836</v>
      </c>
      <c r="D5" s="1605">
        <v>0.14000000000000001</v>
      </c>
      <c r="E5" s="1692"/>
      <c r="F5" s="145" t="s">
        <v>972</v>
      </c>
      <c r="G5" s="145">
        <v>0.22</v>
      </c>
      <c r="N5" s="229"/>
      <c r="R5" s="230"/>
      <c r="AA5" s="228"/>
    </row>
    <row r="6" spans="1:49" s="145" customFormat="1">
      <c r="A6" s="1689"/>
      <c r="B6" s="1605"/>
      <c r="C6" s="1691" t="s">
        <v>834</v>
      </c>
      <c r="D6" s="1605">
        <v>0.22</v>
      </c>
      <c r="E6" s="1692"/>
      <c r="F6" s="145" t="s">
        <v>973</v>
      </c>
      <c r="G6" s="145">
        <f>(D7+D8)/2</f>
        <v>0.37</v>
      </c>
      <c r="I6" s="11"/>
      <c r="J6" s="11"/>
      <c r="K6" s="11"/>
      <c r="L6" s="11"/>
      <c r="M6" s="11"/>
      <c r="N6" s="260"/>
      <c r="O6" s="11"/>
      <c r="P6" s="11"/>
      <c r="Q6" s="11"/>
      <c r="R6" s="261"/>
      <c r="S6" s="11"/>
      <c r="T6" s="11"/>
      <c r="U6" s="11"/>
      <c r="V6" s="11"/>
      <c r="W6" s="11"/>
      <c r="X6" s="11"/>
      <c r="Y6" s="11"/>
      <c r="Z6" s="11"/>
      <c r="AA6" s="262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</row>
    <row r="7" spans="1:49" s="145" customFormat="1">
      <c r="A7" s="1689"/>
      <c r="B7" s="1605"/>
      <c r="C7" s="1691" t="s">
        <v>837</v>
      </c>
      <c r="D7" s="1605">
        <v>0.31</v>
      </c>
      <c r="E7" s="1692"/>
      <c r="F7" s="177" t="s">
        <v>925</v>
      </c>
      <c r="G7" s="145">
        <v>1</v>
      </c>
      <c r="I7" s="11"/>
      <c r="J7" s="11"/>
      <c r="K7" s="11"/>
      <c r="L7" s="11"/>
      <c r="M7" s="11"/>
      <c r="N7" s="260"/>
      <c r="O7" s="11"/>
      <c r="P7" s="11"/>
      <c r="Q7" s="11"/>
      <c r="R7" s="261"/>
      <c r="S7" s="11"/>
      <c r="T7" s="11"/>
      <c r="U7" s="11"/>
      <c r="V7" s="11"/>
      <c r="W7" s="11"/>
      <c r="X7" s="11"/>
      <c r="Y7" s="11"/>
      <c r="Z7" s="11"/>
      <c r="AA7" s="262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</row>
    <row r="8" spans="1:49" s="145" customFormat="1">
      <c r="A8" s="1689"/>
      <c r="B8" s="1605"/>
      <c r="C8" s="1605" t="s">
        <v>838</v>
      </c>
      <c r="D8" s="1605">
        <v>0.43</v>
      </c>
      <c r="E8" s="1692"/>
      <c r="I8" s="11"/>
      <c r="J8" s="11"/>
      <c r="K8" s="11"/>
      <c r="L8" s="11"/>
      <c r="M8" s="11"/>
      <c r="N8" s="260"/>
      <c r="O8" s="11"/>
      <c r="P8" s="11"/>
      <c r="Q8" s="11"/>
      <c r="R8" s="261"/>
      <c r="S8" s="11"/>
      <c r="T8" s="11"/>
      <c r="U8" s="11"/>
      <c r="V8" s="11"/>
      <c r="W8" s="11"/>
      <c r="X8" s="11"/>
      <c r="Y8" s="11"/>
      <c r="Z8" s="11"/>
      <c r="AA8" s="262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</row>
    <row r="9" spans="1:49" s="145" customFormat="1">
      <c r="A9" s="1689"/>
      <c r="B9" s="1605" t="s">
        <v>854</v>
      </c>
      <c r="C9" s="1691" t="s">
        <v>925</v>
      </c>
      <c r="D9" s="1605">
        <v>1</v>
      </c>
      <c r="E9" s="1678"/>
      <c r="I9" s="11"/>
      <c r="J9" s="11"/>
      <c r="K9" s="11"/>
      <c r="L9" s="11"/>
      <c r="M9" s="11"/>
      <c r="N9" s="260"/>
      <c r="O9" s="11"/>
      <c r="P9" s="11"/>
      <c r="Q9" s="11"/>
      <c r="R9" s="261"/>
      <c r="S9" s="11"/>
      <c r="T9" s="11"/>
      <c r="U9" s="11"/>
      <c r="V9" s="11"/>
      <c r="W9" s="11"/>
      <c r="X9" s="11"/>
      <c r="Y9" s="11"/>
      <c r="Z9" s="11"/>
      <c r="AA9" s="262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</row>
    <row r="10" spans="1:49" s="145" customFormat="1">
      <c r="I10" s="11"/>
      <c r="J10" s="11"/>
      <c r="K10" s="11"/>
      <c r="L10" s="11"/>
      <c r="M10" s="11"/>
      <c r="N10" s="260"/>
      <c r="O10" s="11"/>
      <c r="P10" s="11"/>
      <c r="Q10" s="11"/>
      <c r="R10" s="261"/>
      <c r="S10" s="11"/>
      <c r="T10" s="11"/>
      <c r="U10" s="11"/>
      <c r="V10" s="11"/>
      <c r="W10" s="11"/>
      <c r="X10" s="11"/>
      <c r="Y10" s="11"/>
      <c r="Z10" s="11"/>
      <c r="AA10" s="262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</row>
    <row r="11" spans="1:49" s="145" customFormat="1">
      <c r="I11" s="11"/>
      <c r="J11" s="11"/>
      <c r="K11" s="11"/>
      <c r="L11" s="11"/>
      <c r="M11" s="11"/>
      <c r="N11" s="260"/>
      <c r="O11" s="11"/>
      <c r="P11" s="11"/>
      <c r="Q11" s="11"/>
      <c r="R11" s="261"/>
      <c r="S11" s="11"/>
      <c r="T11" s="11"/>
      <c r="U11" s="11"/>
      <c r="V11" s="11"/>
      <c r="W11" s="11"/>
      <c r="X11" s="11"/>
      <c r="Y11" s="11"/>
      <c r="Z11" s="11"/>
      <c r="AA11" s="262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</row>
    <row r="12" spans="1:49" s="145" customFormat="1">
      <c r="A12" s="1504" t="s">
        <v>853</v>
      </c>
      <c r="B12" s="176" t="s">
        <v>847</v>
      </c>
      <c r="C12" s="176" t="s">
        <v>842</v>
      </c>
      <c r="D12" s="176" t="s">
        <v>852</v>
      </c>
      <c r="E12" s="1505" t="s">
        <v>833</v>
      </c>
      <c r="F12" s="1505"/>
      <c r="N12" s="229"/>
      <c r="R12" s="230"/>
      <c r="AA12" s="228"/>
    </row>
    <row r="13" spans="1:49" s="145" customFormat="1" ht="15.75" customHeight="1">
      <c r="A13" s="1504"/>
      <c r="B13" s="175" t="s">
        <v>848</v>
      </c>
      <c r="C13" s="175" t="s">
        <v>843</v>
      </c>
      <c r="D13" s="175">
        <v>0.15</v>
      </c>
      <c r="E13" s="1420" t="s">
        <v>987</v>
      </c>
      <c r="F13" s="1420"/>
      <c r="N13" s="229"/>
      <c r="R13" s="230"/>
      <c r="AA13" s="228"/>
    </row>
    <row r="14" spans="1:49" s="145" customFormat="1">
      <c r="A14" s="1504"/>
      <c r="B14" s="175" t="s">
        <v>849</v>
      </c>
      <c r="C14" s="175" t="s">
        <v>844</v>
      </c>
      <c r="D14" s="175">
        <v>0.2</v>
      </c>
      <c r="E14" s="1420"/>
      <c r="F14" s="1420"/>
      <c r="N14" s="229"/>
      <c r="R14" s="230"/>
      <c r="AA14" s="228"/>
    </row>
    <row r="15" spans="1:49" s="145" customFormat="1">
      <c r="A15" s="1504"/>
      <c r="B15" s="175" t="s">
        <v>850</v>
      </c>
      <c r="C15" s="175" t="s">
        <v>845</v>
      </c>
      <c r="D15" s="175">
        <v>0.25</v>
      </c>
      <c r="E15" s="1420"/>
      <c r="F15" s="1420"/>
      <c r="N15" s="229"/>
      <c r="R15" s="230"/>
      <c r="AA15" s="228"/>
    </row>
    <row r="16" spans="1:49" s="145" customFormat="1">
      <c r="A16" s="1504"/>
      <c r="B16" s="175" t="s">
        <v>851</v>
      </c>
      <c r="C16" s="175" t="s">
        <v>846</v>
      </c>
      <c r="D16" s="175">
        <v>0.3</v>
      </c>
      <c r="E16" s="1420"/>
      <c r="F16" s="1420"/>
      <c r="N16" s="229"/>
      <c r="R16" s="230"/>
      <c r="AA16" s="228"/>
    </row>
    <row r="17" spans="1:27" s="145" customFormat="1">
      <c r="A17" s="1504"/>
      <c r="B17" s="175" t="s">
        <v>856</v>
      </c>
      <c r="C17" s="175" t="s">
        <v>843</v>
      </c>
      <c r="D17" s="175">
        <v>0.15</v>
      </c>
      <c r="E17" s="1420"/>
      <c r="F17" s="1420"/>
      <c r="N17" s="229"/>
      <c r="R17" s="230"/>
      <c r="AA17" s="228"/>
    </row>
    <row r="18" spans="1:27" s="145" customFormat="1">
      <c r="A18" s="1504"/>
      <c r="B18" s="175" t="s">
        <v>857</v>
      </c>
      <c r="C18" s="175" t="s">
        <v>844</v>
      </c>
      <c r="D18" s="175">
        <v>0.2</v>
      </c>
      <c r="E18" s="1420"/>
      <c r="F18" s="1420"/>
      <c r="N18" s="229"/>
      <c r="R18" s="230"/>
      <c r="AA18" s="228"/>
    </row>
    <row r="19" spans="1:27" s="145" customFormat="1">
      <c r="A19" s="1504"/>
      <c r="B19" s="175" t="s">
        <v>858</v>
      </c>
      <c r="C19" s="175" t="s">
        <v>845</v>
      </c>
      <c r="D19" s="175">
        <v>0.25</v>
      </c>
      <c r="E19" s="1420"/>
      <c r="F19" s="1420"/>
      <c r="N19" s="229"/>
      <c r="R19" s="230"/>
      <c r="AA19" s="228"/>
    </row>
    <row r="20" spans="1:27" s="145" customFormat="1">
      <c r="A20" s="1504"/>
      <c r="B20" s="175" t="s">
        <v>859</v>
      </c>
      <c r="C20" s="175" t="s">
        <v>846</v>
      </c>
      <c r="D20" s="175">
        <v>0.3</v>
      </c>
      <c r="E20" s="1420"/>
      <c r="F20" s="1420"/>
      <c r="N20" s="229"/>
      <c r="R20" s="230"/>
      <c r="AA20" s="228"/>
    </row>
    <row r="21" spans="1:27" s="145" customFormat="1">
      <c r="N21" s="229"/>
      <c r="R21" s="230"/>
      <c r="AA21" s="228"/>
    </row>
    <row r="22" spans="1:27" s="145" customFormat="1">
      <c r="A22" s="1501" t="s">
        <v>873</v>
      </c>
      <c r="B22" s="176" t="s">
        <v>860</v>
      </c>
      <c r="C22" s="176" t="s">
        <v>861</v>
      </c>
      <c r="D22" s="176" t="s">
        <v>833</v>
      </c>
      <c r="N22" s="229"/>
      <c r="R22" s="230"/>
      <c r="AA22" s="228"/>
    </row>
    <row r="23" spans="1:27" s="145" customFormat="1" ht="15.75" customHeight="1">
      <c r="A23" s="1502"/>
      <c r="B23" s="175" t="s">
        <v>862</v>
      </c>
      <c r="C23" s="175">
        <v>1E-3</v>
      </c>
      <c r="D23" s="1421" t="s">
        <v>987</v>
      </c>
      <c r="N23" s="229"/>
      <c r="R23" s="230"/>
      <c r="AA23" s="228"/>
    </row>
    <row r="24" spans="1:27" s="145" customFormat="1">
      <c r="A24" s="1502"/>
      <c r="B24" s="175" t="s">
        <v>863</v>
      </c>
      <c r="C24" s="175">
        <v>0.05</v>
      </c>
      <c r="D24" s="1422"/>
      <c r="N24" s="229"/>
      <c r="R24" s="230"/>
      <c r="AA24" s="228"/>
    </row>
    <row r="25" spans="1:27" s="145" customFormat="1">
      <c r="A25" s="1502"/>
      <c r="B25" s="175" t="s">
        <v>864</v>
      </c>
      <c r="C25" s="175">
        <v>0.05</v>
      </c>
      <c r="D25" s="1422"/>
      <c r="N25" s="229"/>
      <c r="R25" s="230"/>
      <c r="AA25" s="228"/>
    </row>
    <row r="26" spans="1:27" s="145" customFormat="1">
      <c r="A26" s="1502"/>
      <c r="B26" s="175" t="s">
        <v>865</v>
      </c>
      <c r="C26" s="175">
        <v>0.4</v>
      </c>
      <c r="D26" s="1422"/>
      <c r="N26" s="229"/>
      <c r="R26" s="230"/>
      <c r="AA26" s="228"/>
    </row>
    <row r="27" spans="1:27" s="145" customFormat="1">
      <c r="A27" s="1502"/>
      <c r="B27" s="175" t="s">
        <v>641</v>
      </c>
      <c r="C27" s="175">
        <v>0.1</v>
      </c>
      <c r="D27" s="1422"/>
      <c r="N27" s="229"/>
      <c r="R27" s="230"/>
      <c r="AA27" s="228"/>
    </row>
    <row r="28" spans="1:27" s="145" customFormat="1">
      <c r="A28" s="1502"/>
      <c r="B28" s="175" t="s">
        <v>376</v>
      </c>
      <c r="C28" s="175">
        <v>0.1</v>
      </c>
      <c r="D28" s="1422"/>
      <c r="N28" s="229"/>
      <c r="R28" s="230"/>
      <c r="AA28" s="228"/>
    </row>
    <row r="29" spans="1:27" s="145" customFormat="1">
      <c r="A29" s="1502"/>
      <c r="B29" s="175" t="s">
        <v>866</v>
      </c>
      <c r="C29" s="175">
        <v>0.15</v>
      </c>
      <c r="D29" s="1422"/>
      <c r="N29" s="229"/>
      <c r="R29" s="230"/>
      <c r="AA29" s="228"/>
    </row>
    <row r="30" spans="1:27" s="145" customFormat="1">
      <c r="A30" s="1502"/>
      <c r="B30" s="175" t="s">
        <v>867</v>
      </c>
      <c r="C30" s="175">
        <v>0.15</v>
      </c>
      <c r="D30" s="1422"/>
      <c r="N30" s="229"/>
      <c r="R30" s="230"/>
      <c r="AA30" s="228"/>
    </row>
    <row r="31" spans="1:27" s="145" customFormat="1">
      <c r="A31" s="1502"/>
      <c r="B31" s="175" t="s">
        <v>882</v>
      </c>
      <c r="C31" s="175">
        <v>0.01</v>
      </c>
      <c r="D31" s="1422"/>
      <c r="N31" s="229"/>
      <c r="R31" s="230"/>
      <c r="AA31" s="228"/>
    </row>
    <row r="32" spans="1:27" s="145" customFormat="1">
      <c r="A32" s="1502"/>
      <c r="B32" s="175" t="s">
        <v>868</v>
      </c>
      <c r="C32" s="175">
        <v>0.05</v>
      </c>
      <c r="D32" s="1422"/>
      <c r="N32" s="229"/>
      <c r="R32" s="230"/>
      <c r="AA32" s="228"/>
    </row>
    <row r="33" spans="1:27" s="145" customFormat="1">
      <c r="A33" s="1502"/>
      <c r="B33" s="175" t="s">
        <v>869</v>
      </c>
      <c r="C33" s="175">
        <v>0.05</v>
      </c>
      <c r="D33" s="1422"/>
      <c r="N33" s="229"/>
      <c r="R33" s="230"/>
      <c r="AA33" s="228"/>
    </row>
    <row r="34" spans="1:27" s="145" customFormat="1">
      <c r="A34" s="1502"/>
      <c r="B34" s="175" t="s">
        <v>870</v>
      </c>
      <c r="C34" s="175">
        <v>0.6</v>
      </c>
      <c r="D34" s="1422"/>
      <c r="N34" s="229"/>
      <c r="R34" s="230"/>
      <c r="AA34" s="228"/>
    </row>
    <row r="35" spans="1:27" s="145" customFormat="1">
      <c r="A35" s="1502"/>
      <c r="B35" s="175" t="s">
        <v>871</v>
      </c>
      <c r="C35" s="175">
        <v>0.25</v>
      </c>
      <c r="D35" s="1422"/>
      <c r="N35" s="229"/>
      <c r="R35" s="230"/>
      <c r="AA35" s="228"/>
    </row>
    <row r="36" spans="1:27" s="145" customFormat="1">
      <c r="A36" s="1503"/>
      <c r="B36" s="175" t="s">
        <v>872</v>
      </c>
      <c r="C36" s="175">
        <v>1</v>
      </c>
      <c r="D36" s="1427"/>
      <c r="N36" s="229"/>
      <c r="R36" s="230"/>
      <c r="AA36" s="228"/>
    </row>
    <row r="37" spans="1:27" s="145" customFormat="1">
      <c r="F37" s="11"/>
      <c r="G37" s="11"/>
      <c r="H37" s="11"/>
      <c r="I37" s="11"/>
      <c r="N37" s="229"/>
      <c r="R37" s="230"/>
      <c r="AA37" s="228"/>
    </row>
    <row r="38" spans="1:27" s="145" customFormat="1">
      <c r="A38" s="1504" t="s">
        <v>875</v>
      </c>
      <c r="B38" s="176" t="s">
        <v>874</v>
      </c>
      <c r="C38" s="176" t="s">
        <v>829</v>
      </c>
      <c r="D38" s="175" t="s">
        <v>876</v>
      </c>
      <c r="E38" s="265" t="s">
        <v>833</v>
      </c>
      <c r="F38" s="11"/>
      <c r="G38" s="11"/>
      <c r="H38" s="11"/>
      <c r="I38" s="11"/>
      <c r="N38" s="229"/>
      <c r="R38" s="230"/>
      <c r="AA38" s="228"/>
    </row>
    <row r="39" spans="1:27" s="145" customFormat="1" ht="15" customHeight="1">
      <c r="A39" s="1504"/>
      <c r="B39" s="175" t="s">
        <v>877</v>
      </c>
      <c r="C39" s="175">
        <v>25</v>
      </c>
      <c r="D39" s="175">
        <v>0.32</v>
      </c>
      <c r="E39" s="266" t="s">
        <v>896</v>
      </c>
      <c r="F39" s="11"/>
      <c r="G39" s="11"/>
      <c r="H39" s="11"/>
      <c r="I39" s="11"/>
      <c r="N39" s="229"/>
      <c r="R39" s="230"/>
      <c r="AA39" s="228"/>
    </row>
    <row r="40" spans="1:27" s="145" customFormat="1">
      <c r="A40" s="1504"/>
      <c r="B40" s="175" t="s">
        <v>878</v>
      </c>
      <c r="C40" s="175">
        <v>22</v>
      </c>
      <c r="D40" s="175">
        <v>0.3</v>
      </c>
      <c r="E40" s="266"/>
      <c r="F40" s="11"/>
      <c r="G40" s="11"/>
      <c r="H40" s="11"/>
      <c r="I40" s="11"/>
      <c r="N40" s="229"/>
      <c r="R40" s="230"/>
      <c r="AA40" s="228"/>
    </row>
    <row r="41" spans="1:27" s="145" customFormat="1">
      <c r="A41" s="1504"/>
      <c r="B41" s="175" t="s">
        <v>879</v>
      </c>
      <c r="C41" s="175">
        <v>15</v>
      </c>
      <c r="D41" s="175">
        <v>0.19</v>
      </c>
      <c r="E41" s="266"/>
      <c r="F41" s="11"/>
      <c r="G41" s="11"/>
      <c r="H41" s="11"/>
      <c r="I41" s="11"/>
      <c r="N41" s="229"/>
      <c r="R41" s="230"/>
      <c r="AA41" s="228"/>
    </row>
    <row r="42" spans="1:27" s="145" customFormat="1">
      <c r="F42" s="11"/>
      <c r="G42" s="11"/>
      <c r="H42" s="11"/>
      <c r="I42" s="11"/>
      <c r="N42" s="229"/>
      <c r="R42" s="230"/>
      <c r="AA42" s="228"/>
    </row>
    <row r="43" spans="1:27" s="145" customFormat="1" ht="47.25" customHeight="1">
      <c r="B43" s="175"/>
      <c r="C43" s="1500" t="s">
        <v>979</v>
      </c>
      <c r="D43" s="1500"/>
      <c r="E43" s="1500"/>
      <c r="F43" s="1500"/>
      <c r="G43" s="1500"/>
      <c r="H43" s="1500"/>
      <c r="N43" s="229"/>
      <c r="R43" s="230"/>
      <c r="AA43" s="228"/>
    </row>
    <row r="44" spans="1:27" s="267" customFormat="1" ht="16.5" thickBot="1">
      <c r="B44" s="1693"/>
      <c r="C44" s="1694">
        <v>1</v>
      </c>
      <c r="D44" s="1694">
        <v>3</v>
      </c>
      <c r="E44" s="1694">
        <v>5</v>
      </c>
      <c r="F44" s="1694">
        <v>15</v>
      </c>
      <c r="G44" s="1694">
        <v>30</v>
      </c>
      <c r="H44" s="1694">
        <v>90</v>
      </c>
      <c r="I44" s="145"/>
      <c r="J44" s="145"/>
      <c r="K44" s="145"/>
      <c r="L44" s="145"/>
      <c r="M44" s="145"/>
      <c r="N44" s="145"/>
      <c r="O44" s="145"/>
      <c r="P44" s="145"/>
      <c r="Q44" s="145"/>
      <c r="R44" s="145"/>
      <c r="AA44" s="268"/>
    </row>
    <row r="45" spans="1:27" s="145" customFormat="1" ht="16.5" thickBot="1">
      <c r="B45" s="1637" t="s">
        <v>970</v>
      </c>
      <c r="C45" s="1695">
        <v>0.3</v>
      </c>
      <c r="D45" s="1695">
        <v>0.3</v>
      </c>
      <c r="E45" s="1695">
        <v>0.3</v>
      </c>
      <c r="F45" s="1695">
        <v>0.49</v>
      </c>
      <c r="G45" s="1695">
        <v>0.65</v>
      </c>
      <c r="H45" s="1695">
        <v>1.01</v>
      </c>
      <c r="L45" s="269"/>
      <c r="AA45" s="228"/>
    </row>
    <row r="46" spans="1:27" s="145" customFormat="1">
      <c r="B46" s="1637" t="s">
        <v>971</v>
      </c>
      <c r="C46" s="1695">
        <v>0.52</v>
      </c>
      <c r="D46" s="1695">
        <v>0.85</v>
      </c>
      <c r="E46" s="1695">
        <v>1.06</v>
      </c>
      <c r="F46" s="1695">
        <v>2.2200000000000002</v>
      </c>
      <c r="G46" s="1695">
        <v>3.4</v>
      </c>
      <c r="H46" s="1695">
        <v>6.68</v>
      </c>
      <c r="AA46" s="228"/>
    </row>
    <row r="47" spans="1:27" s="145" customFormat="1">
      <c r="B47" s="1637" t="s">
        <v>972</v>
      </c>
      <c r="C47" s="1695">
        <v>0.59</v>
      </c>
      <c r="D47" s="1695">
        <v>1.1299999999999999</v>
      </c>
      <c r="E47" s="1695">
        <v>1.53</v>
      </c>
      <c r="F47" s="1695">
        <v>3.39</v>
      </c>
      <c r="G47" s="1695">
        <v>5.34</v>
      </c>
      <c r="H47" s="1695">
        <v>11.01</v>
      </c>
      <c r="AA47" s="228"/>
    </row>
    <row r="48" spans="1:27" s="145" customFormat="1">
      <c r="B48" s="1637" t="s">
        <v>973</v>
      </c>
      <c r="C48" s="1695">
        <v>0.65</v>
      </c>
      <c r="D48" s="1695">
        <v>1.38</v>
      </c>
      <c r="E48" s="1695">
        <v>1.95</v>
      </c>
      <c r="F48" s="1695">
        <v>4.45</v>
      </c>
      <c r="G48" s="1695">
        <v>7.14</v>
      </c>
      <c r="H48" s="1695">
        <v>15.14</v>
      </c>
      <c r="AA48" s="228"/>
    </row>
    <row r="49" spans="2:27" s="145" customFormat="1">
      <c r="N49" s="229"/>
      <c r="R49" s="230"/>
      <c r="AA49" s="228"/>
    </row>
    <row r="50" spans="2:27" s="145" customFormat="1">
      <c r="N50" s="229"/>
      <c r="R50" s="230"/>
      <c r="AA50" s="228"/>
    </row>
    <row r="51" spans="2:27" s="145" customFormat="1">
      <c r="N51" s="229"/>
      <c r="R51" s="230"/>
      <c r="AA51" s="228"/>
    </row>
    <row r="52" spans="2:27" s="145" customFormat="1">
      <c r="N52" s="229"/>
      <c r="R52" s="230"/>
      <c r="AA52" s="228"/>
    </row>
    <row r="53" spans="2:27" s="145" customFormat="1">
      <c r="N53" s="229"/>
      <c r="R53" s="230"/>
      <c r="AA53" s="228"/>
    </row>
    <row r="54" spans="2:27" s="145" customFormat="1">
      <c r="B54" s="1499" t="s">
        <v>975</v>
      </c>
      <c r="C54" s="1499"/>
      <c r="D54" s="1499"/>
      <c r="E54" s="1499"/>
      <c r="F54" s="1499"/>
      <c r="G54" s="1499"/>
      <c r="H54" s="1499"/>
      <c r="I54" s="1499"/>
      <c r="J54" s="1499"/>
      <c r="K54" s="1499"/>
      <c r="L54" s="1499"/>
      <c r="M54" s="1499"/>
      <c r="N54" s="1499"/>
      <c r="O54" s="1499"/>
      <c r="P54" s="1499"/>
      <c r="Q54" s="1499"/>
      <c r="R54" s="1499"/>
      <c r="S54" s="1499"/>
      <c r="AA54" s="228"/>
    </row>
    <row r="55" spans="2:27" s="145" customFormat="1">
      <c r="B55" s="270"/>
      <c r="C55" s="270"/>
      <c r="D55" s="270"/>
      <c r="E55" s="270"/>
      <c r="F55" s="270"/>
      <c r="G55" s="270"/>
      <c r="H55" s="270"/>
      <c r="I55" s="270"/>
      <c r="J55" s="270"/>
      <c r="K55" s="270"/>
      <c r="L55" s="270"/>
      <c r="M55" s="270"/>
      <c r="N55" s="270"/>
      <c r="O55" s="270"/>
      <c r="P55" s="270"/>
      <c r="Q55" s="270"/>
      <c r="R55" s="270"/>
      <c r="S55" s="270"/>
      <c r="AA55" s="228"/>
    </row>
    <row r="56" spans="2:27" s="145" customFormat="1">
      <c r="B56" s="271"/>
      <c r="C56" s="271"/>
      <c r="D56" s="271"/>
      <c r="E56" s="271"/>
      <c r="F56" s="271"/>
      <c r="G56" s="271"/>
      <c r="H56" s="271"/>
      <c r="I56" s="271"/>
      <c r="J56" s="271"/>
      <c r="K56" s="271"/>
      <c r="L56" s="271"/>
      <c r="M56" s="271"/>
      <c r="N56" s="271"/>
      <c r="O56" s="271"/>
      <c r="P56" s="271"/>
      <c r="Q56" s="271"/>
      <c r="R56" s="271"/>
      <c r="S56" s="271"/>
      <c r="AA56" s="228"/>
    </row>
    <row r="57" spans="2:27" s="230" customFormat="1">
      <c r="B57" s="1681" t="s">
        <v>978</v>
      </c>
      <c r="C57" s="1682" t="s">
        <v>976</v>
      </c>
      <c r="D57" s="1682">
        <v>6</v>
      </c>
      <c r="E57" s="1682">
        <v>9</v>
      </c>
      <c r="F57" s="1682">
        <v>12</v>
      </c>
      <c r="G57" s="1682">
        <v>15</v>
      </c>
      <c r="H57" s="1682">
        <v>25</v>
      </c>
      <c r="I57" s="1682">
        <v>50</v>
      </c>
      <c r="J57" s="1682">
        <v>75</v>
      </c>
      <c r="K57" s="1682">
        <v>100</v>
      </c>
      <c r="L57" s="1682">
        <v>150</v>
      </c>
      <c r="M57" s="1682">
        <v>200</v>
      </c>
      <c r="N57" s="1682">
        <v>250</v>
      </c>
      <c r="O57" s="1682">
        <v>300</v>
      </c>
      <c r="P57" s="1682">
        <v>400</v>
      </c>
      <c r="Q57" s="1682">
        <v>600</v>
      </c>
      <c r="R57" s="1682">
        <v>800</v>
      </c>
      <c r="S57" s="1683">
        <v>1000</v>
      </c>
      <c r="AA57" s="228"/>
    </row>
    <row r="58" spans="2:27" s="267" customFormat="1">
      <c r="B58" s="1684" t="s">
        <v>977</v>
      </c>
      <c r="C58" s="1684">
        <f>3*0.3048</f>
        <v>0.9144000000000001</v>
      </c>
      <c r="D58" s="1684">
        <f t="shared" ref="D58:S58" si="0">D57*0.3048</f>
        <v>1.8288000000000002</v>
      </c>
      <c r="E58" s="1684">
        <f t="shared" si="0"/>
        <v>2.7432000000000003</v>
      </c>
      <c r="F58" s="1684">
        <f t="shared" si="0"/>
        <v>3.6576000000000004</v>
      </c>
      <c r="G58" s="1684">
        <f t="shared" si="0"/>
        <v>4.5720000000000001</v>
      </c>
      <c r="H58" s="1684">
        <f t="shared" si="0"/>
        <v>7.62</v>
      </c>
      <c r="I58" s="1684">
        <f t="shared" si="0"/>
        <v>15.24</v>
      </c>
      <c r="J58" s="1684">
        <f t="shared" si="0"/>
        <v>22.86</v>
      </c>
      <c r="K58" s="1684">
        <f t="shared" si="0"/>
        <v>30.48</v>
      </c>
      <c r="L58" s="1684">
        <f t="shared" si="0"/>
        <v>45.72</v>
      </c>
      <c r="M58" s="1684">
        <f t="shared" si="0"/>
        <v>60.96</v>
      </c>
      <c r="N58" s="1684">
        <f t="shared" si="0"/>
        <v>76.2</v>
      </c>
      <c r="O58" s="1684">
        <f t="shared" si="0"/>
        <v>91.44</v>
      </c>
      <c r="P58" s="1684">
        <f t="shared" si="0"/>
        <v>121.92</v>
      </c>
      <c r="Q58" s="1684">
        <f t="shared" si="0"/>
        <v>182.88</v>
      </c>
      <c r="R58" s="1684">
        <f t="shared" si="0"/>
        <v>243.84</v>
      </c>
      <c r="S58" s="1684">
        <f t="shared" si="0"/>
        <v>304.8</v>
      </c>
      <c r="AA58" s="268"/>
    </row>
    <row r="59" spans="2:27" s="145" customFormat="1">
      <c r="B59" s="1685" t="s">
        <v>358</v>
      </c>
      <c r="C59" s="1686"/>
      <c r="D59" s="1686"/>
      <c r="E59" s="1686"/>
      <c r="F59" s="1686"/>
      <c r="G59" s="1686"/>
      <c r="H59" s="1686"/>
      <c r="I59" s="1686"/>
      <c r="J59" s="1686"/>
      <c r="K59" s="1686"/>
      <c r="L59" s="1686"/>
      <c r="M59" s="1686"/>
      <c r="N59" s="1686"/>
      <c r="O59" s="1686"/>
      <c r="P59" s="1686"/>
      <c r="Q59" s="1686"/>
      <c r="R59" s="1686"/>
      <c r="S59" s="1686"/>
      <c r="AA59" s="228"/>
    </row>
    <row r="60" spans="2:27" s="145" customFormat="1">
      <c r="B60" s="1682">
        <v>0.2</v>
      </c>
      <c r="C60" s="1687">
        <v>0.05</v>
      </c>
      <c r="D60" s="1687">
        <v>0.05</v>
      </c>
      <c r="E60" s="1687">
        <v>0.05</v>
      </c>
      <c r="F60" s="1687">
        <v>0.05</v>
      </c>
      <c r="G60" s="1687">
        <v>0.05</v>
      </c>
      <c r="H60" s="1687">
        <v>0.05</v>
      </c>
      <c r="I60" s="1687">
        <v>0.05</v>
      </c>
      <c r="J60" s="1687">
        <v>0.05</v>
      </c>
      <c r="K60" s="1687">
        <v>0.05</v>
      </c>
      <c r="L60" s="1687">
        <v>0.05</v>
      </c>
      <c r="M60" s="1687">
        <v>0.05</v>
      </c>
      <c r="N60" s="1687">
        <v>0.05</v>
      </c>
      <c r="O60" s="1687">
        <v>0.05</v>
      </c>
      <c r="P60" s="1687">
        <v>0.05</v>
      </c>
      <c r="Q60" s="1687">
        <v>0.06</v>
      </c>
      <c r="R60" s="1687">
        <v>0.06</v>
      </c>
      <c r="S60" s="1687">
        <v>0.06</v>
      </c>
      <c r="AA60" s="228"/>
    </row>
    <row r="61" spans="2:27" s="145" customFormat="1">
      <c r="B61" s="1682">
        <v>0.5</v>
      </c>
      <c r="C61" s="1687">
        <v>7.0000000000000007E-2</v>
      </c>
      <c r="D61" s="1687">
        <v>7.0000000000000007E-2</v>
      </c>
      <c r="E61" s="1687">
        <v>7.0000000000000007E-2</v>
      </c>
      <c r="F61" s="1687">
        <v>7.0000000000000007E-2</v>
      </c>
      <c r="G61" s="1687">
        <v>7.0000000000000007E-2</v>
      </c>
      <c r="H61" s="1687">
        <v>0.08</v>
      </c>
      <c r="I61" s="1687">
        <v>0.08</v>
      </c>
      <c r="J61" s="1687">
        <v>0.08</v>
      </c>
      <c r="K61" s="1687">
        <v>0.09</v>
      </c>
      <c r="L61" s="1687">
        <v>0.09</v>
      </c>
      <c r="M61" s="1687">
        <v>0.09</v>
      </c>
      <c r="N61" s="1687">
        <v>0.09</v>
      </c>
      <c r="O61" s="1687">
        <v>0.09</v>
      </c>
      <c r="P61" s="1687">
        <v>0.1</v>
      </c>
      <c r="Q61" s="1687">
        <v>0.1</v>
      </c>
      <c r="R61" s="1687">
        <v>0.1</v>
      </c>
      <c r="S61" s="1687">
        <v>0.1</v>
      </c>
      <c r="AA61" s="228"/>
    </row>
    <row r="62" spans="2:27" s="145" customFormat="1">
      <c r="B62" s="1682">
        <v>1</v>
      </c>
      <c r="C62" s="1687">
        <v>0.11</v>
      </c>
      <c r="D62" s="1687">
        <v>0.11</v>
      </c>
      <c r="E62" s="1687">
        <v>0.11</v>
      </c>
      <c r="F62" s="1687">
        <v>0.11</v>
      </c>
      <c r="G62" s="1687">
        <v>0.11</v>
      </c>
      <c r="H62" s="1687">
        <v>0.12</v>
      </c>
      <c r="I62" s="1687">
        <v>0.13</v>
      </c>
      <c r="J62" s="1687">
        <v>0.14000000000000001</v>
      </c>
      <c r="K62" s="1687">
        <v>0.14000000000000001</v>
      </c>
      <c r="L62" s="1687">
        <v>0.15</v>
      </c>
      <c r="M62" s="1687">
        <v>0.16</v>
      </c>
      <c r="N62" s="1687">
        <v>0.17</v>
      </c>
      <c r="O62" s="1687">
        <v>0.17</v>
      </c>
      <c r="P62" s="1687">
        <v>0.18</v>
      </c>
      <c r="Q62" s="1687">
        <v>0.19</v>
      </c>
      <c r="R62" s="1687">
        <v>0.2</v>
      </c>
      <c r="S62" s="1687">
        <v>0.2</v>
      </c>
      <c r="AA62" s="228"/>
    </row>
    <row r="63" spans="2:27" s="145" customFormat="1">
      <c r="B63" s="1682">
        <v>2</v>
      </c>
      <c r="C63" s="1687">
        <v>0.17</v>
      </c>
      <c r="D63" s="1687">
        <v>0.17</v>
      </c>
      <c r="E63" s="1687">
        <v>0.17</v>
      </c>
      <c r="F63" s="1687">
        <v>0.17</v>
      </c>
      <c r="G63" s="1687">
        <v>0.17</v>
      </c>
      <c r="H63" s="1687">
        <v>0.19</v>
      </c>
      <c r="I63" s="1687">
        <v>0.22</v>
      </c>
      <c r="J63" s="1687">
        <v>0.25</v>
      </c>
      <c r="K63" s="1687">
        <v>0.27</v>
      </c>
      <c r="L63" s="1687">
        <v>0.28999999999999998</v>
      </c>
      <c r="M63" s="1687">
        <v>0.31</v>
      </c>
      <c r="N63" s="1687">
        <v>0.33</v>
      </c>
      <c r="O63" s="1687">
        <v>0.35</v>
      </c>
      <c r="P63" s="1687">
        <v>0.37</v>
      </c>
      <c r="Q63" s="1687">
        <v>0.41</v>
      </c>
      <c r="R63" s="1687">
        <v>0.44</v>
      </c>
      <c r="S63" s="1687">
        <v>0.47</v>
      </c>
      <c r="AA63" s="228"/>
    </row>
    <row r="64" spans="2:27" s="145" customFormat="1">
      <c r="B64" s="1682">
        <v>3</v>
      </c>
      <c r="C64" s="1687">
        <v>0.22</v>
      </c>
      <c r="D64" s="1687">
        <v>0.22</v>
      </c>
      <c r="E64" s="1687">
        <v>0.22</v>
      </c>
      <c r="F64" s="1687">
        <v>0.22</v>
      </c>
      <c r="G64" s="1687">
        <v>0.22</v>
      </c>
      <c r="H64" s="1687">
        <v>0.25</v>
      </c>
      <c r="I64" s="1687">
        <v>0.32</v>
      </c>
      <c r="J64" s="1687">
        <v>0.36</v>
      </c>
      <c r="K64" s="1687">
        <v>0.39</v>
      </c>
      <c r="L64" s="1687">
        <v>0.44</v>
      </c>
      <c r="M64" s="1687">
        <v>0.48</v>
      </c>
      <c r="N64" s="1687">
        <v>0.52</v>
      </c>
      <c r="O64" s="1687">
        <v>0.55000000000000004</v>
      </c>
      <c r="P64" s="1687">
        <v>0.6</v>
      </c>
      <c r="Q64" s="1687">
        <v>0.68</v>
      </c>
      <c r="R64" s="1687">
        <v>0.75</v>
      </c>
      <c r="S64" s="1687">
        <v>0.8</v>
      </c>
      <c r="AA64" s="228"/>
    </row>
    <row r="65" spans="2:27" s="145" customFormat="1">
      <c r="B65" s="1682">
        <v>4</v>
      </c>
      <c r="C65" s="1687">
        <v>0.26</v>
      </c>
      <c r="D65" s="1687">
        <v>0.26</v>
      </c>
      <c r="E65" s="1687">
        <v>0.26</v>
      </c>
      <c r="F65" s="1687">
        <v>0.26</v>
      </c>
      <c r="G65" s="1687">
        <v>0.26</v>
      </c>
      <c r="H65" s="1687">
        <v>0.31</v>
      </c>
      <c r="I65" s="1687">
        <v>0.4</v>
      </c>
      <c r="J65" s="1687">
        <v>0.47</v>
      </c>
      <c r="K65" s="1687">
        <v>0.52</v>
      </c>
      <c r="L65" s="1687">
        <v>0.6</v>
      </c>
      <c r="M65" s="1687">
        <v>0.67</v>
      </c>
      <c r="N65" s="1687">
        <v>0.72</v>
      </c>
      <c r="O65" s="1687">
        <v>0.77</v>
      </c>
      <c r="P65" s="1687">
        <v>0.86</v>
      </c>
      <c r="Q65" s="1687">
        <v>0.99</v>
      </c>
      <c r="R65" s="1687">
        <v>1.1000000000000001</v>
      </c>
      <c r="S65" s="1687">
        <v>1.19</v>
      </c>
      <c r="AA65" s="228"/>
    </row>
    <row r="66" spans="2:27" s="145" customFormat="1">
      <c r="B66" s="1682">
        <v>5</v>
      </c>
      <c r="C66" s="1687">
        <v>0.3</v>
      </c>
      <c r="D66" s="1687">
        <v>0.3</v>
      </c>
      <c r="E66" s="1687">
        <v>0.3</v>
      </c>
      <c r="F66" s="1687">
        <v>0.3</v>
      </c>
      <c r="G66" s="1687">
        <v>0.3</v>
      </c>
      <c r="H66" s="1687">
        <v>0.37</v>
      </c>
      <c r="I66" s="1687">
        <v>0.49</v>
      </c>
      <c r="J66" s="1687">
        <v>0.57999999999999996</v>
      </c>
      <c r="K66" s="1687">
        <v>0.65</v>
      </c>
      <c r="L66" s="1687">
        <v>0.76</v>
      </c>
      <c r="M66" s="1687">
        <v>0.85</v>
      </c>
      <c r="N66" s="1687">
        <v>0.93</v>
      </c>
      <c r="O66" s="1687">
        <v>1.01</v>
      </c>
      <c r="P66" s="1687">
        <v>1.1299999999999999</v>
      </c>
      <c r="Q66" s="1687">
        <v>1.33</v>
      </c>
      <c r="R66" s="1687">
        <v>1.49</v>
      </c>
      <c r="S66" s="1687">
        <v>1.63</v>
      </c>
      <c r="AA66" s="228"/>
    </row>
    <row r="67" spans="2:27" s="145" customFormat="1">
      <c r="B67" s="1682">
        <v>6</v>
      </c>
      <c r="C67" s="1687">
        <v>0.34</v>
      </c>
      <c r="D67" s="1687">
        <v>0.34</v>
      </c>
      <c r="E67" s="1687">
        <v>0.34</v>
      </c>
      <c r="F67" s="1687">
        <v>0.34</v>
      </c>
      <c r="G67" s="1687">
        <v>0.34</v>
      </c>
      <c r="H67" s="1687">
        <v>0.43</v>
      </c>
      <c r="I67" s="1687">
        <v>0.57999999999999996</v>
      </c>
      <c r="J67" s="1687">
        <v>0.69</v>
      </c>
      <c r="K67" s="1687">
        <v>0.78</v>
      </c>
      <c r="L67" s="1687">
        <v>0.93</v>
      </c>
      <c r="M67" s="1687">
        <v>1.05</v>
      </c>
      <c r="N67" s="1687">
        <v>1.1599999999999999</v>
      </c>
      <c r="O67" s="1687">
        <v>1.25</v>
      </c>
      <c r="P67" s="1687">
        <v>1.42</v>
      </c>
      <c r="Q67" s="1687">
        <v>1.69</v>
      </c>
      <c r="R67" s="1687">
        <v>1.91</v>
      </c>
      <c r="S67" s="1687">
        <v>2.11</v>
      </c>
      <c r="AA67" s="228"/>
    </row>
    <row r="68" spans="2:27" s="145" customFormat="1">
      <c r="B68" s="1682">
        <v>8</v>
      </c>
      <c r="C68" s="1687">
        <v>0.42</v>
      </c>
      <c r="D68" s="1687">
        <v>0.42</v>
      </c>
      <c r="E68" s="1687">
        <v>0.42</v>
      </c>
      <c r="F68" s="1687">
        <v>0.42</v>
      </c>
      <c r="G68" s="1687">
        <v>0.42</v>
      </c>
      <c r="H68" s="1687">
        <v>0.53</v>
      </c>
      <c r="I68" s="1687">
        <v>0.74</v>
      </c>
      <c r="J68" s="1687">
        <v>0.91</v>
      </c>
      <c r="K68" s="1687">
        <v>1.04</v>
      </c>
      <c r="L68" s="1687">
        <v>1.26</v>
      </c>
      <c r="M68" s="1687">
        <v>1.45</v>
      </c>
      <c r="N68" s="1687">
        <v>1.62</v>
      </c>
      <c r="O68" s="1687">
        <v>1.77</v>
      </c>
      <c r="P68" s="1687">
        <v>2.0299999999999998</v>
      </c>
      <c r="Q68" s="1687">
        <v>2.4700000000000002</v>
      </c>
      <c r="R68" s="1687">
        <v>2.83</v>
      </c>
      <c r="S68" s="1687">
        <v>3.15</v>
      </c>
      <c r="AA68" s="228"/>
    </row>
    <row r="69" spans="2:27" s="145" customFormat="1">
      <c r="B69" s="1682">
        <v>10</v>
      </c>
      <c r="C69" s="1687">
        <v>0.46</v>
      </c>
      <c r="D69" s="1687">
        <v>0.48</v>
      </c>
      <c r="E69" s="1687">
        <v>0.5</v>
      </c>
      <c r="F69" s="1687">
        <v>0.51</v>
      </c>
      <c r="G69" s="1687">
        <v>0.52</v>
      </c>
      <c r="H69" s="1687">
        <v>0.67</v>
      </c>
      <c r="I69" s="1687">
        <v>0.97</v>
      </c>
      <c r="J69" s="1687">
        <v>1.19</v>
      </c>
      <c r="K69" s="1687">
        <v>1.38</v>
      </c>
      <c r="L69" s="1687">
        <v>1.71</v>
      </c>
      <c r="M69" s="1687">
        <v>1.98</v>
      </c>
      <c r="N69" s="1687">
        <v>2.2200000000000002</v>
      </c>
      <c r="O69" s="1687">
        <v>2.44</v>
      </c>
      <c r="P69" s="1687">
        <v>2.84</v>
      </c>
      <c r="Q69" s="1687">
        <v>3.5</v>
      </c>
      <c r="R69" s="1687">
        <v>4.0599999999999996</v>
      </c>
      <c r="S69" s="1687">
        <v>4.5599999999999996</v>
      </c>
      <c r="AA69" s="228"/>
    </row>
    <row r="70" spans="2:27" s="145" customFormat="1">
      <c r="B70" s="1682">
        <v>12</v>
      </c>
      <c r="C70" s="1687">
        <v>0.47</v>
      </c>
      <c r="D70" s="1687">
        <v>0.53</v>
      </c>
      <c r="E70" s="1687">
        <v>0.57999999999999996</v>
      </c>
      <c r="F70" s="1687">
        <v>0.61</v>
      </c>
      <c r="G70" s="1687">
        <v>0.64</v>
      </c>
      <c r="H70" s="1687">
        <v>0.84</v>
      </c>
      <c r="I70" s="1687">
        <v>1.23</v>
      </c>
      <c r="J70" s="1687">
        <v>1.53</v>
      </c>
      <c r="K70" s="1687">
        <v>1.79</v>
      </c>
      <c r="L70" s="1687">
        <v>2.23</v>
      </c>
      <c r="M70" s="1687">
        <v>2.61</v>
      </c>
      <c r="N70" s="1687">
        <v>2.95</v>
      </c>
      <c r="O70" s="1687">
        <v>3.26</v>
      </c>
      <c r="P70" s="1687">
        <v>3.81</v>
      </c>
      <c r="Q70" s="1687">
        <v>4.75</v>
      </c>
      <c r="R70" s="1687">
        <v>5.56</v>
      </c>
      <c r="S70" s="1687">
        <v>6.28</v>
      </c>
      <c r="AA70" s="228"/>
    </row>
    <row r="71" spans="2:27" s="145" customFormat="1">
      <c r="B71" s="1682">
        <v>14</v>
      </c>
      <c r="C71" s="1687">
        <v>0.48</v>
      </c>
      <c r="D71" s="1687">
        <v>0.57999999999999996</v>
      </c>
      <c r="E71" s="1687">
        <v>0.65</v>
      </c>
      <c r="F71" s="1687">
        <v>0.7</v>
      </c>
      <c r="G71" s="1687">
        <v>0.75</v>
      </c>
      <c r="H71" s="1687">
        <v>1</v>
      </c>
      <c r="I71" s="1687">
        <v>1.48</v>
      </c>
      <c r="J71" s="1687">
        <v>1.86</v>
      </c>
      <c r="K71" s="1687">
        <v>2.19</v>
      </c>
      <c r="L71" s="1687">
        <v>2.76</v>
      </c>
      <c r="M71" s="1687">
        <v>3.25</v>
      </c>
      <c r="N71" s="1687">
        <v>3.69</v>
      </c>
      <c r="O71" s="1687">
        <v>4.09</v>
      </c>
      <c r="P71" s="1687">
        <v>4.82</v>
      </c>
      <c r="Q71" s="1687">
        <v>6.07</v>
      </c>
      <c r="R71" s="1687">
        <v>7.15</v>
      </c>
      <c r="S71" s="1687">
        <v>8.11</v>
      </c>
      <c r="AA71" s="228"/>
    </row>
    <row r="72" spans="2:27" s="145" customFormat="1">
      <c r="B72" s="1682">
        <v>16</v>
      </c>
      <c r="C72" s="1687">
        <v>0.49</v>
      </c>
      <c r="D72" s="1687">
        <v>0.63</v>
      </c>
      <c r="E72" s="1687">
        <v>0.72</v>
      </c>
      <c r="F72" s="1687">
        <v>0.79</v>
      </c>
      <c r="G72" s="1687">
        <v>0.85</v>
      </c>
      <c r="H72" s="1687">
        <v>1.1499999999999999</v>
      </c>
      <c r="I72" s="1687">
        <v>1.73</v>
      </c>
      <c r="J72" s="1687">
        <v>2.2000000000000002</v>
      </c>
      <c r="K72" s="1687">
        <v>2.6</v>
      </c>
      <c r="L72" s="1687">
        <v>3.3</v>
      </c>
      <c r="M72" s="1687">
        <v>3.9</v>
      </c>
      <c r="N72" s="1687">
        <v>4.45</v>
      </c>
      <c r="O72" s="1687">
        <v>4.95</v>
      </c>
      <c r="P72" s="1687">
        <v>5.86</v>
      </c>
      <c r="Q72" s="1687">
        <v>7.43</v>
      </c>
      <c r="R72" s="1687">
        <v>8.7899999999999991</v>
      </c>
      <c r="S72" s="1687">
        <v>10.02</v>
      </c>
      <c r="AA72" s="228"/>
    </row>
    <row r="73" spans="2:27" s="145" customFormat="1">
      <c r="B73" s="1682">
        <v>20</v>
      </c>
      <c r="C73" s="1687">
        <v>0.52</v>
      </c>
      <c r="D73" s="1687">
        <v>0.71</v>
      </c>
      <c r="E73" s="1687">
        <v>0.85</v>
      </c>
      <c r="F73" s="1687">
        <v>0.96</v>
      </c>
      <c r="G73" s="1687">
        <v>1.06</v>
      </c>
      <c r="H73" s="1687">
        <v>1.45</v>
      </c>
      <c r="I73" s="1687">
        <v>2.2200000000000002</v>
      </c>
      <c r="J73" s="1687">
        <v>2.85</v>
      </c>
      <c r="K73" s="1687">
        <v>3.4</v>
      </c>
      <c r="L73" s="1687">
        <v>4.3600000000000003</v>
      </c>
      <c r="M73" s="1687">
        <v>5.21</v>
      </c>
      <c r="N73" s="1687">
        <v>5.97</v>
      </c>
      <c r="O73" s="1687">
        <v>6.68</v>
      </c>
      <c r="P73" s="1687">
        <v>7.97</v>
      </c>
      <c r="Q73" s="1687">
        <v>10.23</v>
      </c>
      <c r="R73" s="1687">
        <v>12.2</v>
      </c>
      <c r="S73" s="1687">
        <v>13.99</v>
      </c>
      <c r="AA73" s="228"/>
    </row>
    <row r="74" spans="2:27" s="145" customFormat="1">
      <c r="B74" s="1682">
        <v>25</v>
      </c>
      <c r="C74" s="1687">
        <v>0.56000000000000005</v>
      </c>
      <c r="D74" s="1687">
        <v>0.8</v>
      </c>
      <c r="E74" s="1687">
        <v>1</v>
      </c>
      <c r="F74" s="1687">
        <v>1.1599999999999999</v>
      </c>
      <c r="G74" s="1687">
        <v>1.3</v>
      </c>
      <c r="H74" s="1687">
        <v>1.81</v>
      </c>
      <c r="I74" s="1687">
        <v>2.82</v>
      </c>
      <c r="J74" s="1687">
        <v>3.65</v>
      </c>
      <c r="K74" s="1687">
        <v>4.3899999999999997</v>
      </c>
      <c r="L74" s="1687">
        <v>5.69</v>
      </c>
      <c r="M74" s="1687">
        <v>6.83</v>
      </c>
      <c r="N74" s="1687">
        <v>7.88</v>
      </c>
      <c r="O74" s="1687">
        <v>8.86</v>
      </c>
      <c r="P74" s="1687">
        <v>10.65</v>
      </c>
      <c r="Q74" s="1687">
        <v>13.8</v>
      </c>
      <c r="R74" s="1687">
        <v>16.579999999999998</v>
      </c>
      <c r="S74" s="1687">
        <v>19.13</v>
      </c>
      <c r="AA74" s="228"/>
    </row>
    <row r="75" spans="2:27" s="145" customFormat="1">
      <c r="B75" s="1682">
        <v>30</v>
      </c>
      <c r="C75" s="1687">
        <v>0.59</v>
      </c>
      <c r="D75" s="1687">
        <v>0.89</v>
      </c>
      <c r="E75" s="1687">
        <v>1.1299999999999999</v>
      </c>
      <c r="F75" s="1687">
        <v>1.34</v>
      </c>
      <c r="G75" s="1687">
        <v>1.53</v>
      </c>
      <c r="H75" s="1687">
        <v>2.15</v>
      </c>
      <c r="I75" s="1687">
        <v>3.39</v>
      </c>
      <c r="J75" s="1687">
        <v>4.42</v>
      </c>
      <c r="K75" s="1687">
        <v>5.34</v>
      </c>
      <c r="L75" s="1687">
        <v>6.98</v>
      </c>
      <c r="M75" s="1687">
        <v>8.43</v>
      </c>
      <c r="N75" s="1687">
        <v>9.76</v>
      </c>
      <c r="O75" s="1687">
        <v>11.01</v>
      </c>
      <c r="P75" s="1687">
        <v>13.3</v>
      </c>
      <c r="Q75" s="1687">
        <v>17.37</v>
      </c>
      <c r="R75" s="1687">
        <v>20.99</v>
      </c>
      <c r="S75" s="1687">
        <v>24.31</v>
      </c>
      <c r="AA75" s="228"/>
    </row>
    <row r="76" spans="2:27" s="145" customFormat="1">
      <c r="B76" s="1682">
        <v>40</v>
      </c>
      <c r="C76" s="1687">
        <v>0.65</v>
      </c>
      <c r="D76" s="1687">
        <v>1.05</v>
      </c>
      <c r="E76" s="1687">
        <v>1.38</v>
      </c>
      <c r="F76" s="1687">
        <v>1.68</v>
      </c>
      <c r="G76" s="1687">
        <v>1.95</v>
      </c>
      <c r="H76" s="1687">
        <v>2.77</v>
      </c>
      <c r="I76" s="1687">
        <v>4.45</v>
      </c>
      <c r="J76" s="1687">
        <v>5.87</v>
      </c>
      <c r="K76" s="1687">
        <v>7.14</v>
      </c>
      <c r="L76" s="1687">
        <v>9.43</v>
      </c>
      <c r="M76" s="1687">
        <v>11.47</v>
      </c>
      <c r="N76" s="1687">
        <v>13.37</v>
      </c>
      <c r="O76" s="1687">
        <v>15.14</v>
      </c>
      <c r="P76" s="1687">
        <v>18.43</v>
      </c>
      <c r="Q76" s="1687">
        <v>24.32</v>
      </c>
      <c r="R76" s="1687">
        <v>29.6</v>
      </c>
      <c r="S76" s="1687">
        <v>34.479999999999997</v>
      </c>
      <c r="AA76" s="228"/>
    </row>
    <row r="77" spans="2:27" s="145" customFormat="1">
      <c r="B77" s="1682">
        <v>50</v>
      </c>
      <c r="C77" s="1687">
        <v>0.71</v>
      </c>
      <c r="D77" s="1687">
        <v>1.18</v>
      </c>
      <c r="E77" s="1687">
        <v>1.59</v>
      </c>
      <c r="F77" s="1687">
        <v>1.97</v>
      </c>
      <c r="G77" s="1687">
        <v>2.3199999999999998</v>
      </c>
      <c r="H77" s="1687">
        <v>3.32</v>
      </c>
      <c r="I77" s="1687">
        <v>5.4</v>
      </c>
      <c r="J77" s="1687">
        <v>7.17</v>
      </c>
      <c r="K77" s="1687">
        <v>8.7799999999999994</v>
      </c>
      <c r="L77" s="1687">
        <v>11.66</v>
      </c>
      <c r="M77" s="1687">
        <v>14.26</v>
      </c>
      <c r="N77" s="1687">
        <v>16.670000000000002</v>
      </c>
      <c r="O77" s="1687">
        <v>18.940000000000001</v>
      </c>
      <c r="P77" s="1687">
        <v>23.17</v>
      </c>
      <c r="Q77" s="1687">
        <v>30.78</v>
      </c>
      <c r="R77" s="1687">
        <v>37.65</v>
      </c>
      <c r="S77" s="1687">
        <v>44.02</v>
      </c>
      <c r="AA77" s="228"/>
    </row>
    <row r="78" spans="2:27" s="145" customFormat="1">
      <c r="B78" s="1685">
        <v>60</v>
      </c>
      <c r="C78" s="1688">
        <v>0.76</v>
      </c>
      <c r="D78" s="1688">
        <v>1.3</v>
      </c>
      <c r="E78" s="1688">
        <v>1.78</v>
      </c>
      <c r="F78" s="1688">
        <v>2.23</v>
      </c>
      <c r="G78" s="1688">
        <v>2.65</v>
      </c>
      <c r="H78" s="1688">
        <v>3.81</v>
      </c>
      <c r="I78" s="1688">
        <v>6.24</v>
      </c>
      <c r="J78" s="1688">
        <v>8.33</v>
      </c>
      <c r="K78" s="1688">
        <v>10.23</v>
      </c>
      <c r="L78" s="1688">
        <v>13.65</v>
      </c>
      <c r="M78" s="1688">
        <v>16.760000000000002</v>
      </c>
      <c r="N78" s="1688">
        <v>19.64</v>
      </c>
      <c r="O78" s="1688">
        <v>22.36</v>
      </c>
      <c r="P78" s="1688">
        <v>27.45</v>
      </c>
      <c r="Q78" s="1688">
        <v>36.630000000000003</v>
      </c>
      <c r="R78" s="1688">
        <v>44.96</v>
      </c>
      <c r="S78" s="1688">
        <v>52.7</v>
      </c>
      <c r="AA78" s="228"/>
    </row>
    <row r="79" spans="2:27" s="145" customFormat="1">
      <c r="N79" s="229"/>
      <c r="R79" s="230"/>
      <c r="AA79" s="228"/>
    </row>
  </sheetData>
  <sheetProtection selectLockedCells="1" selectUnlockedCells="1"/>
  <mergeCells count="10">
    <mergeCell ref="B54:S54"/>
    <mergeCell ref="C43:H43"/>
    <mergeCell ref="A22:A36"/>
    <mergeCell ref="A38:A41"/>
    <mergeCell ref="A2:A9"/>
    <mergeCell ref="E3:E9"/>
    <mergeCell ref="A12:A20"/>
    <mergeCell ref="D23:D36"/>
    <mergeCell ref="E13:F20"/>
    <mergeCell ref="E12:F12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3">
    <tabColor rgb="FF00B050"/>
  </sheetPr>
  <dimension ref="A1:AL291"/>
  <sheetViews>
    <sheetView topLeftCell="A111" zoomScale="90" zoomScaleNormal="90" workbookViewId="0">
      <selection activeCell="A133" sqref="A133"/>
    </sheetView>
  </sheetViews>
  <sheetFormatPr defaultColWidth="11" defaultRowHeight="15.75"/>
  <cols>
    <col min="1" max="1" width="24.125" customWidth="1"/>
    <col min="2" max="2" width="25.375" customWidth="1"/>
    <col min="3" max="3" width="22.625" customWidth="1"/>
    <col min="4" max="4" width="22" bestFit="1" customWidth="1"/>
    <col min="5" max="5" width="23.125" customWidth="1"/>
    <col min="6" max="6" width="19.75" customWidth="1"/>
    <col min="7" max="7" width="23" customWidth="1"/>
    <col min="8" max="8" width="23.5" customWidth="1"/>
    <col min="9" max="9" width="21.875" customWidth="1"/>
    <col min="10" max="10" width="21.125" customWidth="1"/>
    <col min="11" max="11" width="20.625" customWidth="1"/>
    <col min="12" max="12" width="14.25" customWidth="1"/>
    <col min="13" max="13" width="15.5" bestFit="1" customWidth="1"/>
    <col min="14" max="14" width="14.125" customWidth="1"/>
    <col min="16" max="16" width="17.875" bestFit="1" customWidth="1"/>
    <col min="22" max="22" width="21.375" style="563" customWidth="1"/>
  </cols>
  <sheetData>
    <row r="1" spans="1:38">
      <c r="A1" s="145"/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559"/>
      <c r="W1" s="145"/>
      <c r="X1" s="145"/>
      <c r="Y1" s="145"/>
      <c r="Z1" s="145"/>
      <c r="AA1" s="145"/>
      <c r="AB1" s="145"/>
      <c r="AC1" s="145"/>
      <c r="AD1" s="145"/>
      <c r="AE1" s="145"/>
      <c r="AF1" s="145"/>
      <c r="AG1" s="145"/>
      <c r="AH1" s="145"/>
      <c r="AI1" s="145"/>
      <c r="AJ1" s="145"/>
      <c r="AK1" s="145"/>
      <c r="AL1" s="145"/>
    </row>
    <row r="2" spans="1:38" ht="16.5" thickBot="1">
      <c r="A2" s="352" t="s">
        <v>1110</v>
      </c>
      <c r="B2" s="352"/>
      <c r="C2" s="352"/>
      <c r="D2" s="352"/>
      <c r="E2" s="352"/>
      <c r="F2" s="352"/>
      <c r="G2" s="352"/>
      <c r="H2" s="352"/>
      <c r="I2" s="352"/>
      <c r="J2" s="352"/>
      <c r="K2" s="352"/>
      <c r="L2" s="352"/>
      <c r="M2" s="352"/>
      <c r="N2" s="352"/>
      <c r="O2" s="352"/>
      <c r="P2" s="352"/>
      <c r="Q2" s="352"/>
      <c r="R2" s="352"/>
      <c r="S2" s="352"/>
      <c r="T2" s="352"/>
      <c r="U2" s="352"/>
      <c r="V2" s="559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</row>
    <row r="3" spans="1:38" s="154" customFormat="1" ht="63.75" thickBot="1">
      <c r="A3" s="502"/>
      <c r="B3" s="503"/>
      <c r="C3" s="503"/>
      <c r="D3" s="503"/>
      <c r="E3" s="503"/>
      <c r="F3" s="504" t="s">
        <v>946</v>
      </c>
      <c r="G3" s="505">
        <f>INPUTS!D14/365</f>
        <v>0.58082191780821912</v>
      </c>
      <c r="H3" s="506"/>
      <c r="I3" s="503"/>
      <c r="J3" s="503"/>
      <c r="K3" s="503"/>
      <c r="L3" s="507"/>
      <c r="M3" s="503"/>
      <c r="N3" s="508"/>
      <c r="O3" s="504" t="s">
        <v>945</v>
      </c>
      <c r="P3" s="505">
        <f>INPUTS!D15/365</f>
        <v>0.41917808219178082</v>
      </c>
      <c r="Q3" s="503"/>
      <c r="R3" s="503"/>
      <c r="S3" s="503"/>
      <c r="T3" s="503"/>
      <c r="U3" s="480"/>
      <c r="V3" s="561"/>
    </row>
    <row r="4" spans="1:38" s="145" customFormat="1" ht="16.5" thickBot="1">
      <c r="H4" s="229"/>
      <c r="L4" s="230"/>
      <c r="U4" s="228"/>
      <c r="V4" s="559"/>
    </row>
    <row r="5" spans="1:38" s="145" customFormat="1" ht="32.25" thickBot="1">
      <c r="B5" s="258"/>
      <c r="C5" s="258"/>
      <c r="D5" s="258"/>
      <c r="E5" s="353" t="s">
        <v>943</v>
      </c>
      <c r="F5" s="354"/>
      <c r="G5" s="354"/>
      <c r="H5" s="354"/>
      <c r="I5" s="354"/>
      <c r="J5" s="354"/>
      <c r="K5" s="354"/>
      <c r="L5" s="355"/>
      <c r="M5" s="363"/>
      <c r="N5" s="354" t="s">
        <v>944</v>
      </c>
      <c r="O5" s="354"/>
      <c r="P5" s="354"/>
      <c r="Q5" s="354"/>
      <c r="R5" s="354"/>
      <c r="S5" s="354"/>
      <c r="T5" s="354"/>
      <c r="U5" s="355"/>
      <c r="V5" s="566" t="s">
        <v>1177</v>
      </c>
    </row>
    <row r="6" spans="1:38" s="145" customFormat="1" ht="63">
      <c r="B6" s="490"/>
      <c r="C6" s="511"/>
      <c r="D6" s="491"/>
      <c r="E6" s="749" t="str">
        <f>INPUTS!B60</f>
        <v>Rice (Oryza sativa) - bran (with germs)</v>
      </c>
      <c r="F6" s="747" t="str">
        <f>INPUTS!B61</f>
        <v>Maize (Zea mays) - whole grain</v>
      </c>
      <c r="G6" s="747" t="str">
        <f>INPUTS!B62</f>
        <v>Brachiaria brizantha (forage)</v>
      </c>
      <c r="H6" s="748" t="str">
        <f>INPUTS!B63</f>
        <v>Concentrate (commercial)</v>
      </c>
      <c r="I6" s="747" t="str">
        <f>INPUTS!B64</f>
        <v>Rice (Oryza sativa) - straw</v>
      </c>
      <c r="J6" s="747" t="str">
        <f>INPUTS!B65</f>
        <v>Naturally occuring pasture - grazing</v>
      </c>
      <c r="K6" s="747" t="str">
        <f>INPUTS!B66</f>
        <v>Pennisetum purpureum - forage</v>
      </c>
      <c r="L6" s="612" t="s">
        <v>811</v>
      </c>
      <c r="M6" s="358"/>
      <c r="N6" s="935" t="str">
        <f>E6</f>
        <v>Rice (Oryza sativa) - bran (with germs)</v>
      </c>
      <c r="O6" s="935" t="str">
        <f t="shared" ref="O6:T6" si="0">F6</f>
        <v>Maize (Zea mays) - whole grain</v>
      </c>
      <c r="P6" s="935" t="str">
        <f t="shared" si="0"/>
        <v>Brachiaria brizantha (forage)</v>
      </c>
      <c r="Q6" s="935" t="str">
        <f t="shared" si="0"/>
        <v>Concentrate (commercial)</v>
      </c>
      <c r="R6" s="935" t="str">
        <f t="shared" si="0"/>
        <v>Rice (Oryza sativa) - straw</v>
      </c>
      <c r="S6" s="935" t="str">
        <f t="shared" si="0"/>
        <v>Naturally occuring pasture - grazing</v>
      </c>
      <c r="T6" s="935" t="str">
        <f t="shared" si="0"/>
        <v>Pennisetum purpureum - forage</v>
      </c>
      <c r="U6" s="364" t="s">
        <v>811</v>
      </c>
      <c r="V6" s="559"/>
    </row>
    <row r="7" spans="1:38" s="280" customFormat="1" ht="32.25" customHeight="1">
      <c r="B7" s="492" t="str">
        <f>INPUTS!C21</f>
        <v>Cows (local)</v>
      </c>
      <c r="C7" s="512"/>
      <c r="D7" s="493" t="s">
        <v>1172</v>
      </c>
      <c r="E7" s="356">
        <f>INPUTS!C60</f>
        <v>0.05</v>
      </c>
      <c r="F7" s="281">
        <f>INPUTS!C61</f>
        <v>0</v>
      </c>
      <c r="G7" s="281">
        <f>INPUTS!C62</f>
        <v>0.37</v>
      </c>
      <c r="H7" s="281">
        <f>INPUTS!C63</f>
        <v>0</v>
      </c>
      <c r="I7" s="281">
        <f>INPUTS!C64</f>
        <v>0.1</v>
      </c>
      <c r="J7" s="281">
        <f>INPUTS!C65</f>
        <v>0.15</v>
      </c>
      <c r="K7" s="281">
        <f>INPUTS!C66</f>
        <v>0.33</v>
      </c>
      <c r="L7" s="357"/>
      <c r="M7" s="555" t="s">
        <v>1172</v>
      </c>
      <c r="N7" s="281">
        <f>INPUTS!R60</f>
        <v>0.05</v>
      </c>
      <c r="O7" s="281">
        <f>INPUTS!R61</f>
        <v>0</v>
      </c>
      <c r="P7" s="281">
        <f>INPUTS!R62</f>
        <v>0.37</v>
      </c>
      <c r="Q7" s="281">
        <f>INPUTS!R63</f>
        <v>0</v>
      </c>
      <c r="R7" s="281">
        <f>INPUTS!R64</f>
        <v>0.1</v>
      </c>
      <c r="S7" s="281">
        <f>INPUTS!R65</f>
        <v>0.15</v>
      </c>
      <c r="T7" s="281">
        <f>INPUTS!R66</f>
        <v>0.33</v>
      </c>
      <c r="U7" s="365"/>
      <c r="V7" s="562"/>
    </row>
    <row r="8" spans="1:38" s="474" customFormat="1">
      <c r="B8" s="494"/>
      <c r="C8" s="513"/>
      <c r="D8" s="495" t="s">
        <v>812</v>
      </c>
      <c r="E8" s="368">
        <f>VLOOKUP(E6,'Feed parameters'!$A$2:$M$113,6, FALSE)</f>
        <v>12.74</v>
      </c>
      <c r="F8" s="1168">
        <f>VLOOKUP(F6,'Feed parameters'!$A$2:$M$113,6, FALSE)</f>
        <v>8.1</v>
      </c>
      <c r="G8" s="481">
        <f>VLOOKUP(G6,'Feed parameters'!$A$2:$M$113,6, FALSE)</f>
        <v>1.8862465753424655</v>
      </c>
      <c r="H8" s="481">
        <f>VLOOKUP(H6,'Feed parameters'!$A$2:$M$113,6, FALSE)</f>
        <v>14.4</v>
      </c>
      <c r="I8" s="481">
        <f>VLOOKUP(I6,'Feed parameters'!$A$2:$M$113,6, FALSE)</f>
        <v>3.5373800000000002</v>
      </c>
      <c r="J8" s="481">
        <f>VLOOKUP(J6,'Feed parameters'!$A$2:$M$113,6, FALSE)</f>
        <v>3.6</v>
      </c>
      <c r="K8" s="481">
        <f>VLOOKUP(K6,'Feed parameters'!$A$2:$M$113,6, FALSE)</f>
        <v>1.65</v>
      </c>
      <c r="L8" s="482">
        <f>IFERROR(SUMPRODUCT(E7:K7,E8:K8)/ SUM(E7:K7), 0)</f>
        <v>2.7731492328767127</v>
      </c>
      <c r="M8" s="368" t="s">
        <v>812</v>
      </c>
      <c r="N8" s="723">
        <f>VLOOKUP(N6,'Feed parameters'!$A$2:$M$113,6, FALSE)</f>
        <v>12.74</v>
      </c>
      <c r="O8" s="723">
        <f>VLOOKUP(O6,'Feed parameters'!$A$2:$M$113,6, FALSE)</f>
        <v>8.1</v>
      </c>
      <c r="P8" s="723">
        <f>VLOOKUP(P6,'Feed parameters'!$A$2:$M$113,6, FALSE)</f>
        <v>1.8862465753424655</v>
      </c>
      <c r="Q8" s="723">
        <f>VLOOKUP(Q6,'Feed parameters'!$A$2:$M$113,6, FALSE)</f>
        <v>14.4</v>
      </c>
      <c r="R8" s="723">
        <f>VLOOKUP(R6,'Feed parameters'!$A$2:$M$113,6, FALSE)</f>
        <v>3.5373800000000002</v>
      </c>
      <c r="S8" s="723">
        <f>VLOOKUP(S6,'Feed parameters'!$A$2:$M$113,6, FALSE)</f>
        <v>3.6</v>
      </c>
      <c r="T8" s="723">
        <f>VLOOKUP(T6,'Feed parameters'!$A$2:$M$113,6, FALSE)</f>
        <v>1.65</v>
      </c>
      <c r="U8" s="483">
        <f>IFERROR(SUMPRODUCT(N7:T7,N8:T8)/ SUM(N7:T7), 0)</f>
        <v>2.7731492328767127</v>
      </c>
      <c r="V8" s="565">
        <f>L8*$G$3+U8*$P$3</f>
        <v>2.7731492328767127</v>
      </c>
      <c r="W8" s="475">
        <f>L8*$G$3/(L11*0.01)+U8*$P$3/(U11*0.01)</f>
        <v>7.433122206702885</v>
      </c>
    </row>
    <row r="9" spans="1:38" s="145" customFormat="1">
      <c r="B9" s="494"/>
      <c r="C9" s="513"/>
      <c r="D9" s="495" t="s">
        <v>813</v>
      </c>
      <c r="E9" s="358">
        <f>VLOOKUP(E6,'Feed parameters'!$A$2:$M$113,7, FALSE)</f>
        <v>0.68805871200000002</v>
      </c>
      <c r="F9" s="1169">
        <f>VLOOKUP(F6,'Feed parameters'!$A$2:$M$113,7, FALSE)</f>
        <v>0.99</v>
      </c>
      <c r="G9" s="259">
        <f>VLOOKUP(G6,'Feed parameters'!$A$2:$M$113,7, FALSE)</f>
        <v>0.47881643835616428</v>
      </c>
      <c r="H9" s="259">
        <f>VLOOKUP(H6,'Feed parameters'!$A$2:$M$113,7, FALSE)</f>
        <v>0.79859999999999998</v>
      </c>
      <c r="I9" s="259">
        <f>VLOOKUP(I6,'Feed parameters'!$A$2:$M$113,7, FALSE)</f>
        <v>0.37223999999999996</v>
      </c>
      <c r="J9" s="259">
        <f>VLOOKUP(J6,'Feed parameters'!$A$2:$M$113,7, FALSE)</f>
        <v>0.33</v>
      </c>
      <c r="K9" s="259">
        <f>VLOOKUP(K6,'Feed parameters'!$A$2:$M$113,7, FALSE)</f>
        <v>0.65213596800000007</v>
      </c>
      <c r="L9" s="359">
        <f>IFERROR(SUMPRODUCT(E7:K7,E9:K9)/ SUM(E7:K7), 0)</f>
        <v>0.5134938872317808</v>
      </c>
      <c r="M9" s="368" t="s">
        <v>813</v>
      </c>
      <c r="N9" s="723">
        <f>VLOOKUP(N6,'Feed parameters'!$A$2:$M$113,7, FALSE)</f>
        <v>0.68805871200000002</v>
      </c>
      <c r="O9" s="723">
        <f>VLOOKUP(O6,'Feed parameters'!$A$2:$M$113,7, FALSE)</f>
        <v>0.99</v>
      </c>
      <c r="P9" s="723">
        <f>VLOOKUP(P6,'Feed parameters'!$A$2:$M$113,7, FALSE)</f>
        <v>0.47881643835616428</v>
      </c>
      <c r="Q9" s="723">
        <f>VLOOKUP(Q6,'Feed parameters'!$A$2:$M$113,7, FALSE)</f>
        <v>0.79859999999999998</v>
      </c>
      <c r="R9" s="723">
        <f>VLOOKUP(R6,'Feed parameters'!$A$2:$M$113,7, FALSE)</f>
        <v>0.37223999999999996</v>
      </c>
      <c r="S9" s="723">
        <f>VLOOKUP(S6,'Feed parameters'!$A$2:$M$113,7, FALSE)</f>
        <v>0.33</v>
      </c>
      <c r="T9" s="723">
        <f>VLOOKUP(T6,'Feed parameters'!$A$2:$M$113,7, FALSE)</f>
        <v>0.65213596800000007</v>
      </c>
      <c r="U9" s="366">
        <f>IFERROR(SUMPRODUCT(N7:T7,N9:T9)/ SUM(N7:T7), 0)</f>
        <v>0.5134938872317808</v>
      </c>
      <c r="V9" s="565">
        <f>L9*$G$3+U9*$P$3</f>
        <v>0.51349388723178069</v>
      </c>
    </row>
    <row r="10" spans="1:38" s="145" customFormat="1">
      <c r="B10" s="494"/>
      <c r="C10" s="513"/>
      <c r="D10" s="495" t="s">
        <v>903</v>
      </c>
      <c r="E10" s="358">
        <f>VLOOKUP(E6,'Feed parameters'!$A$2:$M$113,4, FALSE)</f>
        <v>9.486870119999999</v>
      </c>
      <c r="F10" s="1169">
        <f>VLOOKUP(F6,'Feed parameters'!$A$2:$M$113,4, FALSE)</f>
        <v>13.5</v>
      </c>
      <c r="G10" s="259">
        <f>VLOOKUP(G6,'Feed parameters'!$A$2:$M$113,4, FALSE)</f>
        <v>1.886246575342466</v>
      </c>
      <c r="H10" s="259">
        <f>VLOOKUP(H6,'Feed parameters'!$A$2:$M$113,4, FALSE)</f>
        <v>10.89</v>
      </c>
      <c r="I10" s="259">
        <f>VLOOKUP(I6,'Feed parameters'!$A$2:$M$113,4, FALSE)</f>
        <v>5.1820319999999995</v>
      </c>
      <c r="J10" s="259">
        <f>VLOOKUP(J6,'Feed parameters'!$A$2:$M$113,4, FALSE)</f>
        <v>3</v>
      </c>
      <c r="K10" s="259">
        <f>VLOOKUP(K6,'Feed parameters'!$A$2:$M$113,4, FALSE)</f>
        <v>1.4821271999999999</v>
      </c>
      <c r="L10" s="359">
        <f>IFERROR(SUMPRODUCT(E7:K7,E10:K10)/ SUM(E7:K7), 0)</f>
        <v>2.6295599148767121</v>
      </c>
      <c r="M10" s="368" t="s">
        <v>903</v>
      </c>
      <c r="N10" s="723">
        <f>VLOOKUP(N6,'Feed parameters'!$A$2:$M$113,4, FALSE)</f>
        <v>9.486870119999999</v>
      </c>
      <c r="O10" s="723">
        <f>VLOOKUP(O6,'Feed parameters'!$A$2:$M$113,4, FALSE)</f>
        <v>13.5</v>
      </c>
      <c r="P10" s="723">
        <f>VLOOKUP(P6,'Feed parameters'!$A$2:$M$113,4, FALSE)</f>
        <v>1.886246575342466</v>
      </c>
      <c r="Q10" s="723">
        <f>VLOOKUP(Q6,'Feed parameters'!$A$2:$M$113,4, FALSE)</f>
        <v>10.89</v>
      </c>
      <c r="R10" s="723">
        <f>VLOOKUP(R6,'Feed parameters'!$A$2:$M$113,4, FALSE)</f>
        <v>5.1820319999999995</v>
      </c>
      <c r="S10" s="723">
        <f>VLOOKUP(S6,'Feed parameters'!$A$2:$M$113,4, FALSE)</f>
        <v>3</v>
      </c>
      <c r="T10" s="723">
        <f>VLOOKUP(T6,'Feed parameters'!$A$2:$M$113,4, FALSE)</f>
        <v>1.4821271999999999</v>
      </c>
      <c r="U10" s="366">
        <f>IFERROR(SUMPRODUCT(N7:T7,N10:T10)/ SUM(N7:T7), 0)</f>
        <v>2.6295599148767121</v>
      </c>
      <c r="V10" s="565"/>
    </row>
    <row r="11" spans="1:38" s="145" customFormat="1">
      <c r="B11" s="494"/>
      <c r="C11" s="513"/>
      <c r="D11" s="495" t="s">
        <v>1155</v>
      </c>
      <c r="E11" s="358">
        <f>VLOOKUP(E6,'Feed parameters'!$A$2:$M$113,2, FALSE)</f>
        <v>91</v>
      </c>
      <c r="F11" s="1169">
        <f>VLOOKUP(F6,'Feed parameters'!$A$2:$M$113,2, FALSE)</f>
        <v>90</v>
      </c>
      <c r="G11" s="259">
        <f>VLOOKUP(G6,'Feed parameters'!$A$2:$M$113,2, FALSE)</f>
        <v>26</v>
      </c>
      <c r="H11" s="259">
        <f>VLOOKUP(H6,'Feed parameters'!$A$2:$M$113,2, FALSE)</f>
        <v>90</v>
      </c>
      <c r="I11" s="259">
        <f>VLOOKUP(I6,'Feed parameters'!$A$2:$M$113,2, FALSE)</f>
        <v>91.88</v>
      </c>
      <c r="J11" s="259">
        <f>VLOOKUP(J6,'Feed parameters'!$A$2:$M$113,2, FALSE)</f>
        <v>60</v>
      </c>
      <c r="K11" s="259">
        <f>VLOOKUP(K6,'Feed parameters'!$A$2:$M$113,2, FALSE)</f>
        <v>15</v>
      </c>
      <c r="L11" s="359">
        <f>IFERROR(SUMPRODUCT(E7:K7,E11:K11)/ SUM(E7:K7), 0)</f>
        <v>37.308</v>
      </c>
      <c r="M11" s="539" t="s">
        <v>1155</v>
      </c>
      <c r="N11" s="723">
        <f>VLOOKUP(N6,'Feed parameters'!$A$2:$M$113,2, FALSE)</f>
        <v>91</v>
      </c>
      <c r="O11" s="723">
        <f>VLOOKUP(O6,'Feed parameters'!$A$2:$M$113,2, FALSE)</f>
        <v>90</v>
      </c>
      <c r="P11" s="723">
        <f>VLOOKUP(P6,'Feed parameters'!$A$2:$M$113,2, FALSE)</f>
        <v>26</v>
      </c>
      <c r="Q11" s="723">
        <f>VLOOKUP(Q6,'Feed parameters'!$A$2:$M$113,2, FALSE)</f>
        <v>90</v>
      </c>
      <c r="R11" s="723">
        <f>VLOOKUP(R6,'Feed parameters'!$A$2:$M$113,2, FALSE)</f>
        <v>91.88</v>
      </c>
      <c r="S11" s="723">
        <f>VLOOKUP(S6,'Feed parameters'!$A$2:$M$113,2, FALSE)</f>
        <v>60</v>
      </c>
      <c r="T11" s="723">
        <f>VLOOKUP(T6,'Feed parameters'!$A$2:$M$113,2, FALSE)</f>
        <v>15</v>
      </c>
      <c r="U11" s="366">
        <f>IFERROR(SUMPRODUCT(N7:T7,N11:T11)/ SUM(N7:T7), 0)</f>
        <v>37.308</v>
      </c>
      <c r="V11" s="565">
        <f>L11*$G$3+U11*$P$3</f>
        <v>37.308</v>
      </c>
    </row>
    <row r="12" spans="1:38" s="145" customFormat="1">
      <c r="B12" s="494"/>
      <c r="C12" s="513"/>
      <c r="D12" s="495" t="s">
        <v>1173</v>
      </c>
      <c r="E12" s="358">
        <f t="shared" ref="E12:K12" si="1">IFERROR((E7*E11)/SUMPRODUCT($E7:$K7,$E11:$K11), 0)</f>
        <v>0.12195775704942639</v>
      </c>
      <c r="F12" s="259">
        <f t="shared" si="1"/>
        <v>0</v>
      </c>
      <c r="G12" s="259">
        <f t="shared" si="1"/>
        <v>0.25785354347593009</v>
      </c>
      <c r="H12" s="259">
        <f t="shared" si="1"/>
        <v>0</v>
      </c>
      <c r="I12" s="259">
        <f t="shared" si="1"/>
        <v>0.24627425753189666</v>
      </c>
      <c r="J12" s="259">
        <f t="shared" si="1"/>
        <v>0.24123512383403023</v>
      </c>
      <c r="K12" s="259">
        <f t="shared" si="1"/>
        <v>0.13267931810871664</v>
      </c>
      <c r="L12" s="359"/>
      <c r="M12" s="539" t="s">
        <v>1173</v>
      </c>
      <c r="N12" s="259">
        <f t="shared" ref="N12:T12" si="2">IFERROR((N7*N11)/SUMPRODUCT($N7:$T7,$N11:$T11), 0)</f>
        <v>0.12195775704942639</v>
      </c>
      <c r="O12" s="259">
        <f t="shared" si="2"/>
        <v>0</v>
      </c>
      <c r="P12" s="259">
        <f t="shared" si="2"/>
        <v>0.25785354347593009</v>
      </c>
      <c r="Q12" s="259">
        <f t="shared" si="2"/>
        <v>0</v>
      </c>
      <c r="R12" s="259">
        <f t="shared" si="2"/>
        <v>0.24627425753189666</v>
      </c>
      <c r="S12" s="259">
        <f t="shared" si="2"/>
        <v>0.24123512383403023</v>
      </c>
      <c r="T12" s="259">
        <f t="shared" si="2"/>
        <v>0.13267931810871664</v>
      </c>
      <c r="U12" s="366"/>
      <c r="V12" s="565"/>
    </row>
    <row r="13" spans="1:38" s="145" customFormat="1">
      <c r="B13" s="494"/>
      <c r="C13" s="513"/>
      <c r="D13" s="495"/>
      <c r="E13" s="358"/>
      <c r="F13" s="259"/>
      <c r="G13" s="259"/>
      <c r="H13" s="259"/>
      <c r="I13" s="259"/>
      <c r="J13" s="259"/>
      <c r="K13" s="259"/>
      <c r="L13" s="359"/>
      <c r="M13" s="368"/>
      <c r="N13" s="259"/>
      <c r="O13" s="259"/>
      <c r="P13" s="259"/>
      <c r="Q13" s="259"/>
      <c r="R13" s="259"/>
      <c r="S13" s="259"/>
      <c r="T13" s="259"/>
      <c r="U13" s="366"/>
      <c r="V13" s="565"/>
    </row>
    <row r="14" spans="1:38" s="280" customFormat="1">
      <c r="B14" s="492" t="str">
        <f>INPUTS!C22</f>
        <v>Cows (improved)</v>
      </c>
      <c r="C14" s="512"/>
      <c r="D14" s="493" t="s">
        <v>1172</v>
      </c>
      <c r="E14" s="356">
        <f>INPUTS!D60</f>
        <v>0.05</v>
      </c>
      <c r="F14" s="281">
        <f>INPUTS!D61</f>
        <v>0</v>
      </c>
      <c r="G14" s="281">
        <f>INPUTS!D62</f>
        <v>0.37</v>
      </c>
      <c r="H14" s="281">
        <f>INPUTS!D63</f>
        <v>0</v>
      </c>
      <c r="I14" s="281">
        <f>INPUTS!D64</f>
        <v>0.1</v>
      </c>
      <c r="J14" s="281">
        <f>INPUTS!D65</f>
        <v>0.15</v>
      </c>
      <c r="K14" s="281">
        <f>INPUTS!D66</f>
        <v>0.33</v>
      </c>
      <c r="L14" s="357"/>
      <c r="M14" s="555" t="s">
        <v>1172</v>
      </c>
      <c r="N14" s="281">
        <f>INPUTS!S60</f>
        <v>0.05</v>
      </c>
      <c r="O14" s="281">
        <f>INPUTS!S61</f>
        <v>0</v>
      </c>
      <c r="P14" s="281">
        <f>INPUTS!S62</f>
        <v>0.37</v>
      </c>
      <c r="Q14" s="281">
        <f>INPUTS!S63</f>
        <v>0</v>
      </c>
      <c r="R14" s="281">
        <f>INPUTS!S64</f>
        <v>0.1</v>
      </c>
      <c r="S14" s="281">
        <f>INPUTS!S65</f>
        <v>0.15</v>
      </c>
      <c r="T14" s="281">
        <f>INPUTS!S66</f>
        <v>0.33</v>
      </c>
      <c r="U14" s="365"/>
      <c r="V14" s="564"/>
    </row>
    <row r="15" spans="1:38" s="145" customFormat="1">
      <c r="B15" s="494"/>
      <c r="C15" s="513"/>
      <c r="D15" s="495" t="s">
        <v>812</v>
      </c>
      <c r="E15" s="358">
        <f>VLOOKUP(E6,'Feed parameters'!$A$2:$M$113,6, FALSE)</f>
        <v>12.74</v>
      </c>
      <c r="F15" s="259">
        <f>VLOOKUP(F6,'Feed parameters'!$A$2:$M$113,6, FALSE)</f>
        <v>8.1</v>
      </c>
      <c r="G15" s="259">
        <f>VLOOKUP(G6,'Feed parameters'!$A$2:$M$113,6, FALSE)</f>
        <v>1.8862465753424655</v>
      </c>
      <c r="H15" s="259">
        <f>VLOOKUP(H6,'Feed parameters'!$A$2:$M$113,6, FALSE)</f>
        <v>14.4</v>
      </c>
      <c r="I15" s="259">
        <f>VLOOKUP(I6,'Feed parameters'!$A$2:$M$113,6, FALSE)</f>
        <v>3.5373800000000002</v>
      </c>
      <c r="J15" s="259">
        <f>VLOOKUP(J6,'Feed parameters'!$A$2:$M$113,6, FALSE)</f>
        <v>3.6</v>
      </c>
      <c r="K15" s="259">
        <f>VLOOKUP(K6,'Feed parameters'!$A$2:$M$113,6, FALSE)</f>
        <v>1.65</v>
      </c>
      <c r="L15" s="359">
        <f>IFERROR(SUMPRODUCT(E14:K14,E15:K15)/ SUM(E14:K14), 0)</f>
        <v>2.7731492328767127</v>
      </c>
      <c r="M15" s="368" t="s">
        <v>812</v>
      </c>
      <c r="N15" s="723">
        <f>N8</f>
        <v>12.74</v>
      </c>
      <c r="O15" s="723">
        <f t="shared" ref="O15:T15" si="3">O8</f>
        <v>8.1</v>
      </c>
      <c r="P15" s="723">
        <f t="shared" si="3"/>
        <v>1.8862465753424655</v>
      </c>
      <c r="Q15" s="723">
        <f t="shared" si="3"/>
        <v>14.4</v>
      </c>
      <c r="R15" s="723">
        <f t="shared" si="3"/>
        <v>3.5373800000000002</v>
      </c>
      <c r="S15" s="723">
        <f t="shared" si="3"/>
        <v>3.6</v>
      </c>
      <c r="T15" s="723">
        <f t="shared" si="3"/>
        <v>1.65</v>
      </c>
      <c r="U15" s="366">
        <f>IFERROR(SUMPRODUCT(N14:T14,N15:T15)/ SUM(N14:T14), 0)</f>
        <v>2.7731492328767127</v>
      </c>
      <c r="V15" s="565">
        <f>L15*$G$3+U15*$P$3</f>
        <v>2.7731492328767127</v>
      </c>
      <c r="W15" s="475">
        <f>L15*$G$3/(L18*0.01)+U15*$P$3/(U18*0.01)</f>
        <v>7.433122206702885</v>
      </c>
    </row>
    <row r="16" spans="1:38" s="145" customFormat="1">
      <c r="B16" s="494"/>
      <c r="C16" s="513"/>
      <c r="D16" s="495" t="s">
        <v>813</v>
      </c>
      <c r="E16" s="358">
        <f>VLOOKUP(E6,'Feed parameters'!$A$2:$M$113,7, FALSE)</f>
        <v>0.68805871200000002</v>
      </c>
      <c r="F16" s="259">
        <f>VLOOKUP(F6,'Feed parameters'!$A$2:$M$113,7, FALSE)</f>
        <v>0.99</v>
      </c>
      <c r="G16" s="259">
        <f>VLOOKUP(G6,'Feed parameters'!$A$2:$M$113,7, FALSE)</f>
        <v>0.47881643835616428</v>
      </c>
      <c r="H16" s="259">
        <f>VLOOKUP(H6,'Feed parameters'!$A$2:$M$113,7, FALSE)</f>
        <v>0.79859999999999998</v>
      </c>
      <c r="I16" s="259">
        <f>VLOOKUP(I6,'Feed parameters'!$A$2:$M$113,7, FALSE)</f>
        <v>0.37223999999999996</v>
      </c>
      <c r="J16" s="259">
        <f>VLOOKUP(J6,'Feed parameters'!$A$2:$M$113,7, FALSE)</f>
        <v>0.33</v>
      </c>
      <c r="K16" s="259">
        <f>VLOOKUP(K6,'Feed parameters'!$A$2:$M$113,7, FALSE)</f>
        <v>0.65213596800000007</v>
      </c>
      <c r="L16" s="359">
        <f>IFERROR(SUMPRODUCT(E14:K14,E16:K16)/ SUM(E14:K14), 0)</f>
        <v>0.5134938872317808</v>
      </c>
      <c r="M16" s="368" t="s">
        <v>813</v>
      </c>
      <c r="N16" s="723">
        <f t="shared" ref="N16:N18" si="4">N9</f>
        <v>0.68805871200000002</v>
      </c>
      <c r="O16" s="723">
        <f t="shared" ref="O16:T16" si="5">O9</f>
        <v>0.99</v>
      </c>
      <c r="P16" s="723">
        <f t="shared" si="5"/>
        <v>0.47881643835616428</v>
      </c>
      <c r="Q16" s="723">
        <f t="shared" si="5"/>
        <v>0.79859999999999998</v>
      </c>
      <c r="R16" s="723">
        <f t="shared" si="5"/>
        <v>0.37223999999999996</v>
      </c>
      <c r="S16" s="723">
        <f t="shared" si="5"/>
        <v>0.33</v>
      </c>
      <c r="T16" s="723">
        <f t="shared" si="5"/>
        <v>0.65213596800000007</v>
      </c>
      <c r="U16" s="366">
        <f>IFERROR(SUMPRODUCT(N14:T14,N16:T16)/ SUM(N14:T14), 0)</f>
        <v>0.5134938872317808</v>
      </c>
      <c r="V16" s="565">
        <f>L16*$G$3+U16*$P$3</f>
        <v>0.51349388723178069</v>
      </c>
    </row>
    <row r="17" spans="1:23" s="145" customFormat="1">
      <c r="B17" s="494"/>
      <c r="C17" s="513"/>
      <c r="D17" s="495" t="s">
        <v>903</v>
      </c>
      <c r="E17" s="358">
        <f>VLOOKUP(E6,'Feed parameters'!$A$2:$M$113,4, FALSE)</f>
        <v>9.486870119999999</v>
      </c>
      <c r="F17" s="259">
        <f>VLOOKUP(F6,'Feed parameters'!$A$2:$M$113,4, FALSE)</f>
        <v>13.5</v>
      </c>
      <c r="G17" s="259">
        <f>VLOOKUP(G6,'Feed parameters'!$A$2:$M$113,4, FALSE)</f>
        <v>1.886246575342466</v>
      </c>
      <c r="H17" s="259">
        <f>VLOOKUP(H6,'Feed parameters'!$A$2:$M$113,4, FALSE)</f>
        <v>10.89</v>
      </c>
      <c r="I17" s="259">
        <f>VLOOKUP(I6,'Feed parameters'!$A$2:$M$113,4, FALSE)</f>
        <v>5.1820319999999995</v>
      </c>
      <c r="J17" s="259">
        <f>VLOOKUP(J6,'Feed parameters'!$A$2:$M$113,4, FALSE)</f>
        <v>3</v>
      </c>
      <c r="K17" s="259">
        <f>VLOOKUP(K6,'Feed parameters'!$A$2:$M$113,4, FALSE)</f>
        <v>1.4821271999999999</v>
      </c>
      <c r="L17" s="359">
        <f>IFERROR(SUMPRODUCT(E14:K14,E17:K17)/ SUM(E14:K14), 0)</f>
        <v>2.6295599148767121</v>
      </c>
      <c r="M17" s="368" t="s">
        <v>903</v>
      </c>
      <c r="N17" s="723">
        <f t="shared" si="4"/>
        <v>9.486870119999999</v>
      </c>
      <c r="O17" s="723">
        <f t="shared" ref="O17:T17" si="6">O10</f>
        <v>13.5</v>
      </c>
      <c r="P17" s="723">
        <f t="shared" si="6"/>
        <v>1.886246575342466</v>
      </c>
      <c r="Q17" s="723">
        <f t="shared" si="6"/>
        <v>10.89</v>
      </c>
      <c r="R17" s="723">
        <f t="shared" si="6"/>
        <v>5.1820319999999995</v>
      </c>
      <c r="S17" s="723">
        <f t="shared" si="6"/>
        <v>3</v>
      </c>
      <c r="T17" s="723">
        <f t="shared" si="6"/>
        <v>1.4821271999999999</v>
      </c>
      <c r="U17" s="366">
        <f>IFERROR(SUMPRODUCT(N14:T14,N17:T17)/ SUM(N14:T14), 0)</f>
        <v>2.6295599148767121</v>
      </c>
      <c r="V17" s="565"/>
    </row>
    <row r="18" spans="1:23" s="145" customFormat="1">
      <c r="B18" s="494"/>
      <c r="C18" s="513"/>
      <c r="D18" s="495" t="s">
        <v>1155</v>
      </c>
      <c r="E18" s="358">
        <f>VLOOKUP(E6,'Feed parameters'!$A$2:$M$113,2, FALSE)</f>
        <v>91</v>
      </c>
      <c r="F18" s="259">
        <f>VLOOKUP(F6,'Feed parameters'!$A$2:$M$113,2, FALSE)</f>
        <v>90</v>
      </c>
      <c r="G18" s="259">
        <f>VLOOKUP(G6,'Feed parameters'!$A$2:$M$113,2, FALSE)</f>
        <v>26</v>
      </c>
      <c r="H18" s="259">
        <f>VLOOKUP(H6,'Feed parameters'!$A$2:$M$113,2, FALSE)</f>
        <v>90</v>
      </c>
      <c r="I18" s="259">
        <f>VLOOKUP(I6,'Feed parameters'!$A$2:$M$113,2, FALSE)</f>
        <v>91.88</v>
      </c>
      <c r="J18" s="259">
        <f>VLOOKUP(J6,'Feed parameters'!$A$2:$M$113,2, FALSE)</f>
        <v>60</v>
      </c>
      <c r="K18" s="259">
        <f>VLOOKUP(K6,'Feed parameters'!$A$2:$M$113,2, FALSE)</f>
        <v>15</v>
      </c>
      <c r="L18" s="359">
        <f>IFERROR(SUMPRODUCT(E14:K14,E18:K18)/ SUM(E14:K14), 0)</f>
        <v>37.308</v>
      </c>
      <c r="M18" s="539" t="s">
        <v>1155</v>
      </c>
      <c r="N18" s="723">
        <f t="shared" si="4"/>
        <v>91</v>
      </c>
      <c r="O18" s="723">
        <f t="shared" ref="O18:T18" si="7">O11</f>
        <v>90</v>
      </c>
      <c r="P18" s="723">
        <f t="shared" si="7"/>
        <v>26</v>
      </c>
      <c r="Q18" s="723">
        <f t="shared" si="7"/>
        <v>90</v>
      </c>
      <c r="R18" s="723">
        <f t="shared" si="7"/>
        <v>91.88</v>
      </c>
      <c r="S18" s="723">
        <f t="shared" si="7"/>
        <v>60</v>
      </c>
      <c r="T18" s="723">
        <f t="shared" si="7"/>
        <v>15</v>
      </c>
      <c r="U18" s="366">
        <f>IFERROR(SUMPRODUCT(N14:T14,N18:T18)/ SUM(N14:T14), 0)</f>
        <v>37.308</v>
      </c>
      <c r="V18" s="565">
        <f>L18*$G$3+U18*$P$3</f>
        <v>37.308</v>
      </c>
    </row>
    <row r="19" spans="1:23" s="145" customFormat="1">
      <c r="B19" s="494"/>
      <c r="C19" s="513"/>
      <c r="D19" s="495" t="s">
        <v>1173</v>
      </c>
      <c r="E19" s="358">
        <f t="shared" ref="E19:K19" si="8">IFERROR((E14*E18)/SUMPRODUCT($E14:$K14,$E18:$K18), 0)</f>
        <v>0.12195775704942639</v>
      </c>
      <c r="F19" s="259">
        <f t="shared" si="8"/>
        <v>0</v>
      </c>
      <c r="G19" s="259">
        <f t="shared" si="8"/>
        <v>0.25785354347593009</v>
      </c>
      <c r="H19" s="259">
        <f t="shared" si="8"/>
        <v>0</v>
      </c>
      <c r="I19" s="259">
        <f t="shared" si="8"/>
        <v>0.24627425753189666</v>
      </c>
      <c r="J19" s="259">
        <f t="shared" si="8"/>
        <v>0.24123512383403023</v>
      </c>
      <c r="K19" s="259">
        <f t="shared" si="8"/>
        <v>0.13267931810871664</v>
      </c>
      <c r="L19" s="359"/>
      <c r="M19" s="539" t="s">
        <v>1173</v>
      </c>
      <c r="N19" s="259">
        <f t="shared" ref="N19:T19" si="9">IFERROR(IFERROR((N14*N18)/SUMPRODUCT($N14:$T14,$N18:$T18), 0), 0)</f>
        <v>0.12195775704942639</v>
      </c>
      <c r="O19" s="259">
        <f t="shared" si="9"/>
        <v>0</v>
      </c>
      <c r="P19" s="259">
        <f t="shared" si="9"/>
        <v>0.25785354347593009</v>
      </c>
      <c r="Q19" s="259">
        <f t="shared" si="9"/>
        <v>0</v>
      </c>
      <c r="R19" s="259">
        <f t="shared" si="9"/>
        <v>0.24627425753189666</v>
      </c>
      <c r="S19" s="259">
        <f t="shared" si="9"/>
        <v>0.24123512383403023</v>
      </c>
      <c r="T19" s="259">
        <f t="shared" si="9"/>
        <v>0.13267931810871664</v>
      </c>
      <c r="U19" s="366"/>
      <c r="V19" s="565"/>
    </row>
    <row r="20" spans="1:23" s="145" customFormat="1">
      <c r="B20" s="494"/>
      <c r="C20" s="513"/>
      <c r="D20" s="495"/>
      <c r="E20" s="358"/>
      <c r="F20" s="259"/>
      <c r="G20" s="259"/>
      <c r="H20" s="259"/>
      <c r="I20" s="259"/>
      <c r="J20" s="259"/>
      <c r="K20" s="259"/>
      <c r="L20" s="359"/>
      <c r="M20" s="539"/>
      <c r="N20" s="187"/>
      <c r="O20" s="187"/>
      <c r="P20" s="187"/>
      <c r="Q20" s="187"/>
      <c r="R20" s="187"/>
      <c r="S20" s="187"/>
      <c r="T20" s="187"/>
      <c r="U20" s="366"/>
      <c r="V20" s="565"/>
    </row>
    <row r="21" spans="1:23" s="280" customFormat="1">
      <c r="B21" s="496" t="str">
        <f>INPUTS!C23</f>
        <v>Adult cattle - male</v>
      </c>
      <c r="C21" s="514"/>
      <c r="D21" s="493" t="s">
        <v>1172</v>
      </c>
      <c r="E21" s="356">
        <f>INPUTS!E60</f>
        <v>0.05</v>
      </c>
      <c r="F21" s="281">
        <f>INPUTS!E61</f>
        <v>0</v>
      </c>
      <c r="G21" s="281">
        <f>INPUTS!E62</f>
        <v>0.37</v>
      </c>
      <c r="H21" s="281">
        <f>INPUTS!E63</f>
        <v>0</v>
      </c>
      <c r="I21" s="281">
        <f>INPUTS!E64</f>
        <v>0.1</v>
      </c>
      <c r="J21" s="281">
        <f>INPUTS!E65</f>
        <v>0.15</v>
      </c>
      <c r="K21" s="281">
        <f>INPUTS!E66</f>
        <v>0.33</v>
      </c>
      <c r="L21" s="357"/>
      <c r="M21" s="555" t="s">
        <v>1172</v>
      </c>
      <c r="N21" s="281">
        <f>INPUTS!T60</f>
        <v>0.05</v>
      </c>
      <c r="O21" s="281">
        <f>INPUTS!T61</f>
        <v>0</v>
      </c>
      <c r="P21" s="281">
        <f>INPUTS!T62</f>
        <v>0.37</v>
      </c>
      <c r="Q21" s="281">
        <f>INPUTS!T63</f>
        <v>0</v>
      </c>
      <c r="R21" s="281">
        <f>INPUTS!T64</f>
        <v>0.1</v>
      </c>
      <c r="S21" s="281">
        <f>INPUTS!T65</f>
        <v>0.15</v>
      </c>
      <c r="T21" s="281">
        <f>INPUTS!T66</f>
        <v>0.33</v>
      </c>
      <c r="U21" s="365"/>
      <c r="V21" s="564"/>
    </row>
    <row r="22" spans="1:23" s="145" customFormat="1">
      <c r="B22" s="497"/>
      <c r="C22" s="515"/>
      <c r="D22" s="495" t="s">
        <v>812</v>
      </c>
      <c r="E22" s="360">
        <f>VLOOKUP(E6,'Feed parameters'!$A$2:$M$113,6, FALSE)</f>
        <v>12.74</v>
      </c>
      <c r="F22" s="187">
        <f>VLOOKUP(F6,'Feed parameters'!$A$2:$M$113,6, FALSE)</f>
        <v>8.1</v>
      </c>
      <c r="G22" s="187">
        <f>VLOOKUP(G6,'Feed parameters'!$A$2:$M$113,6, FALSE)</f>
        <v>1.8862465753424655</v>
      </c>
      <c r="H22" s="187">
        <f>VLOOKUP(H6,'Feed parameters'!$A$2:$M$113,6, FALSE)</f>
        <v>14.4</v>
      </c>
      <c r="I22" s="187">
        <f>VLOOKUP(I6,'Feed parameters'!$A$2:$M$113,6, FALSE)</f>
        <v>3.5373800000000002</v>
      </c>
      <c r="J22" s="187">
        <f>VLOOKUP(J6,'Feed parameters'!$A$2:$M$113,6, FALSE)</f>
        <v>3.6</v>
      </c>
      <c r="K22" s="187">
        <f>VLOOKUP(K6,'Feed parameters'!$A$2:$M$113,6, FALSE)</f>
        <v>1.65</v>
      </c>
      <c r="L22" s="361">
        <f>IFERROR(SUMPRODUCT(E21:K21,E22:K22)/ SUM(E21:K21), 0)</f>
        <v>2.7731492328767127</v>
      </c>
      <c r="M22" s="368" t="s">
        <v>812</v>
      </c>
      <c r="N22" s="723">
        <f>N15</f>
        <v>12.74</v>
      </c>
      <c r="O22" s="723">
        <f t="shared" ref="O22:T22" si="10">O15</f>
        <v>8.1</v>
      </c>
      <c r="P22" s="723">
        <f t="shared" si="10"/>
        <v>1.8862465753424655</v>
      </c>
      <c r="Q22" s="723">
        <f t="shared" si="10"/>
        <v>14.4</v>
      </c>
      <c r="R22" s="723">
        <f t="shared" si="10"/>
        <v>3.5373800000000002</v>
      </c>
      <c r="S22" s="723">
        <f t="shared" si="10"/>
        <v>3.6</v>
      </c>
      <c r="T22" s="723">
        <f t="shared" si="10"/>
        <v>1.65</v>
      </c>
      <c r="U22" s="367">
        <f>IFERROR(SUMPRODUCT(N21:T21,N22:T22)/ SUM(N21:T21), 0)</f>
        <v>2.7731492328767127</v>
      </c>
      <c r="V22" s="565">
        <f>L22*$G$3+U22*$P$3</f>
        <v>2.7731492328767127</v>
      </c>
      <c r="W22" s="475">
        <f>L22*$G$3/(L25*0.01)+U22*$P$3/(U25*0.01)</f>
        <v>7.433122206702885</v>
      </c>
    </row>
    <row r="23" spans="1:23" s="145" customFormat="1">
      <c r="B23" s="497"/>
      <c r="C23" s="515"/>
      <c r="D23" s="495" t="s">
        <v>813</v>
      </c>
      <c r="E23" s="360">
        <f>VLOOKUP(E6,'Feed parameters'!$A$2:$M$113,7, FALSE)</f>
        <v>0.68805871200000002</v>
      </c>
      <c r="F23" s="187">
        <f>VLOOKUP(F6,'Feed parameters'!$A$2:$M$113,7, FALSE)</f>
        <v>0.99</v>
      </c>
      <c r="G23" s="187">
        <f>VLOOKUP(G6,'Feed parameters'!$A$2:$M$113,7, FALSE)</f>
        <v>0.47881643835616428</v>
      </c>
      <c r="H23" s="187">
        <f>VLOOKUP(H6,'Feed parameters'!$A$2:$M$113,7, FALSE)</f>
        <v>0.79859999999999998</v>
      </c>
      <c r="I23" s="187">
        <f>VLOOKUP(I6,'Feed parameters'!$A$2:$M$113,7, FALSE)</f>
        <v>0.37223999999999996</v>
      </c>
      <c r="J23" s="187">
        <f>VLOOKUP(J6,'Feed parameters'!$A$2:$M$113,7, FALSE)</f>
        <v>0.33</v>
      </c>
      <c r="K23" s="187">
        <f>VLOOKUP(K6,'Feed parameters'!$A$2:$M$113,7, FALSE)</f>
        <v>0.65213596800000007</v>
      </c>
      <c r="L23" s="361">
        <f>IFERROR(SUMPRODUCT(E21:K21,E23:K23)/ SUM(E21:K21), 0)</f>
        <v>0.5134938872317808</v>
      </c>
      <c r="M23" s="368" t="s">
        <v>813</v>
      </c>
      <c r="N23" s="723">
        <f t="shared" ref="N23" si="11">N16</f>
        <v>0.68805871200000002</v>
      </c>
      <c r="O23" s="723">
        <f t="shared" ref="O23:T23" si="12">O16</f>
        <v>0.99</v>
      </c>
      <c r="P23" s="723">
        <f t="shared" si="12"/>
        <v>0.47881643835616428</v>
      </c>
      <c r="Q23" s="723">
        <f t="shared" si="12"/>
        <v>0.79859999999999998</v>
      </c>
      <c r="R23" s="723">
        <f t="shared" si="12"/>
        <v>0.37223999999999996</v>
      </c>
      <c r="S23" s="723">
        <f t="shared" si="12"/>
        <v>0.33</v>
      </c>
      <c r="T23" s="723">
        <f t="shared" si="12"/>
        <v>0.65213596800000007</v>
      </c>
      <c r="U23" s="367">
        <f>IFERROR(SUMPRODUCT(N21:T21,N23:T23)/ SUM(N21:T21), 0)</f>
        <v>0.5134938872317808</v>
      </c>
      <c r="V23" s="565">
        <f>L23*$G$3+U23*$P$3</f>
        <v>0.51349388723178069</v>
      </c>
    </row>
    <row r="24" spans="1:23" s="145" customFormat="1">
      <c r="B24" s="494"/>
      <c r="C24" s="513"/>
      <c r="D24" s="495" t="s">
        <v>903</v>
      </c>
      <c r="E24" s="358">
        <f>VLOOKUP(E6,'Feed parameters'!$A$2:$M$113,4, FALSE)</f>
        <v>9.486870119999999</v>
      </c>
      <c r="F24" s="259">
        <f>VLOOKUP(F6,'Feed parameters'!$A$2:$M$113,4, FALSE)</f>
        <v>13.5</v>
      </c>
      <c r="G24" s="259">
        <f>VLOOKUP(G6,'Feed parameters'!$A$2:$M$113,4, FALSE)</f>
        <v>1.886246575342466</v>
      </c>
      <c r="H24" s="259">
        <f>VLOOKUP(H6,'Feed parameters'!$A$2:$M$113,4, FALSE)</f>
        <v>10.89</v>
      </c>
      <c r="I24" s="259">
        <f>VLOOKUP(I6,'Feed parameters'!$A$2:$M$113,4, FALSE)</f>
        <v>5.1820319999999995</v>
      </c>
      <c r="J24" s="259">
        <f>VLOOKUP(J6,'Feed parameters'!$A$2:$M$113,4, FALSE)</f>
        <v>3</v>
      </c>
      <c r="K24" s="259">
        <f>VLOOKUP(K6,'Feed parameters'!$A$2:$M$113,4, FALSE)</f>
        <v>1.4821271999999999</v>
      </c>
      <c r="L24" s="359">
        <f>IFERROR(SUMPRODUCT(E21:K21,E24:K24)/ SUM(E21:K21), 0)</f>
        <v>2.6295599148767121</v>
      </c>
      <c r="M24" s="368" t="s">
        <v>903</v>
      </c>
      <c r="N24" s="723">
        <f t="shared" ref="N24" si="13">N17</f>
        <v>9.486870119999999</v>
      </c>
      <c r="O24" s="723">
        <f t="shared" ref="O24:T24" si="14">O17</f>
        <v>13.5</v>
      </c>
      <c r="P24" s="723">
        <f t="shared" si="14"/>
        <v>1.886246575342466</v>
      </c>
      <c r="Q24" s="723">
        <f t="shared" si="14"/>
        <v>10.89</v>
      </c>
      <c r="R24" s="723">
        <f t="shared" si="14"/>
        <v>5.1820319999999995</v>
      </c>
      <c r="S24" s="723">
        <f t="shared" si="14"/>
        <v>3</v>
      </c>
      <c r="T24" s="723">
        <f t="shared" si="14"/>
        <v>1.4821271999999999</v>
      </c>
      <c r="U24" s="366">
        <f>IFERROR(SUMPRODUCT(N21:T21,N24:T24)/ SUM(N21:T21), 0)</f>
        <v>2.6295599148767121</v>
      </c>
      <c r="V24" s="565"/>
    </row>
    <row r="25" spans="1:23" s="145" customFormat="1">
      <c r="B25" s="494"/>
      <c r="C25" s="513"/>
      <c r="D25" s="495" t="s">
        <v>1155</v>
      </c>
      <c r="E25" s="358">
        <f>VLOOKUP(E6,'Feed parameters'!$A$2:$M$113,2, FALSE)</f>
        <v>91</v>
      </c>
      <c r="F25" s="259">
        <f>VLOOKUP(F6,'Feed parameters'!$A$2:$M$113,2, FALSE)</f>
        <v>90</v>
      </c>
      <c r="G25" s="259">
        <f>VLOOKUP(G6,'Feed parameters'!$A$2:$M$113,2, FALSE)</f>
        <v>26</v>
      </c>
      <c r="H25" s="259">
        <f>VLOOKUP(H6,'Feed parameters'!$A$2:$M$113,2, FALSE)</f>
        <v>90</v>
      </c>
      <c r="I25" s="259">
        <f>VLOOKUP(I6,'Feed parameters'!$A$2:$M$113,2, FALSE)</f>
        <v>91.88</v>
      </c>
      <c r="J25" s="259">
        <f>VLOOKUP(J6,'Feed parameters'!$A$2:$M$113,2, FALSE)</f>
        <v>60</v>
      </c>
      <c r="K25" s="259">
        <f>VLOOKUP(K6,'Feed parameters'!$A$2:$M$113,2, FALSE)</f>
        <v>15</v>
      </c>
      <c r="L25" s="359">
        <f>IFERROR(SUMPRODUCT(E21:K21,E25:K25)/ SUM(E21:K21), 0)</f>
        <v>37.308</v>
      </c>
      <c r="M25" s="539" t="s">
        <v>1155</v>
      </c>
      <c r="N25" s="723">
        <f t="shared" ref="N25" si="15">N18</f>
        <v>91</v>
      </c>
      <c r="O25" s="723">
        <f t="shared" ref="O25:T25" si="16">O18</f>
        <v>90</v>
      </c>
      <c r="P25" s="723">
        <f t="shared" si="16"/>
        <v>26</v>
      </c>
      <c r="Q25" s="723">
        <f t="shared" si="16"/>
        <v>90</v>
      </c>
      <c r="R25" s="723">
        <f t="shared" si="16"/>
        <v>91.88</v>
      </c>
      <c r="S25" s="723">
        <f t="shared" si="16"/>
        <v>60</v>
      </c>
      <c r="T25" s="723">
        <f t="shared" si="16"/>
        <v>15</v>
      </c>
      <c r="U25" s="366">
        <f>IFERROR(SUMPRODUCT(N21:T21,N25:T25)/ SUM(N21:T21), 0)</f>
        <v>37.308</v>
      </c>
      <c r="V25" s="565">
        <f>L25*$G$3+U25*$P$3</f>
        <v>37.308</v>
      </c>
    </row>
    <row r="26" spans="1:23" s="145" customFormat="1">
      <c r="B26" s="494"/>
      <c r="C26" s="513"/>
      <c r="D26" s="495" t="s">
        <v>1173</v>
      </c>
      <c r="E26" s="358">
        <f t="shared" ref="E26:K26" si="17">IFERROR((E21*E25)/SUMPRODUCT($E21:$K21,$E25:$K25), 0)</f>
        <v>0.12195775704942639</v>
      </c>
      <c r="F26" s="259">
        <f t="shared" si="17"/>
        <v>0</v>
      </c>
      <c r="G26" s="259">
        <f t="shared" si="17"/>
        <v>0.25785354347593009</v>
      </c>
      <c r="H26" s="259">
        <f t="shared" si="17"/>
        <v>0</v>
      </c>
      <c r="I26" s="259">
        <f t="shared" si="17"/>
        <v>0.24627425753189666</v>
      </c>
      <c r="J26" s="259">
        <f t="shared" si="17"/>
        <v>0.24123512383403023</v>
      </c>
      <c r="K26" s="259">
        <f t="shared" si="17"/>
        <v>0.13267931810871664</v>
      </c>
      <c r="L26" s="359"/>
      <c r="M26" s="539" t="s">
        <v>1173</v>
      </c>
      <c r="N26" s="259">
        <f t="shared" ref="N26:T26" si="18">IFERROR(IFERROR((N21*N25)/SUMPRODUCT($N21:$T21,$N25:$T25), 0), 0)</f>
        <v>0.12195775704942639</v>
      </c>
      <c r="O26" s="259">
        <f t="shared" si="18"/>
        <v>0</v>
      </c>
      <c r="P26" s="259">
        <f t="shared" si="18"/>
        <v>0.25785354347593009</v>
      </c>
      <c r="Q26" s="259">
        <f t="shared" si="18"/>
        <v>0</v>
      </c>
      <c r="R26" s="259">
        <f t="shared" si="18"/>
        <v>0.24627425753189666</v>
      </c>
      <c r="S26" s="259">
        <f t="shared" si="18"/>
        <v>0.24123512383403023</v>
      </c>
      <c r="T26" s="259">
        <f t="shared" si="18"/>
        <v>0.13267931810871664</v>
      </c>
      <c r="U26" s="366"/>
      <c r="V26" s="565"/>
    </row>
    <row r="27" spans="1:23" s="145" customFormat="1">
      <c r="B27" s="494"/>
      <c r="C27" s="513"/>
      <c r="D27" s="495"/>
      <c r="E27" s="358"/>
      <c r="F27" s="259"/>
      <c r="G27" s="259"/>
      <c r="H27" s="259"/>
      <c r="I27" s="259"/>
      <c r="J27" s="259"/>
      <c r="K27" s="259"/>
      <c r="L27" s="359"/>
      <c r="M27" s="368"/>
      <c r="N27" s="187"/>
      <c r="O27" s="187"/>
      <c r="P27" s="187"/>
      <c r="Q27" s="187"/>
      <c r="R27" s="187"/>
      <c r="S27" s="187"/>
      <c r="T27" s="187"/>
      <c r="U27" s="366"/>
      <c r="V27" s="565"/>
    </row>
    <row r="28" spans="1:23" s="280" customFormat="1">
      <c r="B28" s="496" t="str">
        <f>INPUTS!C24</f>
        <v>Calves</v>
      </c>
      <c r="C28" s="514"/>
      <c r="D28" s="493" t="s">
        <v>1172</v>
      </c>
      <c r="E28" s="356">
        <f>INPUTS!F60</f>
        <v>0.05</v>
      </c>
      <c r="F28" s="281">
        <f>INPUTS!F61</f>
        <v>0</v>
      </c>
      <c r="G28" s="281">
        <f>INPUTS!F62</f>
        <v>0.37</v>
      </c>
      <c r="H28" s="281">
        <f>INPUTS!F63</f>
        <v>0</v>
      </c>
      <c r="I28" s="281">
        <f>INPUTS!F64</f>
        <v>0.1</v>
      </c>
      <c r="J28" s="281">
        <f>INPUTS!F65</f>
        <v>0.15</v>
      </c>
      <c r="K28" s="281">
        <f>INPUTS!F66</f>
        <v>0.33</v>
      </c>
      <c r="L28" s="357"/>
      <c r="M28" s="555" t="s">
        <v>1172</v>
      </c>
      <c r="N28" s="281">
        <f>INPUTS!U60</f>
        <v>0.05</v>
      </c>
      <c r="O28" s="281">
        <f>INPUTS!U61</f>
        <v>0</v>
      </c>
      <c r="P28" s="281">
        <f>INPUTS!U62</f>
        <v>0.37</v>
      </c>
      <c r="Q28" s="281">
        <f>INPUTS!U63</f>
        <v>0</v>
      </c>
      <c r="R28" s="281">
        <f>INPUTS!U64</f>
        <v>0.1</v>
      </c>
      <c r="S28" s="281">
        <f>INPUTS!U65</f>
        <v>0.15</v>
      </c>
      <c r="T28" s="281">
        <f>INPUTS!U66</f>
        <v>0.33</v>
      </c>
      <c r="U28" s="365"/>
      <c r="V28" s="564"/>
    </row>
    <row r="29" spans="1:23" s="145" customFormat="1">
      <c r="B29" s="497"/>
      <c r="C29" s="515"/>
      <c r="D29" s="495" t="s">
        <v>812</v>
      </c>
      <c r="E29" s="360">
        <f>VLOOKUP(E6,'Feed parameters'!$A$2:$M$113,6, FALSE)</f>
        <v>12.74</v>
      </c>
      <c r="F29" s="187">
        <f>VLOOKUP(F6,'Feed parameters'!$A$2:$M$113,6, FALSE)</f>
        <v>8.1</v>
      </c>
      <c r="G29" s="187">
        <f>VLOOKUP(G6,'Feed parameters'!$A$2:$M$113,6, FALSE)</f>
        <v>1.8862465753424655</v>
      </c>
      <c r="H29" s="187">
        <f>VLOOKUP(H6,'Feed parameters'!$A$2:$M$113,6, FALSE)</f>
        <v>14.4</v>
      </c>
      <c r="I29" s="187">
        <f>VLOOKUP(I6,'Feed parameters'!$A$2:$M$113,6, FALSE)</f>
        <v>3.5373800000000002</v>
      </c>
      <c r="J29" s="187">
        <f>VLOOKUP(J6,'Feed parameters'!$A$2:$M$113,6, FALSE)</f>
        <v>3.6</v>
      </c>
      <c r="K29" s="187">
        <f>VLOOKUP(K6,'Feed parameters'!$A$2:$M$113,6, FALSE)</f>
        <v>1.65</v>
      </c>
      <c r="L29" s="361">
        <f>IFERROR(SUMPRODUCT(E28:K28,E29:K29)/ SUM(E28:K28), 0)</f>
        <v>2.7731492328767127</v>
      </c>
      <c r="M29" s="368" t="s">
        <v>812</v>
      </c>
      <c r="N29" s="723">
        <f>N22</f>
        <v>12.74</v>
      </c>
      <c r="O29" s="723">
        <f t="shared" ref="O29:T29" si="19">O22</f>
        <v>8.1</v>
      </c>
      <c r="P29" s="723">
        <f t="shared" si="19"/>
        <v>1.8862465753424655</v>
      </c>
      <c r="Q29" s="723">
        <f t="shared" si="19"/>
        <v>14.4</v>
      </c>
      <c r="R29" s="723">
        <f t="shared" si="19"/>
        <v>3.5373800000000002</v>
      </c>
      <c r="S29" s="723">
        <f t="shared" si="19"/>
        <v>3.6</v>
      </c>
      <c r="T29" s="723">
        <f t="shared" si="19"/>
        <v>1.65</v>
      </c>
      <c r="U29" s="367">
        <f>IFERROR(SUMPRODUCT(N28:T28,N29:T29)/ SUM(N28:T28), 0)</f>
        <v>2.7731492328767127</v>
      </c>
      <c r="V29" s="565">
        <f>L29*$G$3+U29*$P$3</f>
        <v>2.7731492328767127</v>
      </c>
      <c r="W29" s="475">
        <f>L29*$G$3/(L32*0.01)+U29*$P$3/(U32*0.01)</f>
        <v>7.433122206702885</v>
      </c>
    </row>
    <row r="30" spans="1:23">
      <c r="B30" s="498"/>
      <c r="C30" s="516"/>
      <c r="D30" s="495" t="s">
        <v>813</v>
      </c>
      <c r="E30" s="460">
        <f>VLOOKUP(E6,'Feed parameters'!$A$2:$M$113,7, FALSE)</f>
        <v>0.68805871200000002</v>
      </c>
      <c r="F30" s="39">
        <f>VLOOKUP(F6,'Feed parameters'!$A$2:$M$113,7, FALSE)</f>
        <v>0.99</v>
      </c>
      <c r="G30" s="39">
        <f>VLOOKUP(G6,'Feed parameters'!$A$2:$M$113,7, FALSE)</f>
        <v>0.47881643835616428</v>
      </c>
      <c r="H30" s="39">
        <f>VLOOKUP(H6,'Feed parameters'!$A$2:$M$113,7, FALSE)</f>
        <v>0.79859999999999998</v>
      </c>
      <c r="I30" s="39">
        <f>VLOOKUP(I6,'Feed parameters'!$A$2:$M$113,7, FALSE)</f>
        <v>0.37223999999999996</v>
      </c>
      <c r="J30" s="39">
        <f>VLOOKUP(J6,'Feed parameters'!$A$2:$M$113,7, FALSE)</f>
        <v>0.33</v>
      </c>
      <c r="K30" s="39">
        <f>VLOOKUP(K6,'Feed parameters'!$A$2:$M$113,7, FALSE)</f>
        <v>0.65213596800000007</v>
      </c>
      <c r="L30" s="1170">
        <f>IFERROR(SUMPRODUCT(E28:K28,E30:K30)/ SUM(E28:K28), 0)</f>
        <v>0.5134938872317808</v>
      </c>
      <c r="M30" s="368" t="s">
        <v>813</v>
      </c>
      <c r="N30" s="723">
        <f t="shared" ref="N30" si="20">N23</f>
        <v>0.68805871200000002</v>
      </c>
      <c r="O30" s="723">
        <f t="shared" ref="O30:T30" si="21">O23</f>
        <v>0.99</v>
      </c>
      <c r="P30" s="723">
        <f t="shared" si="21"/>
        <v>0.47881643835616428</v>
      </c>
      <c r="Q30" s="723">
        <f t="shared" si="21"/>
        <v>0.79859999999999998</v>
      </c>
      <c r="R30" s="723">
        <f t="shared" si="21"/>
        <v>0.37223999999999996</v>
      </c>
      <c r="S30" s="723">
        <f t="shared" si="21"/>
        <v>0.33</v>
      </c>
      <c r="T30" s="723">
        <f t="shared" si="21"/>
        <v>0.65213596800000007</v>
      </c>
      <c r="U30" s="367">
        <f>IFERROR(SUMPRODUCT(N28:T28,N30:T30)/ SUM(N28:T28), 0)</f>
        <v>0.5134938872317808</v>
      </c>
      <c r="V30" s="565">
        <f>L30*$G$3+U30*$P$3</f>
        <v>0.51349388723178069</v>
      </c>
    </row>
    <row r="31" spans="1:23">
      <c r="A31" s="259"/>
      <c r="B31" s="499"/>
      <c r="C31" s="517"/>
      <c r="D31" s="495" t="s">
        <v>903</v>
      </c>
      <c r="E31" s="358">
        <f>VLOOKUP(E6,'Feed parameters'!$A$2:$M$113,4, FALSE)</f>
        <v>9.486870119999999</v>
      </c>
      <c r="F31" s="259">
        <f>VLOOKUP(F6,'Feed parameters'!$A$2:$M$113,4, FALSE)</f>
        <v>13.5</v>
      </c>
      <c r="G31" s="259">
        <f>VLOOKUP(G6,'Feed parameters'!$A$2:$M$113,4, FALSE)</f>
        <v>1.886246575342466</v>
      </c>
      <c r="H31" s="259">
        <f>VLOOKUP(H6,'Feed parameters'!$A$2:$M$113,4, FALSE)</f>
        <v>10.89</v>
      </c>
      <c r="I31" s="259">
        <f>VLOOKUP(I6,'Feed parameters'!$A$2:$M$113,4, FALSE)</f>
        <v>5.1820319999999995</v>
      </c>
      <c r="J31" s="259">
        <f>VLOOKUP(J6,'Feed parameters'!$A$2:$M$113,4, FALSE)</f>
        <v>3</v>
      </c>
      <c r="K31" s="259">
        <f>VLOOKUP(K6,'Feed parameters'!$A$2:$M$113,4, FALSE)</f>
        <v>1.4821271999999999</v>
      </c>
      <c r="L31" s="366">
        <f>IFERROR(SUMPRODUCT(E28:K28,E31:K31)/ SUM(E28:K28), 0)</f>
        <v>2.6295599148767121</v>
      </c>
      <c r="M31" s="368" t="s">
        <v>903</v>
      </c>
      <c r="N31" s="723">
        <f t="shared" ref="N31" si="22">N24</f>
        <v>9.486870119999999</v>
      </c>
      <c r="O31" s="723">
        <f t="shared" ref="O31:T31" si="23">O24</f>
        <v>13.5</v>
      </c>
      <c r="P31" s="723">
        <f t="shared" si="23"/>
        <v>1.886246575342466</v>
      </c>
      <c r="Q31" s="723">
        <f t="shared" si="23"/>
        <v>10.89</v>
      </c>
      <c r="R31" s="723">
        <f t="shared" si="23"/>
        <v>5.1820319999999995</v>
      </c>
      <c r="S31" s="723">
        <f t="shared" si="23"/>
        <v>3</v>
      </c>
      <c r="T31" s="723">
        <f t="shared" si="23"/>
        <v>1.4821271999999999</v>
      </c>
      <c r="U31" s="359">
        <f>IFERROR(SUMPRODUCT(N28:T28,N31:T31)/ SUM(N28:T28), 0)</f>
        <v>2.6295599148767121</v>
      </c>
      <c r="V31" s="565"/>
    </row>
    <row r="32" spans="1:23" s="145" customFormat="1">
      <c r="B32" s="494"/>
      <c r="C32" s="513"/>
      <c r="D32" s="495" t="s">
        <v>1155</v>
      </c>
      <c r="E32" s="358">
        <f>VLOOKUP(E6,'Feed parameters'!$A$2:$M$113,2, FALSE)</f>
        <v>91</v>
      </c>
      <c r="F32" s="259">
        <f>VLOOKUP(F6,'Feed parameters'!$A$2:$M$113,2, FALSE)</f>
        <v>90</v>
      </c>
      <c r="G32" s="259">
        <f>VLOOKUP(G6,'Feed parameters'!$A$2:$M$113,2, FALSE)</f>
        <v>26</v>
      </c>
      <c r="H32" s="259">
        <f>VLOOKUP(H6,'Feed parameters'!$A$2:$M$113,2, FALSE)</f>
        <v>90</v>
      </c>
      <c r="I32" s="259">
        <f>VLOOKUP(I6,'Feed parameters'!$A$2:$M$113,2, FALSE)</f>
        <v>91.88</v>
      </c>
      <c r="J32" s="259">
        <f>VLOOKUP(J6,'Feed parameters'!$A$2:$M$113,2, FALSE)</f>
        <v>60</v>
      </c>
      <c r="K32" s="259">
        <f>VLOOKUP(K6,'Feed parameters'!$A$2:$M$113,2, FALSE)</f>
        <v>15</v>
      </c>
      <c r="L32" s="359">
        <f>IFERROR(SUMPRODUCT(E28:K28,E32:K32)/ SUM(E28:K28), 0)</f>
        <v>37.308</v>
      </c>
      <c r="M32" s="539" t="s">
        <v>1155</v>
      </c>
      <c r="N32" s="723">
        <f t="shared" ref="N32" si="24">N25</f>
        <v>91</v>
      </c>
      <c r="O32" s="723">
        <f t="shared" ref="O32:T32" si="25">O25</f>
        <v>90</v>
      </c>
      <c r="P32" s="723">
        <f t="shared" si="25"/>
        <v>26</v>
      </c>
      <c r="Q32" s="723">
        <f t="shared" si="25"/>
        <v>90</v>
      </c>
      <c r="R32" s="723">
        <f t="shared" si="25"/>
        <v>91.88</v>
      </c>
      <c r="S32" s="723">
        <f t="shared" si="25"/>
        <v>60</v>
      </c>
      <c r="T32" s="723">
        <f t="shared" si="25"/>
        <v>15</v>
      </c>
      <c r="U32" s="366">
        <f>IFERROR(SUMPRODUCT(N28:T28,N32:T32)/ SUM(N28:T28), 0)</f>
        <v>37.308</v>
      </c>
      <c r="V32" s="565">
        <f>L32*$G$3+U32*$P$3</f>
        <v>37.308</v>
      </c>
    </row>
    <row r="33" spans="1:23" s="145" customFormat="1">
      <c r="B33" s="494"/>
      <c r="C33" s="513"/>
      <c r="D33" s="495" t="s">
        <v>1173</v>
      </c>
      <c r="E33" s="358">
        <f t="shared" ref="E33:K33" si="26">IFERROR((E28*E32)/SUMPRODUCT($E28:$K28,$E32:$K32), 0)</f>
        <v>0.12195775704942639</v>
      </c>
      <c r="F33" s="259">
        <f t="shared" si="26"/>
        <v>0</v>
      </c>
      <c r="G33" s="259">
        <f t="shared" si="26"/>
        <v>0.25785354347593009</v>
      </c>
      <c r="H33" s="259">
        <f t="shared" si="26"/>
        <v>0</v>
      </c>
      <c r="I33" s="259">
        <f t="shared" si="26"/>
        <v>0.24627425753189666</v>
      </c>
      <c r="J33" s="259">
        <f t="shared" si="26"/>
        <v>0.24123512383403023</v>
      </c>
      <c r="K33" s="259">
        <f t="shared" si="26"/>
        <v>0.13267931810871664</v>
      </c>
      <c r="L33" s="359"/>
      <c r="M33" s="539" t="s">
        <v>1173</v>
      </c>
      <c r="N33" s="259">
        <f t="shared" ref="N33:T33" si="27">IFERROR((N28*N32)/SUMPRODUCT($N28:$T28,$N32:$T32), 0)</f>
        <v>0.12195775704942639</v>
      </c>
      <c r="O33" s="259">
        <f t="shared" si="27"/>
        <v>0</v>
      </c>
      <c r="P33" s="259">
        <f t="shared" si="27"/>
        <v>0.25785354347593009</v>
      </c>
      <c r="Q33" s="259">
        <f t="shared" si="27"/>
        <v>0</v>
      </c>
      <c r="R33" s="259">
        <f t="shared" si="27"/>
        <v>0.24627425753189666</v>
      </c>
      <c r="S33" s="259">
        <f t="shared" si="27"/>
        <v>0.24123512383403023</v>
      </c>
      <c r="T33" s="259">
        <f t="shared" si="27"/>
        <v>0.13267931810871664</v>
      </c>
      <c r="U33" s="366"/>
      <c r="V33" s="565"/>
    </row>
    <row r="34" spans="1:23" s="145" customFormat="1">
      <c r="A34" s="259"/>
      <c r="B34" s="499"/>
      <c r="C34" s="517"/>
      <c r="D34" s="495"/>
      <c r="E34" s="358"/>
      <c r="F34" s="259"/>
      <c r="G34" s="259"/>
      <c r="H34" s="259"/>
      <c r="I34" s="259"/>
      <c r="J34" s="259"/>
      <c r="K34" s="259"/>
      <c r="L34" s="362"/>
      <c r="M34" s="368"/>
      <c r="N34" s="259"/>
      <c r="O34" s="259"/>
      <c r="P34" s="259"/>
      <c r="Q34" s="259"/>
      <c r="R34" s="259"/>
      <c r="S34" s="259"/>
      <c r="T34" s="259"/>
      <c r="U34" s="362"/>
      <c r="V34" s="565"/>
    </row>
    <row r="35" spans="1:23" s="280" customFormat="1">
      <c r="B35" s="500" t="str">
        <f>INPUTS!C25</f>
        <v>Buffalo (dairy)</v>
      </c>
      <c r="C35" s="518"/>
      <c r="D35" s="493" t="s">
        <v>1172</v>
      </c>
      <c r="E35" s="356">
        <f>INPUTS!G60</f>
        <v>0.05</v>
      </c>
      <c r="F35" s="281">
        <f>INPUTS!G61</f>
        <v>0</v>
      </c>
      <c r="G35" s="281">
        <f>INPUTS!G62</f>
        <v>0.37</v>
      </c>
      <c r="H35" s="281">
        <f>INPUTS!G63</f>
        <v>0</v>
      </c>
      <c r="I35" s="281">
        <f>INPUTS!G64</f>
        <v>0.1</v>
      </c>
      <c r="J35" s="281">
        <f>INPUTS!G65</f>
        <v>0.15</v>
      </c>
      <c r="K35" s="281">
        <f>INPUTS!G66</f>
        <v>0.33</v>
      </c>
      <c r="L35" s="357"/>
      <c r="M35" s="555" t="s">
        <v>1172</v>
      </c>
      <c r="N35" s="281">
        <f>INPUTS!V60</f>
        <v>0.05</v>
      </c>
      <c r="O35" s="281">
        <f>INPUTS!V61</f>
        <v>0</v>
      </c>
      <c r="P35" s="281">
        <f>INPUTS!V62</f>
        <v>0.37</v>
      </c>
      <c r="Q35" s="281">
        <f>INPUTS!V63</f>
        <v>0</v>
      </c>
      <c r="R35" s="281">
        <f>INPUTS!V64</f>
        <v>0.1</v>
      </c>
      <c r="S35" s="281">
        <f>INPUTS!V65</f>
        <v>0.15</v>
      </c>
      <c r="T35" s="281">
        <f>INPUTS!V66</f>
        <v>0.33</v>
      </c>
      <c r="U35" s="365"/>
      <c r="V35" s="564"/>
    </row>
    <row r="36" spans="1:23" s="145" customFormat="1">
      <c r="B36" s="499"/>
      <c r="C36" s="517"/>
      <c r="D36" s="495" t="s">
        <v>812</v>
      </c>
      <c r="E36" s="358">
        <f>VLOOKUP(E6,'Feed parameters'!$A$2:$M$113,6, FALSE)</f>
        <v>12.74</v>
      </c>
      <c r="F36" s="259">
        <f>VLOOKUP(F6,'Feed parameters'!$A$2:$M$113,6, FALSE)</f>
        <v>8.1</v>
      </c>
      <c r="G36" s="259">
        <f>VLOOKUP(G6,'Feed parameters'!$A$2:$M$113,6, FALSE)</f>
        <v>1.8862465753424655</v>
      </c>
      <c r="H36" s="259">
        <f>VLOOKUP(H6,'Feed parameters'!$A$2:$M$113,6, FALSE)</f>
        <v>14.4</v>
      </c>
      <c r="I36" s="259">
        <f>VLOOKUP(I6,'Feed parameters'!$A$2:$M$113,6, FALSE)</f>
        <v>3.5373800000000002</v>
      </c>
      <c r="J36" s="259">
        <f>VLOOKUP(J6,'Feed parameters'!$A$2:$M$113,6, FALSE)</f>
        <v>3.6</v>
      </c>
      <c r="K36" s="259">
        <f>VLOOKUP(K6,'Feed parameters'!$A$2:$M$113,6, FALSE)</f>
        <v>1.65</v>
      </c>
      <c r="L36" s="359">
        <f>IFERROR(SUMPRODUCT(E35:K35,E36:K36)/ SUM(E35:K35), 0)</f>
        <v>2.7731492328767127</v>
      </c>
      <c r="M36" s="368" t="s">
        <v>812</v>
      </c>
      <c r="N36" s="723">
        <f>N29</f>
        <v>12.74</v>
      </c>
      <c r="O36" s="723">
        <f t="shared" ref="O36:T36" si="28">O29</f>
        <v>8.1</v>
      </c>
      <c r="P36" s="723">
        <f t="shared" si="28"/>
        <v>1.8862465753424655</v>
      </c>
      <c r="Q36" s="723">
        <f t="shared" si="28"/>
        <v>14.4</v>
      </c>
      <c r="R36" s="723">
        <f t="shared" si="28"/>
        <v>3.5373800000000002</v>
      </c>
      <c r="S36" s="723">
        <f t="shared" si="28"/>
        <v>3.6</v>
      </c>
      <c r="T36" s="723">
        <f t="shared" si="28"/>
        <v>1.65</v>
      </c>
      <c r="U36" s="366">
        <f>IFERROR(SUMPRODUCT(N35:T35,N36:T36)/ SUM(N35:T35), 0)</f>
        <v>2.7731492328767127</v>
      </c>
      <c r="V36" s="565">
        <f>L36*$G$3+U36*$P$3</f>
        <v>2.7731492328767127</v>
      </c>
      <c r="W36" s="475">
        <f>L36*$G$3/(L39*0.01)+U36*$P$3/(U39*0.01)</f>
        <v>7.433122206702885</v>
      </c>
    </row>
    <row r="37" spans="1:23" s="145" customFormat="1">
      <c r="B37" s="499"/>
      <c r="C37" s="517"/>
      <c r="D37" s="495" t="s">
        <v>813</v>
      </c>
      <c r="E37" s="358">
        <f>VLOOKUP(E6,'Feed parameters'!$A$2:$M$113,7, FALSE)</f>
        <v>0.68805871200000002</v>
      </c>
      <c r="F37" s="259">
        <f>VLOOKUP(F6,'Feed parameters'!$A$2:$M$113,7, FALSE)</f>
        <v>0.99</v>
      </c>
      <c r="G37" s="259">
        <f>VLOOKUP(G6,'Feed parameters'!$A$2:$M$113,7, FALSE)</f>
        <v>0.47881643835616428</v>
      </c>
      <c r="H37" s="259">
        <f>VLOOKUP(H6,'Feed parameters'!$A$2:$M$113,7, FALSE)</f>
        <v>0.79859999999999998</v>
      </c>
      <c r="I37" s="259">
        <f>VLOOKUP(I6,'Feed parameters'!$A$2:$M$113,7, FALSE)</f>
        <v>0.37223999999999996</v>
      </c>
      <c r="J37" s="259">
        <f>VLOOKUP(J6,'Feed parameters'!$A$2:$M$113,7, FALSE)</f>
        <v>0.33</v>
      </c>
      <c r="K37" s="259">
        <f>VLOOKUP(K6,'Feed parameters'!$A$2:$M$113,7, FALSE)</f>
        <v>0.65213596800000007</v>
      </c>
      <c r="L37" s="359">
        <f>IFERROR(SUMPRODUCT(E35:K35,E37:K37)/ SUM(E35:K35), 0)</f>
        <v>0.5134938872317808</v>
      </c>
      <c r="M37" s="368" t="s">
        <v>813</v>
      </c>
      <c r="N37" s="723">
        <f t="shared" ref="N37" si="29">N30</f>
        <v>0.68805871200000002</v>
      </c>
      <c r="O37" s="723">
        <f t="shared" ref="O37:T37" si="30">O30</f>
        <v>0.99</v>
      </c>
      <c r="P37" s="723">
        <f t="shared" si="30"/>
        <v>0.47881643835616428</v>
      </c>
      <c r="Q37" s="723">
        <f t="shared" si="30"/>
        <v>0.79859999999999998</v>
      </c>
      <c r="R37" s="723">
        <f t="shared" si="30"/>
        <v>0.37223999999999996</v>
      </c>
      <c r="S37" s="723">
        <f t="shared" si="30"/>
        <v>0.33</v>
      </c>
      <c r="T37" s="723">
        <f t="shared" si="30"/>
        <v>0.65213596800000007</v>
      </c>
      <c r="U37" s="366">
        <f>IFERROR(SUMPRODUCT(N35:T35,N37:T37)/ SUM(N35:T35), 0)</f>
        <v>0.5134938872317808</v>
      </c>
      <c r="V37" s="565">
        <f>L37*$G$3+U37*$P$3</f>
        <v>0.51349388723178069</v>
      </c>
    </row>
    <row r="38" spans="1:23" s="145" customFormat="1">
      <c r="B38" s="499"/>
      <c r="C38" s="517"/>
      <c r="D38" s="495" t="s">
        <v>903</v>
      </c>
      <c r="E38" s="358">
        <f>VLOOKUP(E6,'Feed parameters'!$A$2:$M$113,4, FALSE)</f>
        <v>9.486870119999999</v>
      </c>
      <c r="F38" s="259">
        <f>VLOOKUP(F6,'Feed parameters'!$A$2:$M$113,4, FALSE)</f>
        <v>13.5</v>
      </c>
      <c r="G38" s="259">
        <f>VLOOKUP(G6,'Feed parameters'!$A$2:$M$113,4, FALSE)</f>
        <v>1.886246575342466</v>
      </c>
      <c r="H38" s="259">
        <f>VLOOKUP(H6,'Feed parameters'!$A$2:$M$113,4, FALSE)</f>
        <v>10.89</v>
      </c>
      <c r="I38" s="259">
        <f>VLOOKUP(I6,'Feed parameters'!$A$2:$M$113,4, FALSE)</f>
        <v>5.1820319999999995</v>
      </c>
      <c r="J38" s="259">
        <f>VLOOKUP(J6,'Feed parameters'!$A$2:$M$113,4, FALSE)</f>
        <v>3</v>
      </c>
      <c r="K38" s="259">
        <f>VLOOKUP(K6,'Feed parameters'!$A$2:$M$113,4, FALSE)</f>
        <v>1.4821271999999999</v>
      </c>
      <c r="L38" s="359">
        <f>IFERROR(SUMPRODUCT(E35:K35,E38:K38)/ SUM(E35:K35), 0)</f>
        <v>2.6295599148767121</v>
      </c>
      <c r="M38" s="368" t="s">
        <v>903</v>
      </c>
      <c r="N38" s="723">
        <f t="shared" ref="N38" si="31">N31</f>
        <v>9.486870119999999</v>
      </c>
      <c r="O38" s="723">
        <f t="shared" ref="O38:T38" si="32">O31</f>
        <v>13.5</v>
      </c>
      <c r="P38" s="723">
        <f t="shared" si="32"/>
        <v>1.886246575342466</v>
      </c>
      <c r="Q38" s="723">
        <f t="shared" si="32"/>
        <v>10.89</v>
      </c>
      <c r="R38" s="723">
        <f t="shared" si="32"/>
        <v>5.1820319999999995</v>
      </c>
      <c r="S38" s="723">
        <f t="shared" si="32"/>
        <v>3</v>
      </c>
      <c r="T38" s="723">
        <f t="shared" si="32"/>
        <v>1.4821271999999999</v>
      </c>
      <c r="U38" s="366">
        <f>IFERROR(SUMPRODUCT(N35:T35,N38:T38)/ SUM(N35:T35), 0)</f>
        <v>2.6295599148767121</v>
      </c>
      <c r="V38" s="565"/>
    </row>
    <row r="39" spans="1:23" s="145" customFormat="1">
      <c r="B39" s="494"/>
      <c r="C39" s="513"/>
      <c r="D39" s="495" t="s">
        <v>1155</v>
      </c>
      <c r="E39" s="358">
        <f>VLOOKUP(E6,'Feed parameters'!$A$2:$M$113,2, FALSE)</f>
        <v>91</v>
      </c>
      <c r="F39" s="259">
        <f>VLOOKUP(F6,'Feed parameters'!$A$2:$M$113,2, FALSE)</f>
        <v>90</v>
      </c>
      <c r="G39" s="259">
        <f>VLOOKUP(G6,'Feed parameters'!$A$2:$M$113,2, FALSE)</f>
        <v>26</v>
      </c>
      <c r="H39" s="259">
        <f>VLOOKUP(H6,'Feed parameters'!$A$2:$M$113,2, FALSE)</f>
        <v>90</v>
      </c>
      <c r="I39" s="259">
        <f>VLOOKUP(I6,'Feed parameters'!$A$2:$M$113,2, FALSE)</f>
        <v>91.88</v>
      </c>
      <c r="J39" s="259">
        <f>VLOOKUP(J6,'Feed parameters'!$A$2:$M$113,2, FALSE)</f>
        <v>60</v>
      </c>
      <c r="K39" s="259">
        <f>VLOOKUP(K6,'Feed parameters'!$A$2:$M$113,2, FALSE)</f>
        <v>15</v>
      </c>
      <c r="L39" s="359">
        <f>IFERROR(SUMPRODUCT(E35:K35,E39:K39)/ SUM(E35:K35), 0)</f>
        <v>37.308</v>
      </c>
      <c r="M39" s="539" t="s">
        <v>1155</v>
      </c>
      <c r="N39" s="723">
        <f t="shared" ref="N39" si="33">N32</f>
        <v>91</v>
      </c>
      <c r="O39" s="723">
        <f t="shared" ref="O39:T39" si="34">O32</f>
        <v>90</v>
      </c>
      <c r="P39" s="723">
        <f t="shared" si="34"/>
        <v>26</v>
      </c>
      <c r="Q39" s="723">
        <f t="shared" si="34"/>
        <v>90</v>
      </c>
      <c r="R39" s="723">
        <f t="shared" si="34"/>
        <v>91.88</v>
      </c>
      <c r="S39" s="723">
        <f t="shared" si="34"/>
        <v>60</v>
      </c>
      <c r="T39" s="723">
        <f t="shared" si="34"/>
        <v>15</v>
      </c>
      <c r="U39" s="366">
        <f>IFERROR(SUMPRODUCT(N35:T35,N39:T39)/ SUM(N35:T35), 0)</f>
        <v>37.308</v>
      </c>
      <c r="V39" s="565">
        <f>L39*$G$3+U39*$P$3</f>
        <v>37.308</v>
      </c>
    </row>
    <row r="40" spans="1:23" s="145" customFormat="1">
      <c r="B40" s="494"/>
      <c r="C40" s="513"/>
      <c r="D40" s="495" t="s">
        <v>1173</v>
      </c>
      <c r="E40" s="358">
        <f t="shared" ref="E40:K40" si="35">IFERROR((E35*E39)/SUMPRODUCT($E35:$K35,$E39:$K39), 0)</f>
        <v>0.12195775704942639</v>
      </c>
      <c r="F40" s="259">
        <f t="shared" si="35"/>
        <v>0</v>
      </c>
      <c r="G40" s="259">
        <f t="shared" si="35"/>
        <v>0.25785354347593009</v>
      </c>
      <c r="H40" s="259">
        <f t="shared" si="35"/>
        <v>0</v>
      </c>
      <c r="I40" s="259">
        <f t="shared" si="35"/>
        <v>0.24627425753189666</v>
      </c>
      <c r="J40" s="259">
        <f t="shared" si="35"/>
        <v>0.24123512383403023</v>
      </c>
      <c r="K40" s="259">
        <f t="shared" si="35"/>
        <v>0.13267931810871664</v>
      </c>
      <c r="L40" s="359"/>
      <c r="M40" s="539" t="s">
        <v>1173</v>
      </c>
      <c r="N40" s="259">
        <f t="shared" ref="N40:T40" si="36">IFERROR((N35*N39)/SUMPRODUCT($N35:$T35,$N39:$T39), 0)</f>
        <v>0.12195775704942639</v>
      </c>
      <c r="O40" s="259">
        <f t="shared" si="36"/>
        <v>0</v>
      </c>
      <c r="P40" s="259">
        <f t="shared" si="36"/>
        <v>0.25785354347593009</v>
      </c>
      <c r="Q40" s="259">
        <f t="shared" si="36"/>
        <v>0</v>
      </c>
      <c r="R40" s="259">
        <f t="shared" si="36"/>
        <v>0.24627425753189666</v>
      </c>
      <c r="S40" s="259">
        <f t="shared" si="36"/>
        <v>0.24123512383403023</v>
      </c>
      <c r="T40" s="259">
        <f t="shared" si="36"/>
        <v>0.13267931810871664</v>
      </c>
      <c r="U40" s="366"/>
      <c r="V40" s="565"/>
    </row>
    <row r="41" spans="1:23" s="145" customFormat="1">
      <c r="B41" s="494"/>
      <c r="C41" s="513"/>
      <c r="D41" s="495"/>
      <c r="E41" s="358"/>
      <c r="F41" s="259"/>
      <c r="G41" s="259"/>
      <c r="H41" s="259"/>
      <c r="I41" s="259"/>
      <c r="J41" s="259"/>
      <c r="K41" s="259"/>
      <c r="L41" s="359"/>
      <c r="M41" s="539"/>
      <c r="N41" s="259"/>
      <c r="O41" s="259"/>
      <c r="P41" s="259"/>
      <c r="Q41" s="259"/>
      <c r="R41" s="259"/>
      <c r="S41" s="259"/>
      <c r="T41" s="259"/>
      <c r="U41" s="366"/>
      <c r="V41" s="565"/>
    </row>
    <row r="42" spans="1:23" s="280" customFormat="1">
      <c r="B42" s="496" t="str">
        <f>INPUTS!C26</f>
        <v>Sheep/Goats - Ewes/Does</v>
      </c>
      <c r="C42" s="514"/>
      <c r="D42" s="493" t="s">
        <v>1172</v>
      </c>
      <c r="E42" s="281">
        <f>INPUTS!H60</f>
        <v>0.05</v>
      </c>
      <c r="F42" s="281">
        <f>INPUTS!H61</f>
        <v>0</v>
      </c>
      <c r="G42" s="281">
        <f>INPUTS!H62</f>
        <v>0.37</v>
      </c>
      <c r="H42" s="281">
        <f>INPUTS!H63</f>
        <v>0</v>
      </c>
      <c r="I42" s="281">
        <f>INPUTS!H64</f>
        <v>0.1</v>
      </c>
      <c r="J42" s="281">
        <f>INPUTS!H65</f>
        <v>0.15</v>
      </c>
      <c r="K42" s="281">
        <f>INPUTS!H66</f>
        <v>0.33</v>
      </c>
      <c r="L42" s="281"/>
      <c r="M42" s="555" t="s">
        <v>1172</v>
      </c>
      <c r="N42" s="281">
        <f>INPUTS!W60</f>
        <v>0.05</v>
      </c>
      <c r="O42" s="281">
        <f>INPUTS!W61</f>
        <v>0</v>
      </c>
      <c r="P42" s="281">
        <f>INPUTS!W62</f>
        <v>0.37</v>
      </c>
      <c r="Q42" s="281">
        <f>INPUTS!W63</f>
        <v>0</v>
      </c>
      <c r="R42" s="281">
        <f>INPUTS!W64</f>
        <v>0.1</v>
      </c>
      <c r="S42" s="281">
        <f>INPUTS!W65</f>
        <v>0.15</v>
      </c>
      <c r="T42" s="281">
        <f>INPUTS!W66</f>
        <v>0.33</v>
      </c>
      <c r="U42" s="365"/>
      <c r="V42" s="564"/>
    </row>
    <row r="43" spans="1:23" s="145" customFormat="1">
      <c r="B43" s="497"/>
      <c r="C43" s="515"/>
      <c r="D43" s="495" t="s">
        <v>812</v>
      </c>
      <c r="E43" s="360">
        <f>VLOOKUP(E6,'Feed parameters'!$A$2:$M$113,6, FALSE)</f>
        <v>12.74</v>
      </c>
      <c r="F43" s="187">
        <f>VLOOKUP(F6,'Feed parameters'!$A$2:$M$113,6, FALSE)</f>
        <v>8.1</v>
      </c>
      <c r="G43" s="187">
        <f>VLOOKUP(G6,'Feed parameters'!$A$2:$M$113,6, FALSE)</f>
        <v>1.8862465753424655</v>
      </c>
      <c r="H43" s="187">
        <f>VLOOKUP(H6,'Feed parameters'!$A$2:$M$113,6, FALSE)</f>
        <v>14.4</v>
      </c>
      <c r="I43" s="187">
        <f>VLOOKUP(I6,'Feed parameters'!$A$2:$M$113,6, FALSE)</f>
        <v>3.5373800000000002</v>
      </c>
      <c r="J43" s="187">
        <f>VLOOKUP(J6,'Feed parameters'!$A$2:$M$113,6, FALSE)</f>
        <v>3.6</v>
      </c>
      <c r="K43" s="187">
        <f>VLOOKUP(K6,'Feed parameters'!$A$2:$M$113,6, FALSE)</f>
        <v>1.65</v>
      </c>
      <c r="L43" s="361">
        <f>IFERROR(SUMPRODUCT(E42:K42,E43:K43)/ SUM(E42:K42), 0)</f>
        <v>2.7731492328767127</v>
      </c>
      <c r="M43" s="368" t="s">
        <v>812</v>
      </c>
      <c r="N43" s="723">
        <f>N36</f>
        <v>12.74</v>
      </c>
      <c r="O43" s="723">
        <f t="shared" ref="O43:T43" si="37">O36</f>
        <v>8.1</v>
      </c>
      <c r="P43" s="723">
        <f t="shared" si="37"/>
        <v>1.8862465753424655</v>
      </c>
      <c r="Q43" s="723">
        <f t="shared" si="37"/>
        <v>14.4</v>
      </c>
      <c r="R43" s="723">
        <f t="shared" si="37"/>
        <v>3.5373800000000002</v>
      </c>
      <c r="S43" s="723">
        <f t="shared" si="37"/>
        <v>3.6</v>
      </c>
      <c r="T43" s="723">
        <f t="shared" si="37"/>
        <v>1.65</v>
      </c>
      <c r="U43" s="367">
        <f>IFERROR(SUMPRODUCT(N42:T42,N43:T43)/ SUM(N42:T42), 0)</f>
        <v>2.7731492328767127</v>
      </c>
      <c r="V43" s="565">
        <f>L43*$G$3+U43*$P$3</f>
        <v>2.7731492328767127</v>
      </c>
      <c r="W43" s="475">
        <f>L43*$G$3/(L46*0.01)+U43*$P$3/(U46*0.01)</f>
        <v>7.433122206702885</v>
      </c>
    </row>
    <row r="44" spans="1:23">
      <c r="B44" s="498"/>
      <c r="C44" s="516"/>
      <c r="D44" s="495" t="s">
        <v>813</v>
      </c>
      <c r="E44" s="460">
        <f>VLOOKUP(E6,'Feed parameters'!$A$2:$M$113,7, FALSE)</f>
        <v>0.68805871200000002</v>
      </c>
      <c r="F44" s="39">
        <f>VLOOKUP(F6,'Feed parameters'!$A$2:$M$113,7, FALSE)</f>
        <v>0.99</v>
      </c>
      <c r="G44" s="39">
        <f>VLOOKUP(G6,'Feed parameters'!$A$2:$M$113,7, FALSE)</f>
        <v>0.47881643835616428</v>
      </c>
      <c r="H44" s="39">
        <f>VLOOKUP(H6,'Feed parameters'!$A$2:$M$113,7, FALSE)</f>
        <v>0.79859999999999998</v>
      </c>
      <c r="I44" s="39">
        <f>VLOOKUP(I6,'Feed parameters'!$A$2:$M$113,7, FALSE)</f>
        <v>0.37223999999999996</v>
      </c>
      <c r="J44" s="39">
        <f>VLOOKUP(J6,'Feed parameters'!$A$2:$M$113,7, FALSE)</f>
        <v>0.33</v>
      </c>
      <c r="K44" s="39">
        <f>VLOOKUP(K6,'Feed parameters'!$A$2:$M$113,7, FALSE)</f>
        <v>0.65213596800000007</v>
      </c>
      <c r="L44" s="1170">
        <f>IFERROR(SUMPRODUCT(E42:K42,E44:K44)/ SUM(E42:K42), 0)</f>
        <v>0.5134938872317808</v>
      </c>
      <c r="M44" s="368" t="s">
        <v>813</v>
      </c>
      <c r="N44" s="723">
        <f t="shared" ref="N44" si="38">N37</f>
        <v>0.68805871200000002</v>
      </c>
      <c r="O44" s="723">
        <f t="shared" ref="O44:T44" si="39">O37</f>
        <v>0.99</v>
      </c>
      <c r="P44" s="723">
        <f t="shared" si="39"/>
        <v>0.47881643835616428</v>
      </c>
      <c r="Q44" s="723">
        <f t="shared" si="39"/>
        <v>0.79859999999999998</v>
      </c>
      <c r="R44" s="723">
        <f t="shared" si="39"/>
        <v>0.37223999999999996</v>
      </c>
      <c r="S44" s="723">
        <f t="shared" si="39"/>
        <v>0.33</v>
      </c>
      <c r="T44" s="723">
        <f t="shared" si="39"/>
        <v>0.65213596800000007</v>
      </c>
      <c r="U44" s="367">
        <f>IFERROR(SUMPRODUCT(N42:T42,N44:T44)/ SUM(N42:T42), 0)</f>
        <v>0.5134938872317808</v>
      </c>
      <c r="V44" s="565">
        <f>L44*$G$3+U44*$P$3</f>
        <v>0.51349388723178069</v>
      </c>
    </row>
    <row r="45" spans="1:23">
      <c r="A45" s="259"/>
      <c r="B45" s="499"/>
      <c r="C45" s="517"/>
      <c r="D45" s="495" t="s">
        <v>903</v>
      </c>
      <c r="E45" s="358">
        <f>VLOOKUP(E6,'Feed parameters'!$A$2:$M$113,4, FALSE)</f>
        <v>9.486870119999999</v>
      </c>
      <c r="F45" s="259">
        <f>VLOOKUP(F6,'Feed parameters'!$A$2:$M$113,4, FALSE)</f>
        <v>13.5</v>
      </c>
      <c r="G45" s="259">
        <f>VLOOKUP(G6,'Feed parameters'!$A$2:$M$113,4, FALSE)</f>
        <v>1.886246575342466</v>
      </c>
      <c r="H45" s="259">
        <f>VLOOKUP(H6,'Feed parameters'!$A$2:$M$113,4, FALSE)</f>
        <v>10.89</v>
      </c>
      <c r="I45" s="259">
        <f>VLOOKUP(I6,'Feed parameters'!$A$2:$M$113,4, FALSE)</f>
        <v>5.1820319999999995</v>
      </c>
      <c r="J45" s="259">
        <f>VLOOKUP(J6,'Feed parameters'!$A$2:$M$113,4, FALSE)</f>
        <v>3</v>
      </c>
      <c r="K45" s="259">
        <f>VLOOKUP(K6,'Feed parameters'!$A$2:$M$113,4, FALSE)</f>
        <v>1.4821271999999999</v>
      </c>
      <c r="L45" s="366">
        <f>IFERROR(SUMPRODUCT(E42:K42,E45:K45)/ SUM(E42:K42), 0)</f>
        <v>2.6295599148767121</v>
      </c>
      <c r="M45" s="368" t="s">
        <v>903</v>
      </c>
      <c r="N45" s="723">
        <f t="shared" ref="N45" si="40">N38</f>
        <v>9.486870119999999</v>
      </c>
      <c r="O45" s="723">
        <f t="shared" ref="O45:T45" si="41">O38</f>
        <v>13.5</v>
      </c>
      <c r="P45" s="723">
        <f t="shared" si="41"/>
        <v>1.886246575342466</v>
      </c>
      <c r="Q45" s="723">
        <f t="shared" si="41"/>
        <v>10.89</v>
      </c>
      <c r="R45" s="723">
        <f t="shared" si="41"/>
        <v>5.1820319999999995</v>
      </c>
      <c r="S45" s="723">
        <f t="shared" si="41"/>
        <v>3</v>
      </c>
      <c r="T45" s="723">
        <f t="shared" si="41"/>
        <v>1.4821271999999999</v>
      </c>
      <c r="U45" s="359">
        <f>IFERROR(SUMPRODUCT(N42:T42,N45:T45)/ SUM(N42:T42), 0)</f>
        <v>2.6295599148767121</v>
      </c>
      <c r="V45" s="565"/>
    </row>
    <row r="46" spans="1:23" s="145" customFormat="1">
      <c r="B46" s="494"/>
      <c r="C46" s="513"/>
      <c r="D46" s="495" t="s">
        <v>1155</v>
      </c>
      <c r="E46" s="358">
        <f>VLOOKUP(E6,'Feed parameters'!$A$2:$M$113,2, FALSE)</f>
        <v>91</v>
      </c>
      <c r="F46" s="259">
        <f>VLOOKUP(F6,'Feed parameters'!$A$2:$M$113,2, FALSE)</f>
        <v>90</v>
      </c>
      <c r="G46" s="259">
        <f>VLOOKUP(G6,'Feed parameters'!$A$2:$M$113,2, FALSE)</f>
        <v>26</v>
      </c>
      <c r="H46" s="259">
        <f>VLOOKUP(H6,'Feed parameters'!$A$2:$M$113,2, FALSE)</f>
        <v>90</v>
      </c>
      <c r="I46" s="259">
        <f>VLOOKUP(I6,'Feed parameters'!$A$2:$M$113,2, FALSE)</f>
        <v>91.88</v>
      </c>
      <c r="J46" s="259">
        <f>VLOOKUP(J6,'Feed parameters'!$A$2:$M$113,2, FALSE)</f>
        <v>60</v>
      </c>
      <c r="K46" s="259">
        <f>VLOOKUP(K6,'Feed parameters'!$A$2:$M$113,2, FALSE)</f>
        <v>15</v>
      </c>
      <c r="L46" s="359">
        <f>IFERROR(SUMPRODUCT(E42:K42,E46:K46)/ SUM(E42:K42), 0)</f>
        <v>37.308</v>
      </c>
      <c r="M46" s="539" t="s">
        <v>1155</v>
      </c>
      <c r="N46" s="723">
        <f t="shared" ref="N46" si="42">N39</f>
        <v>91</v>
      </c>
      <c r="O46" s="723">
        <f t="shared" ref="O46:T46" si="43">O39</f>
        <v>90</v>
      </c>
      <c r="P46" s="723">
        <f t="shared" si="43"/>
        <v>26</v>
      </c>
      <c r="Q46" s="723">
        <f t="shared" si="43"/>
        <v>90</v>
      </c>
      <c r="R46" s="723">
        <f t="shared" si="43"/>
        <v>91.88</v>
      </c>
      <c r="S46" s="723">
        <f t="shared" si="43"/>
        <v>60</v>
      </c>
      <c r="T46" s="723">
        <f t="shared" si="43"/>
        <v>15</v>
      </c>
      <c r="U46" s="366">
        <f>IFERROR(SUMPRODUCT(N42:T42,N46:T46)/ SUM(N42:T42), 0)</f>
        <v>37.308</v>
      </c>
      <c r="V46" s="565">
        <f>L46*$G$3+U46*$P$3</f>
        <v>37.308</v>
      </c>
    </row>
    <row r="47" spans="1:23" s="145" customFormat="1">
      <c r="B47" s="494"/>
      <c r="C47" s="513"/>
      <c r="D47" s="495" t="s">
        <v>1173</v>
      </c>
      <c r="E47" s="358">
        <f t="shared" ref="E47:K47" si="44">IFERROR((E42*E46)/SUMPRODUCT($E42:$K42,$E46:$K46), 0)</f>
        <v>0.12195775704942639</v>
      </c>
      <c r="F47" s="259">
        <f t="shared" si="44"/>
        <v>0</v>
      </c>
      <c r="G47" s="259">
        <f t="shared" si="44"/>
        <v>0.25785354347593009</v>
      </c>
      <c r="H47" s="259">
        <f t="shared" si="44"/>
        <v>0</v>
      </c>
      <c r="I47" s="259">
        <f t="shared" si="44"/>
        <v>0.24627425753189666</v>
      </c>
      <c r="J47" s="259">
        <f t="shared" si="44"/>
        <v>0.24123512383403023</v>
      </c>
      <c r="K47" s="259">
        <f t="shared" si="44"/>
        <v>0.13267931810871664</v>
      </c>
      <c r="L47" s="359"/>
      <c r="M47" s="539" t="s">
        <v>1173</v>
      </c>
      <c r="N47" s="259">
        <f t="shared" ref="N47:T47" si="45">IFERROR((N42*N46)/SUMPRODUCT($N42:$T42,$N46:$T46), 0)</f>
        <v>0.12195775704942639</v>
      </c>
      <c r="O47" s="259">
        <f t="shared" si="45"/>
        <v>0</v>
      </c>
      <c r="P47" s="259">
        <f t="shared" si="45"/>
        <v>0.25785354347593009</v>
      </c>
      <c r="Q47" s="259">
        <f t="shared" si="45"/>
        <v>0</v>
      </c>
      <c r="R47" s="259">
        <f t="shared" si="45"/>
        <v>0.24627425753189666</v>
      </c>
      <c r="S47" s="259">
        <f t="shared" si="45"/>
        <v>0.24123512383403023</v>
      </c>
      <c r="T47" s="259">
        <f t="shared" si="45"/>
        <v>0.13267931810871664</v>
      </c>
      <c r="U47" s="366"/>
      <c r="V47" s="565"/>
    </row>
    <row r="48" spans="1:23" s="145" customFormat="1">
      <c r="A48" s="259"/>
      <c r="B48" s="499"/>
      <c r="C48" s="517"/>
      <c r="D48" s="495"/>
      <c r="E48" s="358"/>
      <c r="F48" s="259"/>
      <c r="G48" s="259"/>
      <c r="H48" s="259"/>
      <c r="I48" s="259"/>
      <c r="J48" s="259"/>
      <c r="K48" s="259"/>
      <c r="L48" s="362"/>
      <c r="M48" s="368"/>
      <c r="N48" s="259"/>
      <c r="O48" s="259"/>
      <c r="P48" s="259"/>
      <c r="Q48" s="259"/>
      <c r="R48" s="259"/>
      <c r="S48" s="259"/>
      <c r="T48" s="259"/>
      <c r="U48" s="362"/>
      <c r="V48" s="565"/>
    </row>
    <row r="49" spans="2:23" s="280" customFormat="1">
      <c r="B49" s="500" t="str">
        <f>INPUTS!C27</f>
        <v>Pigs - lactating/pregnant sows</v>
      </c>
      <c r="C49" s="518"/>
      <c r="D49" s="493" t="s">
        <v>1172</v>
      </c>
      <c r="E49" s="356">
        <f>INPUTS!I60</f>
        <v>0.05</v>
      </c>
      <c r="F49" s="281">
        <f>INPUTS!I61</f>
        <v>0</v>
      </c>
      <c r="G49" s="281">
        <f>INPUTS!I62</f>
        <v>0.37</v>
      </c>
      <c r="H49" s="281">
        <f>INPUTS!I63</f>
        <v>0</v>
      </c>
      <c r="I49" s="281">
        <f>INPUTS!I64</f>
        <v>0.1</v>
      </c>
      <c r="J49" s="281">
        <f>INPUTS!I65</f>
        <v>0.15</v>
      </c>
      <c r="K49" s="281">
        <f>INPUTS!I66</f>
        <v>0.33</v>
      </c>
      <c r="L49" s="357"/>
      <c r="M49" s="555" t="s">
        <v>1172</v>
      </c>
      <c r="N49" s="281">
        <f>INPUTS!X60</f>
        <v>0.05</v>
      </c>
      <c r="O49" s="281">
        <f>INPUTS!X61</f>
        <v>0</v>
      </c>
      <c r="P49" s="281">
        <f>INPUTS!X62</f>
        <v>0.37</v>
      </c>
      <c r="Q49" s="281">
        <f>INPUTS!X63</f>
        <v>0</v>
      </c>
      <c r="R49" s="281">
        <f>INPUTS!X64</f>
        <v>0.1</v>
      </c>
      <c r="S49" s="281">
        <f>INPUTS!X65</f>
        <v>0.15</v>
      </c>
      <c r="T49" s="281">
        <f>INPUTS!X66</f>
        <v>0.33</v>
      </c>
      <c r="U49" s="365"/>
      <c r="V49" s="564"/>
    </row>
    <row r="50" spans="2:23" s="145" customFormat="1">
      <c r="B50" s="499"/>
      <c r="C50" s="517"/>
      <c r="D50" s="495" t="s">
        <v>812</v>
      </c>
      <c r="E50" s="358">
        <f>VLOOKUP(E6,'Feed parameters'!$A$2:$M$113,6, FALSE)</f>
        <v>12.74</v>
      </c>
      <c r="F50" s="259">
        <f>VLOOKUP(F6,'Feed parameters'!$A$2:$M$113,6, FALSE)</f>
        <v>8.1</v>
      </c>
      <c r="G50" s="259">
        <f>VLOOKUP(G6,'Feed parameters'!$A$2:$M$113,6, FALSE)</f>
        <v>1.8862465753424655</v>
      </c>
      <c r="H50" s="259">
        <f>VLOOKUP(H6,'Feed parameters'!$A$2:$M$113,6, FALSE)</f>
        <v>14.4</v>
      </c>
      <c r="I50" s="259">
        <f>VLOOKUP(I6,'Feed parameters'!$A$2:$M$113,6, FALSE)</f>
        <v>3.5373800000000002</v>
      </c>
      <c r="J50" s="259">
        <f>VLOOKUP(J6,'Feed parameters'!$A$2:$M$113,6, FALSE)</f>
        <v>3.6</v>
      </c>
      <c r="K50" s="259">
        <f>VLOOKUP(K6,'Feed parameters'!$A$2:$M$113,6, FALSE)</f>
        <v>1.65</v>
      </c>
      <c r="L50" s="359">
        <f>IFERROR(SUMPRODUCT(E49:K49,E50:K50)/ SUM(E49:K49), 0)</f>
        <v>2.7731492328767127</v>
      </c>
      <c r="M50" s="368" t="s">
        <v>812</v>
      </c>
      <c r="N50" s="723">
        <f>N43</f>
        <v>12.74</v>
      </c>
      <c r="O50" s="723">
        <f t="shared" ref="O50:T50" si="46">O43</f>
        <v>8.1</v>
      </c>
      <c r="P50" s="723">
        <f t="shared" si="46"/>
        <v>1.8862465753424655</v>
      </c>
      <c r="Q50" s="723">
        <f t="shared" si="46"/>
        <v>14.4</v>
      </c>
      <c r="R50" s="723">
        <f t="shared" si="46"/>
        <v>3.5373800000000002</v>
      </c>
      <c r="S50" s="723">
        <f t="shared" si="46"/>
        <v>3.6</v>
      </c>
      <c r="T50" s="723">
        <f t="shared" si="46"/>
        <v>1.65</v>
      </c>
      <c r="U50" s="366">
        <f>IFERROR(SUMPRODUCT(N49:T49,N50:T50)/ SUM(N49:T49), 0)</f>
        <v>2.7731492328767127</v>
      </c>
      <c r="V50" s="565">
        <f>L50*$G$3+U50*$P$3</f>
        <v>2.7731492328767127</v>
      </c>
      <c r="W50" s="475">
        <f>L50*$G$3/(L53*0.01)+U50*$P$3/(U53*0.01)</f>
        <v>7.433122206702885</v>
      </c>
    </row>
    <row r="51" spans="2:23" s="145" customFormat="1">
      <c r="B51" s="499"/>
      <c r="C51" s="517"/>
      <c r="D51" s="495" t="s">
        <v>813</v>
      </c>
      <c r="E51" s="358">
        <f>VLOOKUP(E6,'Feed parameters'!$A$2:$M$113,7, FALSE)</f>
        <v>0.68805871200000002</v>
      </c>
      <c r="F51" s="259">
        <f>VLOOKUP(F6,'Feed parameters'!$A$2:$M$113,7, FALSE)</f>
        <v>0.99</v>
      </c>
      <c r="G51" s="259">
        <f>VLOOKUP(G6,'Feed parameters'!$A$2:$M$113,7, FALSE)</f>
        <v>0.47881643835616428</v>
      </c>
      <c r="H51" s="259">
        <f>VLOOKUP(H6,'Feed parameters'!$A$2:$M$113,7, FALSE)</f>
        <v>0.79859999999999998</v>
      </c>
      <c r="I51" s="259">
        <f>VLOOKUP(I6,'Feed parameters'!$A$2:$M$113,7, FALSE)</f>
        <v>0.37223999999999996</v>
      </c>
      <c r="J51" s="259">
        <f>VLOOKUP(J6,'Feed parameters'!$A$2:$M$113,7, FALSE)</f>
        <v>0.33</v>
      </c>
      <c r="K51" s="259">
        <f>VLOOKUP(K6,'Feed parameters'!$A$2:$M$113,7, FALSE)</f>
        <v>0.65213596800000007</v>
      </c>
      <c r="L51" s="359">
        <f>IFERROR(SUMPRODUCT(E49:K49,E51:K51)/ SUM(E49:K49), 0)</f>
        <v>0.5134938872317808</v>
      </c>
      <c r="M51" s="368" t="s">
        <v>813</v>
      </c>
      <c r="N51" s="723">
        <f t="shared" ref="N51" si="47">N44</f>
        <v>0.68805871200000002</v>
      </c>
      <c r="O51" s="723">
        <f t="shared" ref="O51:T51" si="48">O44</f>
        <v>0.99</v>
      </c>
      <c r="P51" s="723">
        <f t="shared" si="48"/>
        <v>0.47881643835616428</v>
      </c>
      <c r="Q51" s="723">
        <f t="shared" si="48"/>
        <v>0.79859999999999998</v>
      </c>
      <c r="R51" s="723">
        <f t="shared" si="48"/>
        <v>0.37223999999999996</v>
      </c>
      <c r="S51" s="723">
        <f t="shared" si="48"/>
        <v>0.33</v>
      </c>
      <c r="T51" s="723">
        <f t="shared" si="48"/>
        <v>0.65213596800000007</v>
      </c>
      <c r="U51" s="366">
        <f>IFERROR(SUMPRODUCT(N49:T49,N51:T51)/ SUM(N49:T49), 0)</f>
        <v>0.5134938872317808</v>
      </c>
      <c r="V51" s="565">
        <f>L51*$G$3+U51*$P$3</f>
        <v>0.51349388723178069</v>
      </c>
    </row>
    <row r="52" spans="2:23" s="145" customFormat="1">
      <c r="B52" s="499"/>
      <c r="C52" s="517"/>
      <c r="D52" s="495" t="s">
        <v>903</v>
      </c>
      <c r="E52" s="358">
        <f>VLOOKUP(E6,'Feed parameters'!$A$2:$M$113,4, FALSE)</f>
        <v>9.486870119999999</v>
      </c>
      <c r="F52" s="259">
        <f>VLOOKUP(F6,'Feed parameters'!$A$2:$M$113,4, FALSE)</f>
        <v>13.5</v>
      </c>
      <c r="G52" s="259">
        <f>VLOOKUP(G6,'Feed parameters'!$A$2:$M$113,4, FALSE)</f>
        <v>1.886246575342466</v>
      </c>
      <c r="H52" s="259">
        <f>VLOOKUP(H6,'Feed parameters'!$A$2:$M$113,4, FALSE)</f>
        <v>10.89</v>
      </c>
      <c r="I52" s="259">
        <f>VLOOKUP(I6,'Feed parameters'!$A$2:$M$113,4, FALSE)</f>
        <v>5.1820319999999995</v>
      </c>
      <c r="J52" s="259">
        <f>VLOOKUP(J6,'Feed parameters'!$A$2:$M$113,4, FALSE)</f>
        <v>3</v>
      </c>
      <c r="K52" s="259">
        <f>VLOOKUP(K6,'Feed parameters'!$A$2:$M$113,4, FALSE)</f>
        <v>1.4821271999999999</v>
      </c>
      <c r="L52" s="359">
        <f>IFERROR(SUMPRODUCT(E49:K49,E52:K52)/ SUM(E49:K49), 0)</f>
        <v>2.6295599148767121</v>
      </c>
      <c r="M52" s="368" t="s">
        <v>903</v>
      </c>
      <c r="N52" s="723">
        <f t="shared" ref="N52" si="49">N45</f>
        <v>9.486870119999999</v>
      </c>
      <c r="O52" s="723">
        <f t="shared" ref="O52:T52" si="50">O45</f>
        <v>13.5</v>
      </c>
      <c r="P52" s="723">
        <f t="shared" si="50"/>
        <v>1.886246575342466</v>
      </c>
      <c r="Q52" s="723">
        <f t="shared" si="50"/>
        <v>10.89</v>
      </c>
      <c r="R52" s="723">
        <f t="shared" si="50"/>
        <v>5.1820319999999995</v>
      </c>
      <c r="S52" s="723">
        <f t="shared" si="50"/>
        <v>3</v>
      </c>
      <c r="T52" s="723">
        <f t="shared" si="50"/>
        <v>1.4821271999999999</v>
      </c>
      <c r="U52" s="366">
        <f>IFERROR(SUMPRODUCT(N49:T49,N52:T52)/ SUM(N49:T49), 0)</f>
        <v>2.6295599148767121</v>
      </c>
      <c r="V52" s="565"/>
    </row>
    <row r="53" spans="2:23" s="145" customFormat="1">
      <c r="B53" s="494"/>
      <c r="C53" s="513"/>
      <c r="D53" s="495" t="s">
        <v>1155</v>
      </c>
      <c r="E53" s="358">
        <f>VLOOKUP(E6,'Feed parameters'!$A$2:$M$113,2, FALSE)</f>
        <v>91</v>
      </c>
      <c r="F53" s="259">
        <f>VLOOKUP(F6,'Feed parameters'!$A$2:$M$113,2, FALSE)</f>
        <v>90</v>
      </c>
      <c r="G53" s="259">
        <f>VLOOKUP(G6,'Feed parameters'!$A$2:$M$113,2, FALSE)</f>
        <v>26</v>
      </c>
      <c r="H53" s="259">
        <f>VLOOKUP(H6,'Feed parameters'!$A$2:$M$113,2, FALSE)</f>
        <v>90</v>
      </c>
      <c r="I53" s="259">
        <f>VLOOKUP(I6,'Feed parameters'!$A$2:$M$113,2, FALSE)</f>
        <v>91.88</v>
      </c>
      <c r="J53" s="259">
        <f>VLOOKUP(J6,'Feed parameters'!$A$2:$M$113,2, FALSE)</f>
        <v>60</v>
      </c>
      <c r="K53" s="259">
        <f>VLOOKUP(K6,'Feed parameters'!$A$2:$M$113,2, FALSE)</f>
        <v>15</v>
      </c>
      <c r="L53" s="359">
        <f>IFERROR(SUMPRODUCT(E49:K49,E53:K53)/ SUM(E49:K49), 0)</f>
        <v>37.308</v>
      </c>
      <c r="M53" s="539" t="s">
        <v>1155</v>
      </c>
      <c r="N53" s="723">
        <f t="shared" ref="N53" si="51">N46</f>
        <v>91</v>
      </c>
      <c r="O53" s="723">
        <f t="shared" ref="O53:T53" si="52">O46</f>
        <v>90</v>
      </c>
      <c r="P53" s="723">
        <f t="shared" si="52"/>
        <v>26</v>
      </c>
      <c r="Q53" s="723">
        <f t="shared" si="52"/>
        <v>90</v>
      </c>
      <c r="R53" s="723">
        <f t="shared" si="52"/>
        <v>91.88</v>
      </c>
      <c r="S53" s="723">
        <f t="shared" si="52"/>
        <v>60</v>
      </c>
      <c r="T53" s="723">
        <f t="shared" si="52"/>
        <v>15</v>
      </c>
      <c r="U53" s="366">
        <f>IFERROR(SUMPRODUCT(N49:T49,N53:T53)/ SUM(N49:T49), 0)</f>
        <v>37.308</v>
      </c>
      <c r="V53" s="565">
        <f>L53*$G$3+U53*$P$3</f>
        <v>37.308</v>
      </c>
    </row>
    <row r="54" spans="2:23" s="145" customFormat="1">
      <c r="B54" s="494"/>
      <c r="C54" s="513"/>
      <c r="D54" s="495" t="s">
        <v>1173</v>
      </c>
      <c r="E54" s="358">
        <f t="shared" ref="E54:K54" si="53">IFERROR((E49*E53)/SUMPRODUCT($E49:$K49,$E53:$K53), 0)</f>
        <v>0.12195775704942639</v>
      </c>
      <c r="F54" s="259">
        <f t="shared" si="53"/>
        <v>0</v>
      </c>
      <c r="G54" s="259">
        <f t="shared" si="53"/>
        <v>0.25785354347593009</v>
      </c>
      <c r="H54" s="259">
        <f t="shared" si="53"/>
        <v>0</v>
      </c>
      <c r="I54" s="259">
        <f t="shared" si="53"/>
        <v>0.24627425753189666</v>
      </c>
      <c r="J54" s="259">
        <f t="shared" si="53"/>
        <v>0.24123512383403023</v>
      </c>
      <c r="K54" s="259">
        <f t="shared" si="53"/>
        <v>0.13267931810871664</v>
      </c>
      <c r="L54" s="359"/>
      <c r="M54" s="539" t="s">
        <v>1173</v>
      </c>
      <c r="N54" s="259">
        <f t="shared" ref="N54:T54" si="54">IFERROR((N49*N53)/SUMPRODUCT($N49:$T49,$N53:$T53), 0)</f>
        <v>0.12195775704942639</v>
      </c>
      <c r="O54" s="259">
        <f t="shared" si="54"/>
        <v>0</v>
      </c>
      <c r="P54" s="259">
        <f t="shared" si="54"/>
        <v>0.25785354347593009</v>
      </c>
      <c r="Q54" s="259">
        <f t="shared" si="54"/>
        <v>0</v>
      </c>
      <c r="R54" s="259">
        <f t="shared" si="54"/>
        <v>0.24627425753189666</v>
      </c>
      <c r="S54" s="259">
        <f t="shared" si="54"/>
        <v>0.24123512383403023</v>
      </c>
      <c r="T54" s="259">
        <f t="shared" si="54"/>
        <v>0.13267931810871664</v>
      </c>
      <c r="U54" s="366"/>
      <c r="V54" s="565"/>
    </row>
    <row r="55" spans="2:23" s="145" customFormat="1">
      <c r="B55" s="501"/>
      <c r="C55" s="519"/>
      <c r="D55" s="495"/>
      <c r="E55" s="360"/>
      <c r="F55" s="187"/>
      <c r="G55" s="187"/>
      <c r="H55" s="187"/>
      <c r="I55" s="187"/>
      <c r="J55" s="187"/>
      <c r="K55" s="187"/>
      <c r="L55" s="361"/>
      <c r="M55" s="369"/>
      <c r="N55" s="187"/>
      <c r="O55" s="187"/>
      <c r="P55" s="187"/>
      <c r="Q55" s="187"/>
      <c r="R55" s="187"/>
      <c r="S55" s="187"/>
      <c r="T55" s="187"/>
      <c r="U55" s="367"/>
      <c r="V55" s="565"/>
    </row>
    <row r="56" spans="2:23" s="281" customFormat="1">
      <c r="B56" s="500" t="str">
        <f>INPUTS!C28</f>
        <v>Calves</v>
      </c>
      <c r="C56" s="518"/>
      <c r="D56" s="493" t="s">
        <v>1172</v>
      </c>
      <c r="E56" s="356">
        <f>INPUTS!J60</f>
        <v>0.05</v>
      </c>
      <c r="F56" s="281">
        <f>INPUTS!J61</f>
        <v>0</v>
      </c>
      <c r="G56" s="281">
        <f>INPUTS!J62</f>
        <v>0.37</v>
      </c>
      <c r="H56" s="281">
        <f>INPUTS!J63</f>
        <v>0</v>
      </c>
      <c r="I56" s="281">
        <f>INPUTS!J64</f>
        <v>0.1</v>
      </c>
      <c r="J56" s="281">
        <f>INPUTS!J65</f>
        <v>0.15</v>
      </c>
      <c r="K56" s="281">
        <f>INPUTS!J66</f>
        <v>0.33</v>
      </c>
      <c r="L56" s="357"/>
      <c r="M56" s="555" t="s">
        <v>1172</v>
      </c>
      <c r="N56" s="281">
        <f>INPUTS!Y60</f>
        <v>0.05</v>
      </c>
      <c r="O56" s="281">
        <f>INPUTS!Y61</f>
        <v>0</v>
      </c>
      <c r="P56" s="281">
        <f>INPUTS!Y62</f>
        <v>0.37</v>
      </c>
      <c r="Q56" s="281">
        <f>INPUTS!Y63</f>
        <v>0</v>
      </c>
      <c r="R56" s="281">
        <f>INPUTS!Y64</f>
        <v>0.1</v>
      </c>
      <c r="S56" s="281">
        <f>INPUTS!Y65</f>
        <v>0.15</v>
      </c>
      <c r="T56" s="281">
        <f>INPUTS!Y66</f>
        <v>0.33</v>
      </c>
      <c r="U56" s="365"/>
      <c r="V56" s="564"/>
    </row>
    <row r="57" spans="2:23" s="145" customFormat="1">
      <c r="B57" s="497"/>
      <c r="C57" s="515"/>
      <c r="D57" s="495" t="s">
        <v>812</v>
      </c>
      <c r="E57" s="360">
        <f>VLOOKUP(E6,'Feed parameters'!$A$2:$M$113,6, FALSE)</f>
        <v>12.74</v>
      </c>
      <c r="F57" s="187">
        <f>VLOOKUP(F6,'Feed parameters'!$A$2:$M$113,6, FALSE)</f>
        <v>8.1</v>
      </c>
      <c r="G57" s="187">
        <f>VLOOKUP(G6,'Feed parameters'!$A$2:$M$113,6, FALSE)</f>
        <v>1.8862465753424655</v>
      </c>
      <c r="H57" s="187">
        <f>VLOOKUP(H6,'Feed parameters'!$A$2:$M$113,6, FALSE)</f>
        <v>14.4</v>
      </c>
      <c r="I57" s="187">
        <f>VLOOKUP(I6,'Feed parameters'!$A$2:$M$113,6, FALSE)</f>
        <v>3.5373800000000002</v>
      </c>
      <c r="J57" s="187">
        <f>VLOOKUP(J6,'Feed parameters'!$A$2:$M$113,6, FALSE)</f>
        <v>3.6</v>
      </c>
      <c r="K57" s="187">
        <f>VLOOKUP(K6,'Feed parameters'!$A$2:$M$113,6, FALSE)</f>
        <v>1.65</v>
      </c>
      <c r="L57" s="361">
        <f>IFERROR(SUMPRODUCT(E56:K56,E57:K57)/ SUM(E56:K56),0)</f>
        <v>2.7731492328767127</v>
      </c>
      <c r="M57" s="368" t="s">
        <v>812</v>
      </c>
      <c r="N57" s="723">
        <f>N50</f>
        <v>12.74</v>
      </c>
      <c r="O57" s="723">
        <f t="shared" ref="O57:T57" si="55">O50</f>
        <v>8.1</v>
      </c>
      <c r="P57" s="723">
        <f t="shared" si="55"/>
        <v>1.8862465753424655</v>
      </c>
      <c r="Q57" s="723">
        <f t="shared" si="55"/>
        <v>14.4</v>
      </c>
      <c r="R57" s="723">
        <f t="shared" si="55"/>
        <v>3.5373800000000002</v>
      </c>
      <c r="S57" s="723">
        <f t="shared" si="55"/>
        <v>3.6</v>
      </c>
      <c r="T57" s="723">
        <f t="shared" si="55"/>
        <v>1.65</v>
      </c>
      <c r="U57" s="367">
        <f>IFERROR(SUMPRODUCT(N56:T56,N57:T57)/ SUM(N56:T56),0)</f>
        <v>2.7731492328767127</v>
      </c>
      <c r="V57" s="565">
        <f>L57*$G$3+U57*$P$3</f>
        <v>2.7731492328767127</v>
      </c>
      <c r="W57" s="475">
        <f>L57*$G$3/(L60*0.01)+U57*$P$3/(U60*0.01)</f>
        <v>7.433122206702885</v>
      </c>
    </row>
    <row r="58" spans="2:23" s="145" customFormat="1">
      <c r="B58" s="501"/>
      <c r="C58" s="519"/>
      <c r="D58" s="495" t="s">
        <v>813</v>
      </c>
      <c r="E58" s="360">
        <f>VLOOKUP(E6,'Feed parameters'!$A$2:$M$113,7, FALSE)</f>
        <v>0.68805871200000002</v>
      </c>
      <c r="F58" s="187">
        <f>VLOOKUP(F6,'Feed parameters'!$A$2:$M$113,7, FALSE)</f>
        <v>0.99</v>
      </c>
      <c r="G58" s="187">
        <f>VLOOKUP(G6,'Feed parameters'!$A$2:$M$113,7, FALSE)</f>
        <v>0.47881643835616428</v>
      </c>
      <c r="H58" s="187">
        <f>VLOOKUP(H6,'Feed parameters'!$A$2:$M$113,7, FALSE)</f>
        <v>0.79859999999999998</v>
      </c>
      <c r="I58" s="187">
        <f>VLOOKUP(I6,'Feed parameters'!$A$2:$M$113,7, FALSE)</f>
        <v>0.37223999999999996</v>
      </c>
      <c r="J58" s="187">
        <f>VLOOKUP(J6,'Feed parameters'!$A$2:$M$113,7, FALSE)</f>
        <v>0.33</v>
      </c>
      <c r="K58" s="187">
        <f>VLOOKUP(K6,'Feed parameters'!$A$2:$M$113,7, FALSE)</f>
        <v>0.65213596800000007</v>
      </c>
      <c r="L58" s="361">
        <f>IFERROR(SUMPRODUCT(E56:K56,E58:K58)/ SUM(E56:K56),0)</f>
        <v>0.5134938872317808</v>
      </c>
      <c r="M58" s="368" t="s">
        <v>813</v>
      </c>
      <c r="N58" s="723">
        <f t="shared" ref="N58" si="56">N51</f>
        <v>0.68805871200000002</v>
      </c>
      <c r="O58" s="723">
        <f t="shared" ref="O58:T58" si="57">O51</f>
        <v>0.99</v>
      </c>
      <c r="P58" s="723">
        <f t="shared" si="57"/>
        <v>0.47881643835616428</v>
      </c>
      <c r="Q58" s="723">
        <f t="shared" si="57"/>
        <v>0.79859999999999998</v>
      </c>
      <c r="R58" s="723">
        <f t="shared" si="57"/>
        <v>0.37223999999999996</v>
      </c>
      <c r="S58" s="723">
        <f t="shared" si="57"/>
        <v>0.33</v>
      </c>
      <c r="T58" s="723">
        <f t="shared" si="57"/>
        <v>0.65213596800000007</v>
      </c>
      <c r="U58" s="367">
        <f>IFERROR(SUMPRODUCT(N56:T56,N58:T58)/ SUM(N56:T56),0)</f>
        <v>0.5134938872317808</v>
      </c>
      <c r="V58" s="565">
        <f>L58*$G$3+U58*$P$3</f>
        <v>0.51349388723178069</v>
      </c>
    </row>
    <row r="59" spans="2:23" s="145" customFormat="1">
      <c r="B59" s="499"/>
      <c r="C59" s="517"/>
      <c r="D59" s="495" t="s">
        <v>903</v>
      </c>
      <c r="E59" s="358">
        <f>VLOOKUP(E6,'Feed parameters'!$A$2:$M$113,4, FALSE)</f>
        <v>9.486870119999999</v>
      </c>
      <c r="F59" s="259">
        <f>VLOOKUP(F6,'Feed parameters'!$A$2:$M$113,4, FALSE)</f>
        <v>13.5</v>
      </c>
      <c r="G59" s="259">
        <f>VLOOKUP(G6,'Feed parameters'!$A$2:$M$113,4, FALSE)</f>
        <v>1.886246575342466</v>
      </c>
      <c r="H59" s="259">
        <f>VLOOKUP(H6,'Feed parameters'!$A$2:$M$113,4, FALSE)</f>
        <v>10.89</v>
      </c>
      <c r="I59" s="259">
        <f>VLOOKUP(I6,'Feed parameters'!$A$2:$M$113,4, FALSE)</f>
        <v>5.1820319999999995</v>
      </c>
      <c r="J59" s="259">
        <f>VLOOKUP(J6,'Feed parameters'!$A$2:$M$113,4, FALSE)</f>
        <v>3</v>
      </c>
      <c r="K59" s="259">
        <f>VLOOKUP(K6,'Feed parameters'!$A$2:$M$113,4, FALSE)</f>
        <v>1.4821271999999999</v>
      </c>
      <c r="L59" s="359">
        <f>IFERROR(SUMPRODUCT(E56:K56,E59:K59)/ SUM(E56:K56),0)</f>
        <v>2.6295599148767121</v>
      </c>
      <c r="M59" s="368" t="s">
        <v>903</v>
      </c>
      <c r="N59" s="723">
        <f t="shared" ref="N59" si="58">N52</f>
        <v>9.486870119999999</v>
      </c>
      <c r="O59" s="723">
        <f t="shared" ref="O59:T59" si="59">O52</f>
        <v>13.5</v>
      </c>
      <c r="P59" s="723">
        <f t="shared" si="59"/>
        <v>1.886246575342466</v>
      </c>
      <c r="Q59" s="723">
        <f t="shared" si="59"/>
        <v>10.89</v>
      </c>
      <c r="R59" s="723">
        <f t="shared" si="59"/>
        <v>5.1820319999999995</v>
      </c>
      <c r="S59" s="723">
        <f t="shared" si="59"/>
        <v>3</v>
      </c>
      <c r="T59" s="723">
        <f t="shared" si="59"/>
        <v>1.4821271999999999</v>
      </c>
      <c r="U59" s="366">
        <f>IFERROR(SUMPRODUCT(N56:T56,N59:T59)/ SUM(N56:T56),0)</f>
        <v>2.6295599148767121</v>
      </c>
      <c r="V59" s="565"/>
    </row>
    <row r="60" spans="2:23" s="145" customFormat="1">
      <c r="B60" s="494"/>
      <c r="C60" s="513"/>
      <c r="D60" s="495" t="s">
        <v>1155</v>
      </c>
      <c r="E60" s="358">
        <f>VLOOKUP(E6,'Feed parameters'!$A$2:$M$113,2, FALSE)</f>
        <v>91</v>
      </c>
      <c r="F60" s="259">
        <f>VLOOKUP(F6,'Feed parameters'!$A$2:$M$113,2, FALSE)</f>
        <v>90</v>
      </c>
      <c r="G60" s="259">
        <f>VLOOKUP(G6,'Feed parameters'!$A$2:$M$113,2, FALSE)</f>
        <v>26</v>
      </c>
      <c r="H60" s="259">
        <f>VLOOKUP(H6,'Feed parameters'!$A$2:$M$113,2, FALSE)</f>
        <v>90</v>
      </c>
      <c r="I60" s="259">
        <f>VLOOKUP(I6,'Feed parameters'!$A$2:$M$113,2, FALSE)</f>
        <v>91.88</v>
      </c>
      <c r="J60" s="259">
        <f>VLOOKUP(J6,'Feed parameters'!$A$2:$M$113,2, FALSE)</f>
        <v>60</v>
      </c>
      <c r="K60" s="259">
        <f>VLOOKUP(K6,'Feed parameters'!$A$2:$M$113,2, FALSE)</f>
        <v>15</v>
      </c>
      <c r="L60" s="359">
        <f>IFERROR(SUMPRODUCT(E56:K56,E60:K60)/ SUM(E56:K56),0)</f>
        <v>37.308</v>
      </c>
      <c r="M60" s="539" t="s">
        <v>1155</v>
      </c>
      <c r="N60" s="723">
        <f t="shared" ref="N60" si="60">N53</f>
        <v>91</v>
      </c>
      <c r="O60" s="723">
        <f t="shared" ref="O60:T60" si="61">O53</f>
        <v>90</v>
      </c>
      <c r="P60" s="723">
        <f t="shared" si="61"/>
        <v>26</v>
      </c>
      <c r="Q60" s="723">
        <f t="shared" si="61"/>
        <v>90</v>
      </c>
      <c r="R60" s="723">
        <f t="shared" si="61"/>
        <v>91.88</v>
      </c>
      <c r="S60" s="723">
        <f t="shared" si="61"/>
        <v>60</v>
      </c>
      <c r="T60" s="723">
        <f t="shared" si="61"/>
        <v>15</v>
      </c>
      <c r="U60" s="366">
        <f>IFERROR(SUMPRODUCT(N56:T56,N60:T60)/ SUM(N56:T56),0)</f>
        <v>37.308</v>
      </c>
      <c r="V60" s="565">
        <f>L60*$G$3+U60*$P$3</f>
        <v>37.308</v>
      </c>
    </row>
    <row r="61" spans="2:23" s="145" customFormat="1">
      <c r="B61" s="494"/>
      <c r="C61" s="513"/>
      <c r="D61" s="495" t="s">
        <v>1173</v>
      </c>
      <c r="E61" s="600">
        <f t="shared" ref="E61:K61" si="62">IFERROR((E56*E60)/SUMPRODUCT($E56:$K56,$E60:$K60),0)</f>
        <v>0.12195775704942639</v>
      </c>
      <c r="F61" s="259">
        <f t="shared" si="62"/>
        <v>0</v>
      </c>
      <c r="G61" s="259">
        <f t="shared" si="62"/>
        <v>0.25785354347593009</v>
      </c>
      <c r="H61" s="259">
        <f t="shared" si="62"/>
        <v>0</v>
      </c>
      <c r="I61" s="259">
        <f t="shared" si="62"/>
        <v>0.24627425753189666</v>
      </c>
      <c r="J61" s="259">
        <f t="shared" si="62"/>
        <v>0.24123512383403023</v>
      </c>
      <c r="K61" s="259">
        <f t="shared" si="62"/>
        <v>0.13267931810871664</v>
      </c>
      <c r="L61" s="359"/>
      <c r="M61" s="539" t="s">
        <v>1173</v>
      </c>
      <c r="N61" s="259">
        <f t="shared" ref="N61:T61" si="63">IFERROR((N56*N60)/SUMPRODUCT($N56:$T56,$N60:$T60),0)</f>
        <v>0.12195775704942639</v>
      </c>
      <c r="O61" s="259">
        <f t="shared" si="63"/>
        <v>0</v>
      </c>
      <c r="P61" s="259">
        <f t="shared" si="63"/>
        <v>0.25785354347593009</v>
      </c>
      <c r="Q61" s="259">
        <f t="shared" si="63"/>
        <v>0</v>
      </c>
      <c r="R61" s="259">
        <f t="shared" si="63"/>
        <v>0.24627425753189666</v>
      </c>
      <c r="S61" s="259">
        <f t="shared" si="63"/>
        <v>0.24123512383403023</v>
      </c>
      <c r="T61" s="259">
        <f t="shared" si="63"/>
        <v>0.13267931810871664</v>
      </c>
      <c r="U61" s="366"/>
      <c r="V61" s="565"/>
    </row>
    <row r="62" spans="2:23" s="145" customFormat="1" ht="16.5" customHeight="1">
      <c r="B62" s="501"/>
      <c r="C62" s="519"/>
      <c r="D62" s="495"/>
      <c r="E62" s="360"/>
      <c r="F62" s="187"/>
      <c r="G62" s="187"/>
      <c r="H62" s="187"/>
      <c r="I62" s="187"/>
      <c r="J62" s="187"/>
      <c r="K62" s="187"/>
      <c r="L62" s="361"/>
      <c r="M62" s="369"/>
      <c r="N62" s="187"/>
      <c r="O62" s="187"/>
      <c r="P62" s="187"/>
      <c r="Q62" s="187"/>
      <c r="R62" s="187"/>
      <c r="S62" s="187"/>
      <c r="T62" s="187"/>
      <c r="U62" s="367"/>
      <c r="V62" s="565"/>
    </row>
    <row r="63" spans="2:23" s="281" customFormat="1">
      <c r="B63" s="500" t="str">
        <f>INPUTS!C29</f>
        <v>Cows (high productive)</v>
      </c>
      <c r="C63" s="518"/>
      <c r="D63" s="493" t="s">
        <v>1172</v>
      </c>
      <c r="E63" s="356">
        <f>INPUTS!K60</f>
        <v>0.05</v>
      </c>
      <c r="F63" s="281">
        <f>INPUTS!K61</f>
        <v>0</v>
      </c>
      <c r="G63" s="281">
        <f>INPUTS!K62</f>
        <v>0.37</v>
      </c>
      <c r="H63" s="281">
        <f>INPUTS!K63</f>
        <v>0</v>
      </c>
      <c r="I63" s="281">
        <f>INPUTS!K64</f>
        <v>0.1</v>
      </c>
      <c r="J63" s="281">
        <f>INPUTS!K65</f>
        <v>0.15</v>
      </c>
      <c r="K63" s="281">
        <f>INPUTS!K66</f>
        <v>0.33</v>
      </c>
      <c r="L63" s="357"/>
      <c r="M63" s="555" t="s">
        <v>1172</v>
      </c>
      <c r="N63" s="281">
        <f>INPUTS!Z60</f>
        <v>0.05</v>
      </c>
      <c r="O63" s="281">
        <f>INPUTS!Z61</f>
        <v>0</v>
      </c>
      <c r="P63" s="281">
        <f>INPUTS!Z62</f>
        <v>0.37</v>
      </c>
      <c r="Q63" s="281">
        <f>INPUTS!Z63</f>
        <v>0</v>
      </c>
      <c r="R63" s="281">
        <f>INPUTS!Z64</f>
        <v>0.1</v>
      </c>
      <c r="S63" s="281">
        <f>INPUTS!Z65</f>
        <v>0.15</v>
      </c>
      <c r="T63" s="281">
        <f>INPUTS!Z66</f>
        <v>0.33</v>
      </c>
      <c r="U63" s="365"/>
      <c r="V63" s="564"/>
    </row>
    <row r="64" spans="2:23" s="145" customFormat="1">
      <c r="B64" s="497"/>
      <c r="C64" s="515"/>
      <c r="D64" s="495" t="s">
        <v>812</v>
      </c>
      <c r="E64" s="360">
        <f>VLOOKUP(E6,'Feed parameters'!$A$2:$M$113,6, FALSE)</f>
        <v>12.74</v>
      </c>
      <c r="F64" s="187">
        <f>VLOOKUP(F6,'Feed parameters'!$A$2:$M$113,6, FALSE)</f>
        <v>8.1</v>
      </c>
      <c r="G64" s="187">
        <f>VLOOKUP(G6,'Feed parameters'!$A$2:$M$113,6, FALSE)</f>
        <v>1.8862465753424655</v>
      </c>
      <c r="H64" s="187">
        <f>VLOOKUP(H6,'Feed parameters'!$A$2:$M$113,6, FALSE)</f>
        <v>14.4</v>
      </c>
      <c r="I64" s="187">
        <f>VLOOKUP(I6,'Feed parameters'!$A$2:$M$113,6, FALSE)</f>
        <v>3.5373800000000002</v>
      </c>
      <c r="J64" s="187">
        <f>VLOOKUP(J6,'Feed parameters'!$A$2:$M$113,6, FALSE)</f>
        <v>3.6</v>
      </c>
      <c r="K64" s="187">
        <f>VLOOKUP(K6,'Feed parameters'!$A$2:$M$113,6, FALSE)</f>
        <v>1.65</v>
      </c>
      <c r="L64" s="361">
        <f>IFERROR(SUMPRODUCT(E63:K63,E64:K64)/ SUM(E63:K63),0)</f>
        <v>2.7731492328767127</v>
      </c>
      <c r="M64" s="368" t="s">
        <v>812</v>
      </c>
      <c r="N64" s="723">
        <f>N57</f>
        <v>12.74</v>
      </c>
      <c r="O64" s="723">
        <f t="shared" ref="O64:T64" si="64">O57</f>
        <v>8.1</v>
      </c>
      <c r="P64" s="723">
        <f t="shared" si="64"/>
        <v>1.8862465753424655</v>
      </c>
      <c r="Q64" s="723">
        <f t="shared" si="64"/>
        <v>14.4</v>
      </c>
      <c r="R64" s="723">
        <f t="shared" si="64"/>
        <v>3.5373800000000002</v>
      </c>
      <c r="S64" s="723">
        <f t="shared" si="64"/>
        <v>3.6</v>
      </c>
      <c r="T64" s="723">
        <f t="shared" si="64"/>
        <v>1.65</v>
      </c>
      <c r="U64" s="367">
        <f>IFERROR(SUMPRODUCT(N63:T63,N64:T64)/ SUM(N63:T63),0)</f>
        <v>2.7731492328767127</v>
      </c>
      <c r="V64" s="565">
        <f>L64*$G$3+U64*$P$3</f>
        <v>2.7731492328767127</v>
      </c>
      <c r="W64" s="475">
        <f>L64*$G$3/(L67*0.01)+U64*$P$3/(U67*0.01)</f>
        <v>7.433122206702885</v>
      </c>
    </row>
    <row r="65" spans="2:23" s="145" customFormat="1">
      <c r="B65" s="501"/>
      <c r="C65" s="519"/>
      <c r="D65" s="495" t="s">
        <v>813</v>
      </c>
      <c r="E65" s="360">
        <f>VLOOKUP(E6,'Feed parameters'!$A$2:$M$113,7, FALSE)</f>
        <v>0.68805871200000002</v>
      </c>
      <c r="F65" s="187">
        <f>VLOOKUP(F6,'Feed parameters'!$A$2:$M$113,7, FALSE)</f>
        <v>0.99</v>
      </c>
      <c r="G65" s="187">
        <f>VLOOKUP(G6,'Feed parameters'!$A$2:$M$113,7, FALSE)</f>
        <v>0.47881643835616428</v>
      </c>
      <c r="H65" s="187">
        <f>VLOOKUP(H6,'Feed parameters'!$A$2:$M$113,7, FALSE)</f>
        <v>0.79859999999999998</v>
      </c>
      <c r="I65" s="187">
        <f>VLOOKUP(I6,'Feed parameters'!$A$2:$M$113,7, FALSE)</f>
        <v>0.37223999999999996</v>
      </c>
      <c r="J65" s="187">
        <f>VLOOKUP(J6,'Feed parameters'!$A$2:$M$113,7, FALSE)</f>
        <v>0.33</v>
      </c>
      <c r="K65" s="187">
        <f>VLOOKUP(K6,'Feed parameters'!$A$2:$M$113,7, FALSE)</f>
        <v>0.65213596800000007</v>
      </c>
      <c r="L65" s="361">
        <f>IFERROR(SUMPRODUCT(E63:K63,E65:K65)/ SUM(E63:K63),0)</f>
        <v>0.5134938872317808</v>
      </c>
      <c r="M65" s="368" t="s">
        <v>813</v>
      </c>
      <c r="N65" s="723">
        <f t="shared" ref="N65" si="65">N58</f>
        <v>0.68805871200000002</v>
      </c>
      <c r="O65" s="723">
        <f t="shared" ref="O65:T65" si="66">O58</f>
        <v>0.99</v>
      </c>
      <c r="P65" s="723">
        <f t="shared" si="66"/>
        <v>0.47881643835616428</v>
      </c>
      <c r="Q65" s="723">
        <f t="shared" si="66"/>
        <v>0.79859999999999998</v>
      </c>
      <c r="R65" s="723">
        <f t="shared" si="66"/>
        <v>0.37223999999999996</v>
      </c>
      <c r="S65" s="723">
        <f t="shared" si="66"/>
        <v>0.33</v>
      </c>
      <c r="T65" s="723">
        <f t="shared" si="66"/>
        <v>0.65213596800000007</v>
      </c>
      <c r="U65" s="367">
        <f>IFERROR(SUMPRODUCT(N63:T63,N65:T65)/ SUM(N63:T63),0)</f>
        <v>0.5134938872317808</v>
      </c>
      <c r="V65" s="565">
        <f>L65*$G$3+U65*$P$3</f>
        <v>0.51349388723178069</v>
      </c>
    </row>
    <row r="66" spans="2:23" s="145" customFormat="1">
      <c r="B66" s="499"/>
      <c r="C66" s="517"/>
      <c r="D66" s="495" t="s">
        <v>903</v>
      </c>
      <c r="E66" s="358">
        <f>VLOOKUP(E6,'Feed parameters'!$A$2:$M$113,4, FALSE)</f>
        <v>9.486870119999999</v>
      </c>
      <c r="F66" s="259">
        <f>VLOOKUP(F6,'Feed parameters'!$A$2:$M$113,4, FALSE)</f>
        <v>13.5</v>
      </c>
      <c r="G66" s="259">
        <f>VLOOKUP(G6,'Feed parameters'!$A$2:$M$113,4, FALSE)</f>
        <v>1.886246575342466</v>
      </c>
      <c r="H66" s="259">
        <f>VLOOKUP(H6,'Feed parameters'!$A$2:$M$113,4, FALSE)</f>
        <v>10.89</v>
      </c>
      <c r="I66" s="259">
        <f>VLOOKUP(I6,'Feed parameters'!$A$2:$M$113,4, FALSE)</f>
        <v>5.1820319999999995</v>
      </c>
      <c r="J66" s="259">
        <f>VLOOKUP(J6,'Feed parameters'!$A$2:$M$113,4, FALSE)</f>
        <v>3</v>
      </c>
      <c r="K66" s="259">
        <f>VLOOKUP(K6,'Feed parameters'!$A$2:$M$113,4, FALSE)</f>
        <v>1.4821271999999999</v>
      </c>
      <c r="L66" s="359">
        <f>IFERROR(SUMPRODUCT(E63:K63,E66:K66)/ SUM(E63:K63),0)</f>
        <v>2.6295599148767121</v>
      </c>
      <c r="M66" s="368" t="s">
        <v>903</v>
      </c>
      <c r="N66" s="723">
        <f t="shared" ref="N66" si="67">N59</f>
        <v>9.486870119999999</v>
      </c>
      <c r="O66" s="723">
        <f t="shared" ref="O66:T66" si="68">O59</f>
        <v>13.5</v>
      </c>
      <c r="P66" s="723">
        <f t="shared" si="68"/>
        <v>1.886246575342466</v>
      </c>
      <c r="Q66" s="723">
        <f t="shared" si="68"/>
        <v>10.89</v>
      </c>
      <c r="R66" s="723">
        <f t="shared" si="68"/>
        <v>5.1820319999999995</v>
      </c>
      <c r="S66" s="723">
        <f t="shared" si="68"/>
        <v>3</v>
      </c>
      <c r="T66" s="723">
        <f t="shared" si="68"/>
        <v>1.4821271999999999</v>
      </c>
      <c r="U66" s="366">
        <f>IFERROR(SUMPRODUCT(N63:T63,N66:T66)/ SUM(N63:T63),0)</f>
        <v>2.6295599148767121</v>
      </c>
      <c r="V66" s="565"/>
    </row>
    <row r="67" spans="2:23" s="145" customFormat="1">
      <c r="B67" s="494"/>
      <c r="C67" s="513"/>
      <c r="D67" s="495" t="s">
        <v>1155</v>
      </c>
      <c r="E67" s="358">
        <f>VLOOKUP(E6,'Feed parameters'!$A$2:$M$113,2, FALSE)</f>
        <v>91</v>
      </c>
      <c r="F67" s="259">
        <f>VLOOKUP(F6,'Feed parameters'!$A$2:$M$113,2, FALSE)</f>
        <v>90</v>
      </c>
      <c r="G67" s="259">
        <f>VLOOKUP(G6,'Feed parameters'!$A$2:$M$113,2, FALSE)</f>
        <v>26</v>
      </c>
      <c r="H67" s="259">
        <f>VLOOKUP(H6,'Feed parameters'!$A$2:$M$113,2, FALSE)</f>
        <v>90</v>
      </c>
      <c r="I67" s="259">
        <f>VLOOKUP(I6,'Feed parameters'!$A$2:$M$113,2, FALSE)</f>
        <v>91.88</v>
      </c>
      <c r="J67" s="259">
        <f>VLOOKUP(J6,'Feed parameters'!$A$2:$M$113,2, FALSE)</f>
        <v>60</v>
      </c>
      <c r="K67" s="259">
        <f>VLOOKUP(K6,'Feed parameters'!$A$2:$M$113,2, FALSE)</f>
        <v>15</v>
      </c>
      <c r="L67" s="359">
        <f>IFERROR(SUMPRODUCT(E63:K63,E67:K67)/ SUM(E63:K63),0)</f>
        <v>37.308</v>
      </c>
      <c r="M67" s="539" t="s">
        <v>1155</v>
      </c>
      <c r="N67" s="723">
        <f t="shared" ref="N67" si="69">N60</f>
        <v>91</v>
      </c>
      <c r="O67" s="723">
        <f t="shared" ref="O67:T67" si="70">O60</f>
        <v>90</v>
      </c>
      <c r="P67" s="723">
        <f t="shared" si="70"/>
        <v>26</v>
      </c>
      <c r="Q67" s="723">
        <f t="shared" si="70"/>
        <v>90</v>
      </c>
      <c r="R67" s="723">
        <f t="shared" si="70"/>
        <v>91.88</v>
      </c>
      <c r="S67" s="723">
        <f t="shared" si="70"/>
        <v>60</v>
      </c>
      <c r="T67" s="723">
        <f t="shared" si="70"/>
        <v>15</v>
      </c>
      <c r="U67" s="366">
        <f>IFERROR(SUMPRODUCT(N63:T63,N67:T67)/ SUM(N63:T63),0)</f>
        <v>37.308</v>
      </c>
      <c r="V67" s="565">
        <f>L67*$G$3+U67*$P$3</f>
        <v>37.308</v>
      </c>
    </row>
    <row r="68" spans="2:23" s="145" customFormat="1">
      <c r="B68" s="494"/>
      <c r="C68" s="513"/>
      <c r="D68" s="495" t="s">
        <v>1173</v>
      </c>
      <c r="E68" s="358">
        <f>IFERROR((E63*E67)/SUMPRODUCT($E63:$K63,$E67:$K67), 0)</f>
        <v>0.12195775704942639</v>
      </c>
      <c r="F68" s="259">
        <f t="shared" ref="F68:K68" si="71">IFERROR((F63*F67)/SUMPRODUCT($E63:$K63,$E67:$K67),0)</f>
        <v>0</v>
      </c>
      <c r="G68" s="259">
        <f t="shared" si="71"/>
        <v>0.25785354347593009</v>
      </c>
      <c r="H68" s="259">
        <f t="shared" si="71"/>
        <v>0</v>
      </c>
      <c r="I68" s="259">
        <f t="shared" si="71"/>
        <v>0.24627425753189666</v>
      </c>
      <c r="J68" s="259">
        <f t="shared" si="71"/>
        <v>0.24123512383403023</v>
      </c>
      <c r="K68" s="259">
        <f t="shared" si="71"/>
        <v>0.13267931810871664</v>
      </c>
      <c r="L68" s="359"/>
      <c r="M68" s="539" t="s">
        <v>1173</v>
      </c>
      <c r="N68" s="259">
        <f t="shared" ref="N68:T68" si="72">IFERROR((N63*N67)/SUMPRODUCT($N63:$T63,$N67:$T67),0)</f>
        <v>0.12195775704942639</v>
      </c>
      <c r="O68" s="259">
        <f t="shared" si="72"/>
        <v>0</v>
      </c>
      <c r="P68" s="259">
        <f t="shared" si="72"/>
        <v>0.25785354347593009</v>
      </c>
      <c r="Q68" s="259">
        <f t="shared" si="72"/>
        <v>0</v>
      </c>
      <c r="R68" s="259">
        <f t="shared" si="72"/>
        <v>0.24627425753189666</v>
      </c>
      <c r="S68" s="259">
        <f t="shared" si="72"/>
        <v>0.24123512383403023</v>
      </c>
      <c r="T68" s="259">
        <f t="shared" si="72"/>
        <v>0.13267931810871664</v>
      </c>
      <c r="U68" s="366"/>
      <c r="V68" s="565"/>
    </row>
    <row r="69" spans="2:23" s="145" customFormat="1">
      <c r="B69" s="494"/>
      <c r="C69" s="513"/>
      <c r="D69" s="495"/>
      <c r="E69" s="358"/>
      <c r="F69" s="259"/>
      <c r="G69" s="259"/>
      <c r="H69" s="259"/>
      <c r="I69" s="259"/>
      <c r="J69" s="259"/>
      <c r="K69" s="259"/>
      <c r="L69" s="359"/>
      <c r="M69" s="539"/>
      <c r="N69" s="259"/>
      <c r="O69" s="259"/>
      <c r="P69" s="259"/>
      <c r="Q69" s="259"/>
      <c r="R69" s="259"/>
      <c r="S69" s="259"/>
      <c r="T69" s="259"/>
      <c r="U69" s="366"/>
      <c r="V69" s="565"/>
    </row>
    <row r="70" spans="2:23" s="145" customFormat="1">
      <c r="B70" s="500">
        <f>INPUTS!C30</f>
        <v>0</v>
      </c>
      <c r="C70" s="518"/>
      <c r="D70" s="493" t="s">
        <v>1172</v>
      </c>
      <c r="E70" s="356">
        <f>INPUTS!L60</f>
        <v>0.05</v>
      </c>
      <c r="F70" s="259">
        <f>INPUTS!L61</f>
        <v>0</v>
      </c>
      <c r="G70" s="259">
        <f>INPUTS!L62</f>
        <v>0.37</v>
      </c>
      <c r="H70" s="259">
        <f>INPUTS!L63</f>
        <v>0</v>
      </c>
      <c r="I70" s="259">
        <f>INPUTS!L64</f>
        <v>0.1</v>
      </c>
      <c r="J70" s="259">
        <f>INPUTS!L65</f>
        <v>0.15</v>
      </c>
      <c r="K70" s="259">
        <f>INPUTS!L66</f>
        <v>0.33</v>
      </c>
      <c r="L70" s="359"/>
      <c r="M70" s="555" t="s">
        <v>1172</v>
      </c>
      <c r="N70" s="259">
        <f>INPUTS!AA60</f>
        <v>0.05</v>
      </c>
      <c r="O70" s="259">
        <f>INPUTS!AA61</f>
        <v>0</v>
      </c>
      <c r="P70" s="259">
        <f>INPUTS!AA62</f>
        <v>0.37</v>
      </c>
      <c r="Q70" s="259">
        <f>INPUTS!AA63</f>
        <v>0</v>
      </c>
      <c r="R70" s="259">
        <f>INPUTS!AA64</f>
        <v>0.1</v>
      </c>
      <c r="S70" s="259">
        <f>INPUTS!AA65</f>
        <v>0.15</v>
      </c>
      <c r="T70" s="259">
        <f>INPUTS!AA66</f>
        <v>0.33</v>
      </c>
      <c r="U70" s="366"/>
      <c r="V70" s="565"/>
    </row>
    <row r="71" spans="2:23" s="145" customFormat="1">
      <c r="B71" s="497"/>
      <c r="C71" s="515"/>
      <c r="D71" s="495" t="s">
        <v>812</v>
      </c>
      <c r="E71" s="360">
        <f>VLOOKUP(E6,'Feed parameters'!$A$2:$M$113,6, FALSE)</f>
        <v>12.74</v>
      </c>
      <c r="F71" s="259">
        <f>VLOOKUP(F6,'Feed parameters'!$A$2:$M$113,6, FALSE)</f>
        <v>8.1</v>
      </c>
      <c r="G71" s="259">
        <f>VLOOKUP(G6,'Feed parameters'!$A$2:$M$113,6, FALSE)</f>
        <v>1.8862465753424655</v>
      </c>
      <c r="H71" s="259">
        <f>VLOOKUP(H6,'Feed parameters'!$A$2:$M$113,6, FALSE)</f>
        <v>14.4</v>
      </c>
      <c r="I71" s="259">
        <f>VLOOKUP(I6,'Feed parameters'!$A$2:$M$113,6, FALSE)</f>
        <v>3.5373800000000002</v>
      </c>
      <c r="J71" s="259">
        <f>VLOOKUP(J6,'Feed parameters'!$A$2:$M$113,6, FALSE)</f>
        <v>3.6</v>
      </c>
      <c r="K71" s="259">
        <f>VLOOKUP(K6,'Feed parameters'!$A$2:$M$113,6, FALSE)</f>
        <v>1.65</v>
      </c>
      <c r="L71" s="361">
        <f>IFERROR(SUMPRODUCT(E70:K70,E71:K71)/ SUM(E70:K70),0)</f>
        <v>2.7731492328767127</v>
      </c>
      <c r="M71" s="368" t="s">
        <v>812</v>
      </c>
      <c r="N71" s="259">
        <f>N64</f>
        <v>12.74</v>
      </c>
      <c r="O71" s="259">
        <f t="shared" ref="O71:T71" si="73">O64</f>
        <v>8.1</v>
      </c>
      <c r="P71" s="259">
        <f t="shared" si="73"/>
        <v>1.8862465753424655</v>
      </c>
      <c r="Q71" s="259">
        <f t="shared" si="73"/>
        <v>14.4</v>
      </c>
      <c r="R71" s="259">
        <f t="shared" si="73"/>
        <v>3.5373800000000002</v>
      </c>
      <c r="S71" s="259">
        <f t="shared" si="73"/>
        <v>3.6</v>
      </c>
      <c r="T71" s="259">
        <f t="shared" si="73"/>
        <v>1.65</v>
      </c>
      <c r="U71" s="367">
        <f>IFERROR(SUMPRODUCT(N70:T70,N71:T71)/ SUM(N70:T70),0)</f>
        <v>2.7731492328767127</v>
      </c>
      <c r="V71" s="565">
        <f>L71*$G$3+U71*$P$3</f>
        <v>2.7731492328767127</v>
      </c>
      <c r="W71" s="475">
        <f>L71*$G$3/(L74*0.01)+U71*$P$3/(U74*0.01)</f>
        <v>7.433122206702885</v>
      </c>
    </row>
    <row r="72" spans="2:23" s="145" customFormat="1">
      <c r="B72" s="501"/>
      <c r="C72" s="519"/>
      <c r="D72" s="495" t="s">
        <v>813</v>
      </c>
      <c r="E72" s="360">
        <f>VLOOKUP(E6,'Feed parameters'!$A$2:$M$113,7, FALSE)</f>
        <v>0.68805871200000002</v>
      </c>
      <c r="F72" s="259">
        <f>VLOOKUP(F6,'Feed parameters'!$A$2:$M$113,7, FALSE)</f>
        <v>0.99</v>
      </c>
      <c r="G72" s="259">
        <f>VLOOKUP(G6,'Feed parameters'!$A$2:$M$113,7, FALSE)</f>
        <v>0.47881643835616428</v>
      </c>
      <c r="H72" s="259">
        <f>VLOOKUP(H6,'Feed parameters'!$A$2:$M$113,7, FALSE)</f>
        <v>0.79859999999999998</v>
      </c>
      <c r="I72" s="259">
        <f>VLOOKUP(I6,'Feed parameters'!$A$2:$M$113,7, FALSE)</f>
        <v>0.37223999999999996</v>
      </c>
      <c r="J72" s="259">
        <f>VLOOKUP(J6,'Feed parameters'!$A$2:$M$113,7, FALSE)</f>
        <v>0.33</v>
      </c>
      <c r="K72" s="259">
        <f>VLOOKUP(K6,'Feed parameters'!$A$2:$M$113,7, FALSE)</f>
        <v>0.65213596800000007</v>
      </c>
      <c r="L72" s="361">
        <f>IFERROR(SUMPRODUCT(E70:K70,E72:K72)/ SUM(E70:K70),0)</f>
        <v>0.5134938872317808</v>
      </c>
      <c r="M72" s="368" t="s">
        <v>813</v>
      </c>
      <c r="N72" s="259">
        <f t="shared" ref="N72:T74" si="74">N65</f>
        <v>0.68805871200000002</v>
      </c>
      <c r="O72" s="259">
        <f t="shared" si="74"/>
        <v>0.99</v>
      </c>
      <c r="P72" s="259">
        <f t="shared" si="74"/>
        <v>0.47881643835616428</v>
      </c>
      <c r="Q72" s="259">
        <f t="shared" si="74"/>
        <v>0.79859999999999998</v>
      </c>
      <c r="R72" s="259">
        <f t="shared" si="74"/>
        <v>0.37223999999999996</v>
      </c>
      <c r="S72" s="259">
        <f t="shared" si="74"/>
        <v>0.33</v>
      </c>
      <c r="T72" s="259">
        <f t="shared" si="74"/>
        <v>0.65213596800000007</v>
      </c>
      <c r="U72" s="367">
        <f>IFERROR(SUMPRODUCT(N70:T70,N72:T72)/ SUM(N70:T70),0)</f>
        <v>0.5134938872317808</v>
      </c>
      <c r="V72" s="565">
        <f>L72*$G$3+U72*$P$3</f>
        <v>0.51349388723178069</v>
      </c>
    </row>
    <row r="73" spans="2:23" s="145" customFormat="1">
      <c r="B73" s="499"/>
      <c r="C73" s="517"/>
      <c r="D73" s="495" t="s">
        <v>903</v>
      </c>
      <c r="E73" s="358">
        <f>VLOOKUP(E6,'Feed parameters'!$A$2:$M$113,4, FALSE)</f>
        <v>9.486870119999999</v>
      </c>
      <c r="F73" s="259">
        <f>VLOOKUP(F6,'Feed parameters'!$A$2:$M$113,4, FALSE)</f>
        <v>13.5</v>
      </c>
      <c r="G73" s="259">
        <f>VLOOKUP(G6,'Feed parameters'!$A$2:$M$113,4, FALSE)</f>
        <v>1.886246575342466</v>
      </c>
      <c r="H73" s="259">
        <f>VLOOKUP(H6,'Feed parameters'!$A$2:$M$113,4, FALSE)</f>
        <v>10.89</v>
      </c>
      <c r="I73" s="259">
        <f>VLOOKUP(I6,'Feed parameters'!$A$2:$M$113,4, FALSE)</f>
        <v>5.1820319999999995</v>
      </c>
      <c r="J73" s="259">
        <f>VLOOKUP(J6,'Feed parameters'!$A$2:$M$113,4, FALSE)</f>
        <v>3</v>
      </c>
      <c r="K73" s="259">
        <f>VLOOKUP(K6,'Feed parameters'!$A$2:$M$113,4, FALSE)</f>
        <v>1.4821271999999999</v>
      </c>
      <c r="L73" s="359">
        <f>IFERROR(SUMPRODUCT(E70:K70,E73:K73)/ SUM(E70:K70),0)</f>
        <v>2.6295599148767121</v>
      </c>
      <c r="M73" s="368" t="s">
        <v>903</v>
      </c>
      <c r="N73" s="259">
        <f t="shared" si="74"/>
        <v>9.486870119999999</v>
      </c>
      <c r="O73" s="259">
        <f t="shared" si="74"/>
        <v>13.5</v>
      </c>
      <c r="P73" s="259">
        <f t="shared" si="74"/>
        <v>1.886246575342466</v>
      </c>
      <c r="Q73" s="259">
        <f t="shared" si="74"/>
        <v>10.89</v>
      </c>
      <c r="R73" s="259">
        <f t="shared" si="74"/>
        <v>5.1820319999999995</v>
      </c>
      <c r="S73" s="259">
        <f t="shared" si="74"/>
        <v>3</v>
      </c>
      <c r="T73" s="259">
        <f t="shared" si="74"/>
        <v>1.4821271999999999</v>
      </c>
      <c r="U73" s="366">
        <f>IFERROR(SUMPRODUCT(N70:T70,N73:T73)/ SUM(N70:T70),0)</f>
        <v>2.6295599148767121</v>
      </c>
      <c r="V73" s="565"/>
    </row>
    <row r="74" spans="2:23" s="145" customFormat="1">
      <c r="B74" s="494"/>
      <c r="C74" s="513"/>
      <c r="D74" s="495" t="s">
        <v>1155</v>
      </c>
      <c r="E74" s="358">
        <f>VLOOKUP(E6,'Feed parameters'!$A$2:$M$113,2, FALSE)</f>
        <v>91</v>
      </c>
      <c r="F74" s="259">
        <f>VLOOKUP(F6,'Feed parameters'!$A$2:$M$113,2, FALSE)</f>
        <v>90</v>
      </c>
      <c r="G74" s="259">
        <f>VLOOKUP(G6,'Feed parameters'!$A$2:$M$113,2, FALSE)</f>
        <v>26</v>
      </c>
      <c r="H74" s="259">
        <f>VLOOKUP(H6,'Feed parameters'!$A$2:$M$113,2, FALSE)</f>
        <v>90</v>
      </c>
      <c r="I74" s="259">
        <f>VLOOKUP(I6,'Feed parameters'!$A$2:$M$113,2, FALSE)</f>
        <v>91.88</v>
      </c>
      <c r="J74" s="259">
        <f>VLOOKUP(J6,'Feed parameters'!$A$2:$M$113,2, FALSE)</f>
        <v>60</v>
      </c>
      <c r="K74" s="259">
        <f>VLOOKUP(K6,'Feed parameters'!$A$2:$M$113,2, FALSE)</f>
        <v>15</v>
      </c>
      <c r="L74" s="359">
        <f>IFERROR(SUMPRODUCT(E70:K70,E74:K74)/ SUM(E70:K70),0)</f>
        <v>37.308</v>
      </c>
      <c r="M74" s="539" t="s">
        <v>1155</v>
      </c>
      <c r="N74" s="259">
        <f t="shared" si="74"/>
        <v>91</v>
      </c>
      <c r="O74" s="259">
        <f t="shared" si="74"/>
        <v>90</v>
      </c>
      <c r="P74" s="259">
        <f t="shared" si="74"/>
        <v>26</v>
      </c>
      <c r="Q74" s="259">
        <f t="shared" si="74"/>
        <v>90</v>
      </c>
      <c r="R74" s="259">
        <f t="shared" si="74"/>
        <v>91.88</v>
      </c>
      <c r="S74" s="259">
        <f t="shared" si="74"/>
        <v>60</v>
      </c>
      <c r="T74" s="259">
        <f t="shared" si="74"/>
        <v>15</v>
      </c>
      <c r="U74" s="366">
        <f>IFERROR(SUMPRODUCT(N70:T70,N74:T74)/ SUM(N70:T70),0)</f>
        <v>37.308</v>
      </c>
      <c r="V74" s="565">
        <f>L74*$G$3+U74*$P$3</f>
        <v>37.308</v>
      </c>
    </row>
    <row r="75" spans="2:23" s="145" customFormat="1">
      <c r="B75" s="494"/>
      <c r="C75" s="513"/>
      <c r="D75" s="495" t="s">
        <v>1173</v>
      </c>
      <c r="E75" s="358">
        <f>IFERROR((E70*E74)/SUMPRODUCT($E70:$K70,$E74:$K74), 0)</f>
        <v>0.12195775704942639</v>
      </c>
      <c r="F75" s="259">
        <f t="shared" ref="F75:K75" si="75">IFERROR((F70*F74)/SUMPRODUCT($E70:$K70,$E74:$K74), 0)</f>
        <v>0</v>
      </c>
      <c r="G75" s="259">
        <f t="shared" si="75"/>
        <v>0.25785354347593009</v>
      </c>
      <c r="H75" s="259">
        <f t="shared" si="75"/>
        <v>0</v>
      </c>
      <c r="I75" s="259">
        <f t="shared" si="75"/>
        <v>0.24627425753189666</v>
      </c>
      <c r="J75" s="259">
        <f t="shared" si="75"/>
        <v>0.24123512383403023</v>
      </c>
      <c r="K75" s="259">
        <f t="shared" si="75"/>
        <v>0.13267931810871664</v>
      </c>
      <c r="L75" s="359"/>
      <c r="M75" s="539" t="s">
        <v>1173</v>
      </c>
      <c r="N75" s="259">
        <f t="shared" ref="N75:T75" si="76">IFERROR((N70*N74)/SUMPRODUCT($N70:$T70,$N74:$T74),0)</f>
        <v>0.12195775704942639</v>
      </c>
      <c r="O75" s="259">
        <f t="shared" si="76"/>
        <v>0</v>
      </c>
      <c r="P75" s="259">
        <f t="shared" si="76"/>
        <v>0.25785354347593009</v>
      </c>
      <c r="Q75" s="259">
        <f t="shared" si="76"/>
        <v>0</v>
      </c>
      <c r="R75" s="259">
        <f t="shared" si="76"/>
        <v>0.24627425753189666</v>
      </c>
      <c r="S75" s="259">
        <f t="shared" si="76"/>
        <v>0.24123512383403023</v>
      </c>
      <c r="T75" s="259">
        <f t="shared" si="76"/>
        <v>0.13267931810871664</v>
      </c>
      <c r="U75" s="366"/>
      <c r="V75" s="565"/>
    </row>
    <row r="76" spans="2:23" s="145" customFormat="1">
      <c r="B76" s="494"/>
      <c r="C76" s="513"/>
      <c r="D76" s="495"/>
      <c r="E76" s="358"/>
      <c r="F76" s="259"/>
      <c r="G76" s="259"/>
      <c r="H76" s="259"/>
      <c r="I76" s="259"/>
      <c r="J76" s="259"/>
      <c r="K76" s="259"/>
      <c r="L76" s="359"/>
      <c r="M76" s="539"/>
      <c r="N76" s="259"/>
      <c r="O76" s="259"/>
      <c r="P76" s="259"/>
      <c r="Q76" s="259"/>
      <c r="R76" s="259"/>
      <c r="S76" s="259"/>
      <c r="T76" s="259"/>
      <c r="U76" s="366"/>
      <c r="V76" s="565"/>
    </row>
    <row r="77" spans="2:23" s="145" customFormat="1">
      <c r="B77" s="500">
        <f>INPUTS!C30</f>
        <v>0</v>
      </c>
      <c r="C77" s="518"/>
      <c r="D77" s="493" t="s">
        <v>1172</v>
      </c>
      <c r="E77" s="356">
        <f>INPUTS!M60</f>
        <v>0.05</v>
      </c>
      <c r="F77" s="259">
        <f>INPUTS!M61</f>
        <v>0</v>
      </c>
      <c r="G77" s="259">
        <f>INPUTS!M62</f>
        <v>0.37</v>
      </c>
      <c r="H77" s="259">
        <f>INPUTS!M63</f>
        <v>0</v>
      </c>
      <c r="I77" s="259">
        <f>INPUTS!M64</f>
        <v>0.1</v>
      </c>
      <c r="J77" s="259">
        <f>INPUTS!M65</f>
        <v>0.15</v>
      </c>
      <c r="K77" s="259">
        <f>INPUTS!M66</f>
        <v>0.33</v>
      </c>
      <c r="L77" s="359"/>
      <c r="M77" s="555" t="s">
        <v>1172</v>
      </c>
      <c r="N77" s="259">
        <f>INPUTS!AB60</f>
        <v>0.05</v>
      </c>
      <c r="O77" s="259">
        <f>INPUTS!AB61</f>
        <v>0</v>
      </c>
      <c r="P77" s="259">
        <f>INPUTS!AB62</f>
        <v>0.37</v>
      </c>
      <c r="Q77" s="259">
        <f>INPUTS!AB63</f>
        <v>0</v>
      </c>
      <c r="R77" s="259">
        <f>INPUTS!AB64</f>
        <v>0.1</v>
      </c>
      <c r="S77" s="259">
        <f>INPUTS!AB65</f>
        <v>0.15</v>
      </c>
      <c r="T77" s="259">
        <f>INPUTS!AB66</f>
        <v>0.33</v>
      </c>
      <c r="U77" s="366"/>
      <c r="V77" s="565"/>
    </row>
    <row r="78" spans="2:23" s="145" customFormat="1">
      <c r="B78" s="497"/>
      <c r="C78" s="515"/>
      <c r="D78" s="495" t="s">
        <v>812</v>
      </c>
      <c r="E78" s="360">
        <f>VLOOKUP(E6,'Feed parameters'!$A$2:$M$113,6, FALSE)</f>
        <v>12.74</v>
      </c>
      <c r="F78" s="259">
        <f>VLOOKUP(F6,'Feed parameters'!$A$2:$M$113,6, FALSE)</f>
        <v>8.1</v>
      </c>
      <c r="G78" s="259">
        <f>VLOOKUP(G6,'Feed parameters'!$A$2:$M$113,6, FALSE)</f>
        <v>1.8862465753424655</v>
      </c>
      <c r="H78" s="259">
        <f>VLOOKUP(H6,'Feed parameters'!$A$2:$M$113,6, FALSE)</f>
        <v>14.4</v>
      </c>
      <c r="I78" s="259">
        <f>VLOOKUP(I6,'Feed parameters'!$A$2:$M$113,6, FALSE)</f>
        <v>3.5373800000000002</v>
      </c>
      <c r="J78" s="259">
        <f>VLOOKUP(J6,'Feed parameters'!$A$2:$M$113,6, FALSE)</f>
        <v>3.6</v>
      </c>
      <c r="K78" s="259">
        <f>VLOOKUP(K6,'Feed parameters'!$A$2:$M$113,6, FALSE)</f>
        <v>1.65</v>
      </c>
      <c r="L78" s="361">
        <f>IFERROR(SUMPRODUCT(E77:K77,E78:K78)/ SUM(E77:K77),0)</f>
        <v>2.7731492328767127</v>
      </c>
      <c r="M78" s="368" t="s">
        <v>812</v>
      </c>
      <c r="N78" s="259">
        <f>N71</f>
        <v>12.74</v>
      </c>
      <c r="O78" s="259">
        <f t="shared" ref="O78:T78" si="77">O71</f>
        <v>8.1</v>
      </c>
      <c r="P78" s="259">
        <f t="shared" si="77"/>
        <v>1.8862465753424655</v>
      </c>
      <c r="Q78" s="259">
        <f t="shared" si="77"/>
        <v>14.4</v>
      </c>
      <c r="R78" s="259">
        <f t="shared" si="77"/>
        <v>3.5373800000000002</v>
      </c>
      <c r="S78" s="259">
        <f t="shared" si="77"/>
        <v>3.6</v>
      </c>
      <c r="T78" s="259">
        <f t="shared" si="77"/>
        <v>1.65</v>
      </c>
      <c r="U78" s="367">
        <f>IFERROR(SUMPRODUCT(N77:T77,N78:T78)/ SUM(N77:T77),0)</f>
        <v>2.7731492328767127</v>
      </c>
      <c r="V78" s="565">
        <f>L78*$G$3+U78*$P$3</f>
        <v>2.7731492328767127</v>
      </c>
      <c r="W78" s="475">
        <f>L78*$G$3/(L81*0.01)+U78*$P$3/(U81*0.01)</f>
        <v>7.433122206702885</v>
      </c>
    </row>
    <row r="79" spans="2:23" s="145" customFormat="1">
      <c r="B79" s="501"/>
      <c r="C79" s="519"/>
      <c r="D79" s="495" t="s">
        <v>813</v>
      </c>
      <c r="E79" s="360">
        <f>VLOOKUP(E6,'Feed parameters'!$A$2:$M$113,7, FALSE)</f>
        <v>0.68805871200000002</v>
      </c>
      <c r="F79" s="259">
        <f>VLOOKUP(F6,'Feed parameters'!$A$2:$M$113,7, FALSE)</f>
        <v>0.99</v>
      </c>
      <c r="G79" s="259">
        <f>VLOOKUP(G6,'Feed parameters'!$A$2:$M$113,7, FALSE)</f>
        <v>0.47881643835616428</v>
      </c>
      <c r="H79" s="259">
        <f>VLOOKUP(H6,'Feed parameters'!$A$2:$M$113,7, FALSE)</f>
        <v>0.79859999999999998</v>
      </c>
      <c r="I79" s="259">
        <f>VLOOKUP(I6,'Feed parameters'!$A$2:$M$113,7, FALSE)</f>
        <v>0.37223999999999996</v>
      </c>
      <c r="J79" s="259">
        <f>VLOOKUP(J6,'Feed parameters'!$A$2:$M$113,7, FALSE)</f>
        <v>0.33</v>
      </c>
      <c r="K79" s="259">
        <f>VLOOKUP(K6,'Feed parameters'!$A$2:$M$113,7, FALSE)</f>
        <v>0.65213596800000007</v>
      </c>
      <c r="L79" s="361">
        <f>IFERROR(SUMPRODUCT(E77:K77,E79:K79)/ SUM(E77:K77),0)</f>
        <v>0.5134938872317808</v>
      </c>
      <c r="M79" s="368" t="s">
        <v>813</v>
      </c>
      <c r="N79" s="259">
        <f t="shared" ref="N79:T81" si="78">N72</f>
        <v>0.68805871200000002</v>
      </c>
      <c r="O79" s="259">
        <f t="shared" si="78"/>
        <v>0.99</v>
      </c>
      <c r="P79" s="259">
        <f t="shared" si="78"/>
        <v>0.47881643835616428</v>
      </c>
      <c r="Q79" s="259">
        <f t="shared" si="78"/>
        <v>0.79859999999999998</v>
      </c>
      <c r="R79" s="259">
        <f t="shared" si="78"/>
        <v>0.37223999999999996</v>
      </c>
      <c r="S79" s="259">
        <f t="shared" si="78"/>
        <v>0.33</v>
      </c>
      <c r="T79" s="259">
        <f t="shared" si="78"/>
        <v>0.65213596800000007</v>
      </c>
      <c r="U79" s="367">
        <f>IFERROR(SUMPRODUCT(N77:T77,N79:T79)/ SUM(N77:T77),0)</f>
        <v>0.5134938872317808</v>
      </c>
      <c r="V79" s="565">
        <f>L79*$G$3+U79*$P$3</f>
        <v>0.51349388723178069</v>
      </c>
    </row>
    <row r="80" spans="2:23" s="145" customFormat="1">
      <c r="B80" s="499"/>
      <c r="C80" s="517"/>
      <c r="D80" s="495" t="s">
        <v>903</v>
      </c>
      <c r="E80" s="358">
        <f>VLOOKUP(E6,'Feed parameters'!$A$2:$M$113,4, FALSE)</f>
        <v>9.486870119999999</v>
      </c>
      <c r="F80" s="259">
        <f>VLOOKUP(F6,'Feed parameters'!$A$2:$M$113,4, FALSE)</f>
        <v>13.5</v>
      </c>
      <c r="G80" s="259">
        <f>VLOOKUP(G6,'Feed parameters'!$A$2:$M$113,4, FALSE)</f>
        <v>1.886246575342466</v>
      </c>
      <c r="H80" s="259">
        <f>VLOOKUP(H6,'Feed parameters'!$A$2:$M$113,4, FALSE)</f>
        <v>10.89</v>
      </c>
      <c r="I80" s="259">
        <f>VLOOKUP(I6,'Feed parameters'!$A$2:$M$113,4, FALSE)</f>
        <v>5.1820319999999995</v>
      </c>
      <c r="J80" s="259">
        <f>VLOOKUP(J6,'Feed parameters'!$A$2:$M$113,4, FALSE)</f>
        <v>3</v>
      </c>
      <c r="K80" s="259">
        <f>VLOOKUP(K6,'Feed parameters'!$A$2:$M$113,4, FALSE)</f>
        <v>1.4821271999999999</v>
      </c>
      <c r="L80" s="359">
        <f>IFERROR(SUMPRODUCT(E77:K77,E80:K80)/ SUM(E77:K77),0)</f>
        <v>2.6295599148767121</v>
      </c>
      <c r="M80" s="368" t="s">
        <v>903</v>
      </c>
      <c r="N80" s="259">
        <f t="shared" si="78"/>
        <v>9.486870119999999</v>
      </c>
      <c r="O80" s="259">
        <f t="shared" si="78"/>
        <v>13.5</v>
      </c>
      <c r="P80" s="259">
        <f t="shared" si="78"/>
        <v>1.886246575342466</v>
      </c>
      <c r="Q80" s="259">
        <f t="shared" si="78"/>
        <v>10.89</v>
      </c>
      <c r="R80" s="259">
        <f t="shared" si="78"/>
        <v>5.1820319999999995</v>
      </c>
      <c r="S80" s="259">
        <f t="shared" si="78"/>
        <v>3</v>
      </c>
      <c r="T80" s="259">
        <f t="shared" si="78"/>
        <v>1.4821271999999999</v>
      </c>
      <c r="U80" s="366">
        <f>IFERROR(SUMPRODUCT(N77:T77,N80:T80)/ SUM(N77:T77),0)</f>
        <v>2.6295599148767121</v>
      </c>
      <c r="V80" s="565"/>
    </row>
    <row r="81" spans="2:23" s="145" customFormat="1">
      <c r="B81" s="494"/>
      <c r="C81" s="513"/>
      <c r="D81" s="495" t="s">
        <v>1155</v>
      </c>
      <c r="E81" s="358">
        <f>VLOOKUP(E6,'Feed parameters'!$A$2:$M$113,2, FALSE)</f>
        <v>91</v>
      </c>
      <c r="F81" s="259">
        <f>VLOOKUP(F6,'Feed parameters'!$A$2:$M$113,2, FALSE)</f>
        <v>90</v>
      </c>
      <c r="G81" s="259">
        <f>VLOOKUP(G6,'Feed parameters'!$A$2:$M$113,2, FALSE)</f>
        <v>26</v>
      </c>
      <c r="H81" s="259">
        <f>VLOOKUP(H6,'Feed parameters'!$A$2:$M$113,2, FALSE)</f>
        <v>90</v>
      </c>
      <c r="I81" s="259">
        <f>VLOOKUP(I6,'Feed parameters'!$A$2:$M$113,2, FALSE)</f>
        <v>91.88</v>
      </c>
      <c r="J81" s="259">
        <f>VLOOKUP(J6,'Feed parameters'!$A$2:$M$113,2, FALSE)</f>
        <v>60</v>
      </c>
      <c r="K81" s="259">
        <f>VLOOKUP(K6,'Feed parameters'!$A$2:$M$113,2, FALSE)</f>
        <v>15</v>
      </c>
      <c r="L81" s="359">
        <f>IFERROR(SUMPRODUCT(E77:K77,E81:K81)/ SUM(E77:K77),0)</f>
        <v>37.308</v>
      </c>
      <c r="M81" s="539" t="s">
        <v>1155</v>
      </c>
      <c r="N81" s="259">
        <f t="shared" si="78"/>
        <v>91</v>
      </c>
      <c r="O81" s="259">
        <f t="shared" si="78"/>
        <v>90</v>
      </c>
      <c r="P81" s="259">
        <f t="shared" si="78"/>
        <v>26</v>
      </c>
      <c r="Q81" s="259">
        <f t="shared" si="78"/>
        <v>90</v>
      </c>
      <c r="R81" s="259">
        <f t="shared" si="78"/>
        <v>91.88</v>
      </c>
      <c r="S81" s="259">
        <f t="shared" si="78"/>
        <v>60</v>
      </c>
      <c r="T81" s="259">
        <f t="shared" si="78"/>
        <v>15</v>
      </c>
      <c r="U81" s="366">
        <f>IFERROR(SUMPRODUCT(N77:T77,N81:T81)/ SUM(N77:T77),0)</f>
        <v>37.308</v>
      </c>
      <c r="V81" s="565">
        <f>L81*$G$3+U81*$P$3</f>
        <v>37.308</v>
      </c>
    </row>
    <row r="82" spans="2:23" s="145" customFormat="1">
      <c r="B82" s="494"/>
      <c r="C82" s="513"/>
      <c r="D82" s="495" t="s">
        <v>1173</v>
      </c>
      <c r="E82" s="358">
        <f>IFERROR((E77*E81)/SUMPRODUCT($E77:$K77,$E81:$K81), 0)</f>
        <v>0.12195775704942639</v>
      </c>
      <c r="F82" s="259">
        <f t="shared" ref="F82:K82" si="79">IFERROR((F77*F81)/SUMPRODUCT($E77:$K77,$E81:$K81), 0)</f>
        <v>0</v>
      </c>
      <c r="G82" s="259">
        <f t="shared" si="79"/>
        <v>0.25785354347593009</v>
      </c>
      <c r="H82" s="259">
        <f t="shared" si="79"/>
        <v>0</v>
      </c>
      <c r="I82" s="259">
        <f t="shared" si="79"/>
        <v>0.24627425753189666</v>
      </c>
      <c r="J82" s="259">
        <f t="shared" si="79"/>
        <v>0.24123512383403023</v>
      </c>
      <c r="K82" s="259">
        <f t="shared" si="79"/>
        <v>0.13267931810871664</v>
      </c>
      <c r="L82" s="359"/>
      <c r="M82" s="539" t="s">
        <v>1173</v>
      </c>
      <c r="N82" s="259">
        <f t="shared" ref="N82:T82" si="80">IFERROR((N77*N81)/SUMPRODUCT($N77:$T77,$N81:$T81),0)</f>
        <v>0.12195775704942639</v>
      </c>
      <c r="O82" s="259">
        <f t="shared" si="80"/>
        <v>0</v>
      </c>
      <c r="P82" s="259">
        <f t="shared" si="80"/>
        <v>0.25785354347593009</v>
      </c>
      <c r="Q82" s="259">
        <f t="shared" si="80"/>
        <v>0</v>
      </c>
      <c r="R82" s="259">
        <f t="shared" si="80"/>
        <v>0.24627425753189666</v>
      </c>
      <c r="S82" s="259">
        <f t="shared" si="80"/>
        <v>0.24123512383403023</v>
      </c>
      <c r="T82" s="259">
        <f t="shared" si="80"/>
        <v>0.13267931810871664</v>
      </c>
      <c r="U82" s="366"/>
      <c r="V82" s="565"/>
    </row>
    <row r="83" spans="2:23" s="145" customFormat="1">
      <c r="B83" s="494"/>
      <c r="C83" s="513"/>
      <c r="D83" s="495"/>
      <c r="E83" s="358"/>
      <c r="F83" s="259"/>
      <c r="G83" s="259"/>
      <c r="H83" s="259"/>
      <c r="I83" s="259"/>
      <c r="J83" s="259"/>
      <c r="K83" s="259"/>
      <c r="L83" s="359"/>
      <c r="M83" s="539"/>
      <c r="N83" s="259"/>
      <c r="O83" s="259"/>
      <c r="P83" s="259"/>
      <c r="Q83" s="259"/>
      <c r="R83" s="259"/>
      <c r="S83" s="259"/>
      <c r="T83" s="259"/>
      <c r="U83" s="366"/>
      <c r="V83" s="565"/>
    </row>
    <row r="84" spans="2:23" s="145" customFormat="1">
      <c r="B84" s="500">
        <f>INPUTS!C30</f>
        <v>0</v>
      </c>
      <c r="C84" s="513"/>
      <c r="D84" s="493" t="s">
        <v>1172</v>
      </c>
      <c r="E84" s="356">
        <f>INPUTS!N60</f>
        <v>0.05</v>
      </c>
      <c r="F84" s="1133">
        <f>INPUTS!N61</f>
        <v>0</v>
      </c>
      <c r="G84" s="1133">
        <f>INPUTS!N62</f>
        <v>0.37</v>
      </c>
      <c r="H84" s="1133">
        <f>INPUTS!N63</f>
        <v>0</v>
      </c>
      <c r="I84" s="1133">
        <f>INPUTS!N64</f>
        <v>0.1</v>
      </c>
      <c r="J84" s="1133">
        <f>INPUTS!N65</f>
        <v>0.15</v>
      </c>
      <c r="K84" s="1133">
        <f>INPUTS!N66</f>
        <v>0.33</v>
      </c>
      <c r="L84" s="357"/>
      <c r="M84" s="539" t="s">
        <v>1172</v>
      </c>
      <c r="N84" s="259">
        <f>INPUTS!AC60</f>
        <v>0.05</v>
      </c>
      <c r="O84" s="259">
        <f>INPUTS!AC61</f>
        <v>0</v>
      </c>
      <c r="P84" s="259">
        <f>INPUTS!AC62</f>
        <v>0.37</v>
      </c>
      <c r="Q84" s="259">
        <f>INPUTS!AC63</f>
        <v>0</v>
      </c>
      <c r="R84" s="259">
        <f>INPUTS!AC64</f>
        <v>0.1</v>
      </c>
      <c r="S84" s="259">
        <f>INPUTS!AC65</f>
        <v>0.15</v>
      </c>
      <c r="T84" s="259">
        <f>INPUTS!AC66</f>
        <v>0.33</v>
      </c>
      <c r="U84" s="366"/>
      <c r="V84" s="564"/>
      <c r="W84" s="281"/>
    </row>
    <row r="85" spans="2:23" s="145" customFormat="1">
      <c r="B85" s="494"/>
      <c r="C85" s="513"/>
      <c r="D85" s="495" t="s">
        <v>812</v>
      </c>
      <c r="E85" s="360">
        <f>VLOOKUP(E6,'Feed parameters'!$A$2:$M$113,6, FALSE)</f>
        <v>12.74</v>
      </c>
      <c r="F85" s="259">
        <f>VLOOKUP(F6,'Feed parameters'!$A$2:$M$113,6, FALSE)</f>
        <v>8.1</v>
      </c>
      <c r="G85" s="259">
        <f>VLOOKUP(G6,'Feed parameters'!$A$2:$M$113,6, FALSE)</f>
        <v>1.8862465753424655</v>
      </c>
      <c r="H85" s="259">
        <f>VLOOKUP(H6,'Feed parameters'!$A$2:$M$113,6, FALSE)</f>
        <v>14.4</v>
      </c>
      <c r="I85" s="259">
        <f>VLOOKUP(I6,'Feed parameters'!$A$2:$M$113,6, FALSE)</f>
        <v>3.5373800000000002</v>
      </c>
      <c r="J85" s="259">
        <f>VLOOKUP(J6,'Feed parameters'!$A$2:$M$113,6, FALSE)</f>
        <v>3.6</v>
      </c>
      <c r="K85" s="259">
        <f>VLOOKUP(K6,'Feed parameters'!$A$2:$M$113,6, FALSE)</f>
        <v>1.65</v>
      </c>
      <c r="L85" s="361">
        <f>IFERROR(SUMPRODUCT(E84:K84,E85:K85)/ SUM(E84:K84),0)</f>
        <v>2.7731492328767127</v>
      </c>
      <c r="M85" s="539" t="s">
        <v>812</v>
      </c>
      <c r="N85" s="259">
        <f>N78</f>
        <v>12.74</v>
      </c>
      <c r="O85" s="259">
        <f t="shared" ref="O85:T85" si="81">O64</f>
        <v>8.1</v>
      </c>
      <c r="P85" s="259">
        <f t="shared" si="81"/>
        <v>1.8862465753424655</v>
      </c>
      <c r="Q85" s="259">
        <f t="shared" si="81"/>
        <v>14.4</v>
      </c>
      <c r="R85" s="259">
        <f t="shared" si="81"/>
        <v>3.5373800000000002</v>
      </c>
      <c r="S85" s="259">
        <f t="shared" si="81"/>
        <v>3.6</v>
      </c>
      <c r="T85" s="259">
        <f t="shared" si="81"/>
        <v>1.65</v>
      </c>
      <c r="U85" s="366">
        <f>IFERROR(SUMPRODUCT(N84:T84,N85:T85)/ SUM(N84:T84),0)</f>
        <v>2.7731492328767127</v>
      </c>
      <c r="V85" s="565">
        <f>L85*$G$3+U85*$P$3</f>
        <v>2.7731492328767127</v>
      </c>
      <c r="W85" s="475">
        <f>L85*$G$3/(L88*0.01)+U85*$P$3/(U88*0.01)</f>
        <v>7.433122206702885</v>
      </c>
    </row>
    <row r="86" spans="2:23" s="145" customFormat="1">
      <c r="B86" s="494"/>
      <c r="C86" s="513"/>
      <c r="D86" s="495" t="s">
        <v>813</v>
      </c>
      <c r="E86" s="360">
        <f>VLOOKUP(E6,'Feed parameters'!$A$2:$M$113,7, FALSE)</f>
        <v>0.68805871200000002</v>
      </c>
      <c r="F86" s="259">
        <f>VLOOKUP(F6,'Feed parameters'!$A$2:$M$113,7, FALSE)</f>
        <v>0.99</v>
      </c>
      <c r="G86" s="259">
        <f>VLOOKUP(G6,'Feed parameters'!$A$2:$M$113,7, FALSE)</f>
        <v>0.47881643835616428</v>
      </c>
      <c r="H86" s="259">
        <f>VLOOKUP(H6,'Feed parameters'!$A$2:$M$113,7, FALSE)</f>
        <v>0.79859999999999998</v>
      </c>
      <c r="I86" s="259">
        <f>VLOOKUP(I6,'Feed parameters'!$A$2:$M$113,7, FALSE)</f>
        <v>0.37223999999999996</v>
      </c>
      <c r="J86" s="259">
        <f>VLOOKUP(J6,'Feed parameters'!$A$2:$M$113,7, FALSE)</f>
        <v>0.33</v>
      </c>
      <c r="K86" s="259">
        <f>VLOOKUP(K6,'Feed parameters'!$A$2:$M$113,7, FALSE)</f>
        <v>0.65213596800000007</v>
      </c>
      <c r="L86" s="361">
        <f>IFERROR(SUMPRODUCT(E84:K84,E86:K86)/ SUM(E84:K84),0)</f>
        <v>0.5134938872317808</v>
      </c>
      <c r="M86" s="539" t="s">
        <v>813</v>
      </c>
      <c r="N86" s="259">
        <f t="shared" ref="N86:N88" si="82">N79</f>
        <v>0.68805871200000002</v>
      </c>
      <c r="O86" s="259">
        <f t="shared" ref="O86:T86" si="83">O65</f>
        <v>0.99</v>
      </c>
      <c r="P86" s="259">
        <f t="shared" si="83"/>
        <v>0.47881643835616428</v>
      </c>
      <c r="Q86" s="259">
        <f t="shared" si="83"/>
        <v>0.79859999999999998</v>
      </c>
      <c r="R86" s="259">
        <f t="shared" si="83"/>
        <v>0.37223999999999996</v>
      </c>
      <c r="S86" s="259">
        <f t="shared" si="83"/>
        <v>0.33</v>
      </c>
      <c r="T86" s="259">
        <f t="shared" si="83"/>
        <v>0.65213596800000007</v>
      </c>
      <c r="U86" s="366">
        <f>IFERROR(SUMPRODUCT(N84:T84,N86:T86)/ SUM(N84:T84),0)</f>
        <v>0.5134938872317808</v>
      </c>
      <c r="V86" s="565">
        <f>L86*$G$3+U86*$P$3</f>
        <v>0.51349388723178069</v>
      </c>
    </row>
    <row r="87" spans="2:23" s="145" customFormat="1">
      <c r="B87" s="494"/>
      <c r="C87" s="513"/>
      <c r="D87" s="495" t="s">
        <v>903</v>
      </c>
      <c r="E87" s="358">
        <f>VLOOKUP(E6,'Feed parameters'!$A$2:$M$113,4, FALSE)</f>
        <v>9.486870119999999</v>
      </c>
      <c r="F87" s="259">
        <f>VLOOKUP(F6,'Feed parameters'!$A$2:$M$113,4, FALSE)</f>
        <v>13.5</v>
      </c>
      <c r="G87" s="259">
        <f>VLOOKUP(G6,'Feed parameters'!$A$2:$M$113,4, FALSE)</f>
        <v>1.886246575342466</v>
      </c>
      <c r="H87" s="259">
        <f>VLOOKUP(H6,'Feed parameters'!$A$2:$M$113,4, FALSE)</f>
        <v>10.89</v>
      </c>
      <c r="I87" s="259">
        <f>VLOOKUP(I6,'Feed parameters'!$A$2:$M$113,4, FALSE)</f>
        <v>5.1820319999999995</v>
      </c>
      <c r="J87" s="259">
        <f>VLOOKUP(J6,'Feed parameters'!$A$2:$M$113,4, FALSE)</f>
        <v>3</v>
      </c>
      <c r="K87" s="259">
        <f>VLOOKUP(K6,'Feed parameters'!$A$2:$M$113,4, FALSE)</f>
        <v>1.4821271999999999</v>
      </c>
      <c r="L87" s="359">
        <f>IFERROR(SUMPRODUCT(E84:K84,E87:K87)/ SUM(E84:K84),0)</f>
        <v>2.6295599148767121</v>
      </c>
      <c r="M87" s="539" t="s">
        <v>903</v>
      </c>
      <c r="N87" s="259">
        <f t="shared" si="82"/>
        <v>9.486870119999999</v>
      </c>
      <c r="O87" s="259">
        <f t="shared" ref="O87:T87" si="84">O66</f>
        <v>13.5</v>
      </c>
      <c r="P87" s="259">
        <f t="shared" si="84"/>
        <v>1.886246575342466</v>
      </c>
      <c r="Q87" s="259">
        <f t="shared" si="84"/>
        <v>10.89</v>
      </c>
      <c r="R87" s="259">
        <f t="shared" si="84"/>
        <v>5.1820319999999995</v>
      </c>
      <c r="S87" s="259">
        <f t="shared" si="84"/>
        <v>3</v>
      </c>
      <c r="T87" s="259">
        <f t="shared" si="84"/>
        <v>1.4821271999999999</v>
      </c>
      <c r="U87" s="366">
        <f>IFERROR(SUMPRODUCT(N84:T84,N87:T87)/ SUM(N84:T84),0)</f>
        <v>2.6295599148767121</v>
      </c>
      <c r="V87" s="565"/>
    </row>
    <row r="88" spans="2:23" s="145" customFormat="1">
      <c r="B88" s="494"/>
      <c r="C88" s="513"/>
      <c r="D88" s="495" t="s">
        <v>1155</v>
      </c>
      <c r="E88" s="358">
        <f>VLOOKUP(E6,'Feed parameters'!$A$2:$M$113,2, FALSE)</f>
        <v>91</v>
      </c>
      <c r="F88" s="259">
        <f>VLOOKUP(F6,'Feed parameters'!$A$2:$M$113,2, FALSE)</f>
        <v>90</v>
      </c>
      <c r="G88" s="259">
        <f>VLOOKUP(G6,'Feed parameters'!$A$2:$M$113,2, FALSE)</f>
        <v>26</v>
      </c>
      <c r="H88" s="259">
        <f>VLOOKUP(H6,'Feed parameters'!$A$2:$M$113,2, FALSE)</f>
        <v>90</v>
      </c>
      <c r="I88" s="259">
        <f>VLOOKUP(I6,'Feed parameters'!$A$2:$M$113,2, FALSE)</f>
        <v>91.88</v>
      </c>
      <c r="J88" s="259">
        <f>VLOOKUP(J6,'Feed parameters'!$A$2:$M$113,2, FALSE)</f>
        <v>60</v>
      </c>
      <c r="K88" s="259">
        <f>VLOOKUP(K6,'Feed parameters'!$A$2:$M$113,2, FALSE)</f>
        <v>15</v>
      </c>
      <c r="L88" s="359">
        <f>IFERROR(SUMPRODUCT(E84:K84,E88:K88)/ SUM(E84:K84),0)</f>
        <v>37.308</v>
      </c>
      <c r="M88" s="539" t="s">
        <v>1155</v>
      </c>
      <c r="N88" s="259">
        <f t="shared" si="82"/>
        <v>91</v>
      </c>
      <c r="O88" s="259">
        <f t="shared" ref="O88:T88" si="85">O67</f>
        <v>90</v>
      </c>
      <c r="P88" s="259">
        <f t="shared" si="85"/>
        <v>26</v>
      </c>
      <c r="Q88" s="259">
        <f t="shared" si="85"/>
        <v>90</v>
      </c>
      <c r="R88" s="259">
        <f t="shared" si="85"/>
        <v>91.88</v>
      </c>
      <c r="S88" s="259">
        <f t="shared" si="85"/>
        <v>60</v>
      </c>
      <c r="T88" s="259">
        <f t="shared" si="85"/>
        <v>15</v>
      </c>
      <c r="U88" s="366">
        <f>IFERROR(SUMPRODUCT(N84:T84,N88:T88)/ SUM(N84:T84),0)</f>
        <v>37.308</v>
      </c>
      <c r="V88" s="565">
        <f>L88*$G$3+U88*$P$3</f>
        <v>37.308</v>
      </c>
    </row>
    <row r="89" spans="2:23" s="145" customFormat="1">
      <c r="B89" s="494"/>
      <c r="C89" s="513"/>
      <c r="D89" s="495" t="s">
        <v>1173</v>
      </c>
      <c r="E89" s="358">
        <f>IFERROR((E84*E88)/SUMPRODUCT($E84:$K84,$E88:$K88), 0)</f>
        <v>0.12195775704942639</v>
      </c>
      <c r="F89" s="259">
        <f>IFERROR((F84*F88)/SUMPRODUCT($E84:$K84,$E88:$K88), 0)</f>
        <v>0</v>
      </c>
      <c r="G89" s="259">
        <f t="shared" ref="G89:K89" si="86">IFERROR((G84*G88)/SUMPRODUCT($E84:$K84,$E88:$K88), 0)</f>
        <v>0.25785354347593009</v>
      </c>
      <c r="H89" s="259">
        <f t="shared" si="86"/>
        <v>0</v>
      </c>
      <c r="I89" s="259">
        <f t="shared" si="86"/>
        <v>0.24627425753189666</v>
      </c>
      <c r="J89" s="259">
        <f t="shared" si="86"/>
        <v>0.24123512383403023</v>
      </c>
      <c r="K89" s="259">
        <f t="shared" si="86"/>
        <v>0.13267931810871664</v>
      </c>
      <c r="L89" s="359"/>
      <c r="M89" s="539" t="s">
        <v>1173</v>
      </c>
      <c r="N89" s="259">
        <f t="shared" ref="N89" si="87">IFERROR((N84*N88)/SUMPRODUCT($N84:$T84,$N88:$T88),0)</f>
        <v>0.12195775704942639</v>
      </c>
      <c r="O89" s="259">
        <f t="shared" ref="O89:T89" si="88">IFERROR((O84*O88)/SUMPRODUCT($N84:$T84,$N88:$T88),0)</f>
        <v>0</v>
      </c>
      <c r="P89" s="259">
        <f t="shared" si="88"/>
        <v>0.25785354347593009</v>
      </c>
      <c r="Q89" s="259">
        <f t="shared" si="88"/>
        <v>0</v>
      </c>
      <c r="R89" s="259">
        <f t="shared" si="88"/>
        <v>0.24627425753189666</v>
      </c>
      <c r="S89" s="259">
        <f t="shared" si="88"/>
        <v>0.24123512383403023</v>
      </c>
      <c r="T89" s="259">
        <f t="shared" si="88"/>
        <v>0.13267931810871664</v>
      </c>
      <c r="U89" s="366"/>
      <c r="V89" s="565"/>
    </row>
    <row r="90" spans="2:23" s="145" customFormat="1">
      <c r="B90" s="494"/>
      <c r="C90" s="513"/>
      <c r="D90" s="495"/>
      <c r="E90" s="358"/>
      <c r="F90" s="259"/>
      <c r="G90" s="259"/>
      <c r="H90" s="259"/>
      <c r="I90" s="259"/>
      <c r="J90" s="259"/>
      <c r="K90" s="259"/>
      <c r="L90" s="359"/>
      <c r="M90" s="539"/>
      <c r="N90" s="259"/>
      <c r="O90" s="259"/>
      <c r="P90" s="259"/>
      <c r="Q90" s="259"/>
      <c r="R90" s="259"/>
      <c r="S90" s="259"/>
      <c r="T90" s="259"/>
      <c r="U90" s="366"/>
      <c r="V90" s="565"/>
    </row>
    <row r="91" spans="2:23" s="145" customFormat="1" ht="16.5" customHeight="1">
      <c r="B91" s="494">
        <f>INPUTS!C30</f>
        <v>0</v>
      </c>
      <c r="C91" s="513"/>
      <c r="D91" s="495" t="s">
        <v>1172</v>
      </c>
      <c r="E91" s="358">
        <f>INPUTS!O60</f>
        <v>0.05</v>
      </c>
      <c r="F91" s="259">
        <f>INPUTS!O61</f>
        <v>0</v>
      </c>
      <c r="G91" s="259">
        <f>INPUTS!O62</f>
        <v>0.37</v>
      </c>
      <c r="H91" s="259">
        <f>INPUTS!O63</f>
        <v>0</v>
      </c>
      <c r="I91" s="259">
        <f>INPUTS!O64</f>
        <v>0.1</v>
      </c>
      <c r="J91" s="259">
        <f>INPUTS!O65</f>
        <v>0.15</v>
      </c>
      <c r="K91" s="259">
        <f>INPUTS!O66</f>
        <v>0.33</v>
      </c>
      <c r="L91" s="359"/>
      <c r="M91" s="539" t="s">
        <v>1172</v>
      </c>
      <c r="N91" s="259">
        <f>INPUTS!AD60</f>
        <v>0.05</v>
      </c>
      <c r="O91" s="259">
        <f>INPUTS!AD61</f>
        <v>0</v>
      </c>
      <c r="P91" s="259">
        <f>INPUTS!AD62</f>
        <v>0.37</v>
      </c>
      <c r="Q91" s="259">
        <f>INPUTS!AD63</f>
        <v>0</v>
      </c>
      <c r="R91" s="259">
        <f>INPUTS!AD64</f>
        <v>0.1</v>
      </c>
      <c r="S91" s="259">
        <f>INPUTS!AD65</f>
        <v>0.15</v>
      </c>
      <c r="T91" s="259">
        <f>INPUTS!AD66</f>
        <v>0.33</v>
      </c>
      <c r="U91" s="366"/>
      <c r="V91" s="565"/>
    </row>
    <row r="92" spans="2:23" s="145" customFormat="1">
      <c r="B92" s="494"/>
      <c r="C92" s="513"/>
      <c r="D92" s="495" t="s">
        <v>812</v>
      </c>
      <c r="E92" s="358">
        <f>VLOOKUP(E6,'Feed parameters'!$A$2:$M$113,6, FALSE)</f>
        <v>12.74</v>
      </c>
      <c r="F92" s="259">
        <f>VLOOKUP(F6,'Feed parameters'!$A$2:$M$113,6, FALSE)</f>
        <v>8.1</v>
      </c>
      <c r="G92" s="259">
        <f>VLOOKUP(G6,'Feed parameters'!$A$2:$M$113,6, FALSE)</f>
        <v>1.8862465753424655</v>
      </c>
      <c r="H92" s="259">
        <f>VLOOKUP(H6,'Feed parameters'!$A$2:$M$113,6, FALSE)</f>
        <v>14.4</v>
      </c>
      <c r="I92" s="259">
        <f>VLOOKUP(I6,'Feed parameters'!$A$2:$M$113,6, FALSE)</f>
        <v>3.5373800000000002</v>
      </c>
      <c r="J92" s="259">
        <f>VLOOKUP(J6,'Feed parameters'!$A$2:$M$113,6, FALSE)</f>
        <v>3.6</v>
      </c>
      <c r="K92" s="259">
        <f>VLOOKUP(K6,'Feed parameters'!$A$2:$M$113,6, FALSE)</f>
        <v>1.65</v>
      </c>
      <c r="L92" s="359">
        <f>IFERROR(SUMPRODUCT(E91:K91,E92:K92)/ SUM(E91:K91),0)</f>
        <v>2.7731492328767127</v>
      </c>
      <c r="M92" s="539" t="s">
        <v>812</v>
      </c>
      <c r="N92" s="259">
        <f>N85</f>
        <v>12.74</v>
      </c>
      <c r="O92" s="259">
        <f t="shared" ref="O92:T92" si="89">O85</f>
        <v>8.1</v>
      </c>
      <c r="P92" s="259">
        <f t="shared" si="89"/>
        <v>1.8862465753424655</v>
      </c>
      <c r="Q92" s="259">
        <f t="shared" si="89"/>
        <v>14.4</v>
      </c>
      <c r="R92" s="259">
        <f t="shared" si="89"/>
        <v>3.5373800000000002</v>
      </c>
      <c r="S92" s="259">
        <f t="shared" si="89"/>
        <v>3.6</v>
      </c>
      <c r="T92" s="259">
        <f t="shared" si="89"/>
        <v>1.65</v>
      </c>
      <c r="U92" s="366">
        <f>IFERROR(SUMPRODUCT(N91:T91,N92:T92)/ SUM(N91:T91),0)</f>
        <v>2.7731492328767127</v>
      </c>
      <c r="V92" s="565">
        <f>L92*$G$3+U92*$P$3</f>
        <v>2.7731492328767127</v>
      </c>
      <c r="W92" s="145">
        <f>L92*$G$3/(L95*0.01)+U92*$P$3/(U95*0.01)</f>
        <v>7.433122206702885</v>
      </c>
    </row>
    <row r="93" spans="2:23" s="145" customFormat="1">
      <c r="B93" s="494"/>
      <c r="C93" s="513"/>
      <c r="D93" s="495" t="s">
        <v>813</v>
      </c>
      <c r="E93" s="358">
        <f>VLOOKUP(E6,'Feed parameters'!$A$2:$M$113,7, FALSE)</f>
        <v>0.68805871200000002</v>
      </c>
      <c r="F93" s="259">
        <f>VLOOKUP(F6,'Feed parameters'!$A$2:$M$113,7, FALSE)</f>
        <v>0.99</v>
      </c>
      <c r="G93" s="259">
        <f>VLOOKUP(G6,'Feed parameters'!$A$2:$M$113,7, FALSE)</f>
        <v>0.47881643835616428</v>
      </c>
      <c r="H93" s="259">
        <f>VLOOKUP(H6,'Feed parameters'!$A$2:$M$113,7, FALSE)</f>
        <v>0.79859999999999998</v>
      </c>
      <c r="I93" s="259">
        <f>VLOOKUP(I6,'Feed parameters'!$A$2:$M$113,7, FALSE)</f>
        <v>0.37223999999999996</v>
      </c>
      <c r="J93" s="259">
        <f>VLOOKUP(J6,'Feed parameters'!$A$2:$M$113,7, FALSE)</f>
        <v>0.33</v>
      </c>
      <c r="K93" s="259">
        <f>VLOOKUP(K6,'Feed parameters'!$A$2:$M$113,7, FALSE)</f>
        <v>0.65213596800000007</v>
      </c>
      <c r="L93" s="359">
        <f>IFERROR(SUMPRODUCT(E91:K91,E93:K93)/ SUM(E91:K91),0)</f>
        <v>0.5134938872317808</v>
      </c>
      <c r="M93" s="539" t="s">
        <v>813</v>
      </c>
      <c r="N93" s="259">
        <f t="shared" ref="N93:T96" si="90">N86</f>
        <v>0.68805871200000002</v>
      </c>
      <c r="O93" s="259">
        <f t="shared" ref="O93:T93" si="91">O86</f>
        <v>0.99</v>
      </c>
      <c r="P93" s="259">
        <f t="shared" si="91"/>
        <v>0.47881643835616428</v>
      </c>
      <c r="Q93" s="259">
        <f t="shared" si="91"/>
        <v>0.79859999999999998</v>
      </c>
      <c r="R93" s="259">
        <f t="shared" si="91"/>
        <v>0.37223999999999996</v>
      </c>
      <c r="S93" s="259">
        <f t="shared" si="91"/>
        <v>0.33</v>
      </c>
      <c r="T93" s="259">
        <f t="shared" si="91"/>
        <v>0.65213596800000007</v>
      </c>
      <c r="U93" s="366">
        <f>IFERROR(SUMPRODUCT(N91:T91,N93:T93)/ SUM(N91:T91),0)</f>
        <v>0.5134938872317808</v>
      </c>
      <c r="V93" s="565">
        <f>L93*$G$3+U93*$P$3</f>
        <v>0.51349388723178069</v>
      </c>
    </row>
    <row r="94" spans="2:23" s="145" customFormat="1">
      <c r="B94" s="494"/>
      <c r="C94" s="513"/>
      <c r="D94" s="495" t="s">
        <v>903</v>
      </c>
      <c r="E94" s="358">
        <f>VLOOKUP(E6,'Feed parameters'!$A$2:$M$113,4, FALSE)</f>
        <v>9.486870119999999</v>
      </c>
      <c r="F94" s="259">
        <f>VLOOKUP(F6,'Feed parameters'!$A$2:$M$113,4, FALSE)</f>
        <v>13.5</v>
      </c>
      <c r="G94" s="259">
        <f>VLOOKUP(G6,'Feed parameters'!$A$2:$M$113,4, FALSE)</f>
        <v>1.886246575342466</v>
      </c>
      <c r="H94" s="259">
        <f>VLOOKUP(H6,'Feed parameters'!$A$2:$M$113,4, FALSE)</f>
        <v>10.89</v>
      </c>
      <c r="I94" s="259">
        <f>VLOOKUP(I6,'Feed parameters'!$A$2:$M$113,4, FALSE)</f>
        <v>5.1820319999999995</v>
      </c>
      <c r="J94" s="259">
        <f>VLOOKUP(J6,'Feed parameters'!$A$2:$M$113,4, FALSE)</f>
        <v>3</v>
      </c>
      <c r="K94" s="259">
        <f>VLOOKUP(K6,'Feed parameters'!$A$2:$M$113,4, FALSE)</f>
        <v>1.4821271999999999</v>
      </c>
      <c r="L94" s="359">
        <f>IFERROR(SUMPRODUCT(E91:K91,E94:K94)/ SUM(E91:K91),0)</f>
        <v>2.6295599148767121</v>
      </c>
      <c r="M94" s="539" t="s">
        <v>903</v>
      </c>
      <c r="N94" s="259">
        <f t="shared" si="90"/>
        <v>9.486870119999999</v>
      </c>
      <c r="O94" s="259">
        <f t="shared" ref="O94:T94" si="92">O87</f>
        <v>13.5</v>
      </c>
      <c r="P94" s="259">
        <f t="shared" si="92"/>
        <v>1.886246575342466</v>
      </c>
      <c r="Q94" s="259">
        <f t="shared" si="92"/>
        <v>10.89</v>
      </c>
      <c r="R94" s="259">
        <f t="shared" si="92"/>
        <v>5.1820319999999995</v>
      </c>
      <c r="S94" s="259">
        <f t="shared" si="92"/>
        <v>3</v>
      </c>
      <c r="T94" s="259">
        <f t="shared" si="92"/>
        <v>1.4821271999999999</v>
      </c>
      <c r="U94" s="366">
        <f>IFERROR(SUMPRODUCT(N91:T91,N94:T94)/ SUM(N91:T91),0)</f>
        <v>2.6295599148767121</v>
      </c>
      <c r="V94" s="565"/>
    </row>
    <row r="95" spans="2:23" s="145" customFormat="1">
      <c r="B95" s="494"/>
      <c r="C95" s="513"/>
      <c r="D95" s="495" t="s">
        <v>1155</v>
      </c>
      <c r="E95" s="358">
        <f>VLOOKUP(E6,'Feed parameters'!$A$2:$M$113,2, FALSE)</f>
        <v>91</v>
      </c>
      <c r="F95" s="259">
        <f>VLOOKUP(F6,'Feed parameters'!$A$2:$M$113,2, FALSE)</f>
        <v>90</v>
      </c>
      <c r="G95" s="259">
        <f>VLOOKUP(G6,'Feed parameters'!$A$2:$M$113,2, FALSE)</f>
        <v>26</v>
      </c>
      <c r="H95" s="259">
        <f>VLOOKUP(H6,'Feed parameters'!$A$2:$M$113,2, FALSE)</f>
        <v>90</v>
      </c>
      <c r="I95" s="259">
        <f>VLOOKUP(I6,'Feed parameters'!$A$2:$M$113,2, FALSE)</f>
        <v>91.88</v>
      </c>
      <c r="J95" s="259">
        <f>VLOOKUP(J6,'Feed parameters'!$A$2:$M$113,2, FALSE)</f>
        <v>60</v>
      </c>
      <c r="K95" s="259">
        <f>VLOOKUP(K6,'Feed parameters'!$A$2:$M$113,2, FALSE)</f>
        <v>15</v>
      </c>
      <c r="L95" s="359">
        <f>IFERROR(SUMPRODUCT(E91:K91,E95:K95)/ SUM(E91:K91),0)</f>
        <v>37.308</v>
      </c>
      <c r="M95" s="539" t="s">
        <v>1155</v>
      </c>
      <c r="N95" s="259">
        <f t="shared" si="90"/>
        <v>91</v>
      </c>
      <c r="O95" s="259">
        <f t="shared" ref="O95:T95" si="93">O88</f>
        <v>90</v>
      </c>
      <c r="P95" s="259">
        <f t="shared" si="93"/>
        <v>26</v>
      </c>
      <c r="Q95" s="259">
        <f t="shared" si="93"/>
        <v>90</v>
      </c>
      <c r="R95" s="259">
        <f t="shared" si="93"/>
        <v>91.88</v>
      </c>
      <c r="S95" s="259">
        <f t="shared" si="93"/>
        <v>60</v>
      </c>
      <c r="T95" s="259">
        <f t="shared" si="93"/>
        <v>15</v>
      </c>
      <c r="U95" s="366">
        <f>IFERROR(SUMPRODUCT(N91:T91,N95:T95)/ SUM(N91:T91),0)</f>
        <v>37.308</v>
      </c>
      <c r="V95" s="565">
        <f>L95*$G$3+U95*$P$3</f>
        <v>37.308</v>
      </c>
    </row>
    <row r="96" spans="2:23" s="145" customFormat="1">
      <c r="B96" s="494"/>
      <c r="C96" s="513"/>
      <c r="D96" s="495" t="s">
        <v>1173</v>
      </c>
      <c r="E96" s="358">
        <f>IFERROR((E91*E95)/SUMPRODUCT($E91:$K91,$E95:$K95), 0)</f>
        <v>0.12195775704942639</v>
      </c>
      <c r="F96" s="259">
        <f>IFERROR((F91*F95)/SUMPRODUCT($E91:$K91,$E95:$K95), 0)</f>
        <v>0</v>
      </c>
      <c r="G96" s="259">
        <f t="shared" ref="G96:K96" si="94">IFERROR((G91*G95)/SUMPRODUCT($E91:$K91,$E95:$K95), 0)</f>
        <v>0.25785354347593009</v>
      </c>
      <c r="H96" s="259">
        <f t="shared" si="94"/>
        <v>0</v>
      </c>
      <c r="I96" s="259">
        <f t="shared" si="94"/>
        <v>0.24627425753189666</v>
      </c>
      <c r="J96" s="259">
        <f t="shared" si="94"/>
        <v>0.24123512383403023</v>
      </c>
      <c r="K96" s="259">
        <f t="shared" si="94"/>
        <v>0.13267931810871664</v>
      </c>
      <c r="L96" s="359"/>
      <c r="M96" s="539" t="s">
        <v>1173</v>
      </c>
      <c r="N96" s="259">
        <f t="shared" si="90"/>
        <v>0.12195775704942639</v>
      </c>
      <c r="O96" s="259">
        <f t="shared" si="90"/>
        <v>0</v>
      </c>
      <c r="P96" s="259">
        <f t="shared" si="90"/>
        <v>0.25785354347593009</v>
      </c>
      <c r="Q96" s="259">
        <f t="shared" si="90"/>
        <v>0</v>
      </c>
      <c r="R96" s="259">
        <f t="shared" si="90"/>
        <v>0.24627425753189666</v>
      </c>
      <c r="S96" s="259">
        <f t="shared" si="90"/>
        <v>0.24123512383403023</v>
      </c>
      <c r="T96" s="259">
        <f t="shared" si="90"/>
        <v>0.13267931810871664</v>
      </c>
      <c r="U96" s="366"/>
      <c r="V96" s="565"/>
    </row>
    <row r="97" spans="1:30" s="145" customFormat="1">
      <c r="B97" s="494"/>
      <c r="C97" s="513"/>
      <c r="D97" s="495"/>
      <c r="E97" s="358"/>
      <c r="F97" s="259"/>
      <c r="G97" s="259"/>
      <c r="H97" s="259"/>
      <c r="I97" s="259"/>
      <c r="J97" s="259"/>
      <c r="K97" s="259"/>
      <c r="L97" s="359"/>
      <c r="M97" s="539"/>
      <c r="N97" s="259"/>
      <c r="O97" s="259"/>
      <c r="P97" s="259"/>
      <c r="Q97" s="259"/>
      <c r="R97" s="259"/>
      <c r="S97" s="259"/>
      <c r="T97" s="259"/>
      <c r="U97" s="366"/>
      <c r="V97" s="565"/>
    </row>
    <row r="98" spans="1:30" s="145" customFormat="1">
      <c r="B98" s="494">
        <f>INPUTS!C30</f>
        <v>0</v>
      </c>
      <c r="C98" s="513"/>
      <c r="D98" s="495" t="s">
        <v>1172</v>
      </c>
      <c r="E98" s="358">
        <f>INPUTS!P60</f>
        <v>0.05</v>
      </c>
      <c r="F98" s="259">
        <f>INPUTS!P61</f>
        <v>0</v>
      </c>
      <c r="G98" s="259">
        <f>INPUTS!P62</f>
        <v>0.37</v>
      </c>
      <c r="H98" s="259">
        <f>INPUTS!P63</f>
        <v>0</v>
      </c>
      <c r="I98" s="259">
        <f>INPUTS!P64</f>
        <v>0.1</v>
      </c>
      <c r="J98" s="259">
        <f>INPUTS!P65</f>
        <v>0.15</v>
      </c>
      <c r="K98" s="259">
        <f>INPUTS!P66</f>
        <v>0.33</v>
      </c>
      <c r="L98" s="359"/>
      <c r="M98" s="539" t="s">
        <v>1172</v>
      </c>
      <c r="N98" s="259">
        <f>INPUTS!AE60</f>
        <v>0.05</v>
      </c>
      <c r="O98" s="259">
        <f>INPUTS!AE61</f>
        <v>0</v>
      </c>
      <c r="P98" s="259">
        <f>INPUTS!AE62</f>
        <v>0.37</v>
      </c>
      <c r="Q98" s="259">
        <f>INPUTS!AE63</f>
        <v>0</v>
      </c>
      <c r="R98" s="259">
        <f>INPUTS!AE64</f>
        <v>0.1</v>
      </c>
      <c r="S98" s="259">
        <f>INPUTS!AE65</f>
        <v>0.15</v>
      </c>
      <c r="T98" s="259">
        <f>INPUTS!AE66</f>
        <v>0.33</v>
      </c>
      <c r="U98" s="366"/>
      <c r="V98" s="565"/>
    </row>
    <row r="99" spans="1:30" s="145" customFormat="1">
      <c r="B99" s="494"/>
      <c r="C99" s="513"/>
      <c r="D99" s="495" t="s">
        <v>812</v>
      </c>
      <c r="E99" s="358">
        <f>VLOOKUP(E6,'Feed parameters'!$A$2:$M$113,6, FALSE)</f>
        <v>12.74</v>
      </c>
      <c r="F99" s="259">
        <f>VLOOKUP(F6,'Feed parameters'!$A$2:$M$113,6, FALSE)</f>
        <v>8.1</v>
      </c>
      <c r="G99" s="259">
        <f>VLOOKUP(G6,'Feed parameters'!$A$2:$M$113,6, FALSE)</f>
        <v>1.8862465753424655</v>
      </c>
      <c r="H99" s="259">
        <f>VLOOKUP(H6,'Feed parameters'!$A$2:$M$113,6, FALSE)</f>
        <v>14.4</v>
      </c>
      <c r="I99" s="259">
        <f>VLOOKUP(I6,'Feed parameters'!$A$2:$M$113,6, FALSE)</f>
        <v>3.5373800000000002</v>
      </c>
      <c r="J99" s="259">
        <f>VLOOKUP(J6,'Feed parameters'!$A$2:$M$113,6, FALSE)</f>
        <v>3.6</v>
      </c>
      <c r="K99" s="259">
        <f>VLOOKUP(K6,'Feed parameters'!$A$2:$M$113,6, FALSE)</f>
        <v>1.65</v>
      </c>
      <c r="L99" s="359">
        <f>IFERROR(SUMPRODUCT(E98:K98,E99:K99)/ SUM(E98:K98),0)</f>
        <v>2.7731492328767127</v>
      </c>
      <c r="M99" s="539" t="s">
        <v>812</v>
      </c>
      <c r="N99" s="259">
        <f>N92</f>
        <v>12.74</v>
      </c>
      <c r="O99" s="259">
        <f t="shared" ref="O99:T99" si="95">O92</f>
        <v>8.1</v>
      </c>
      <c r="P99" s="259">
        <f t="shared" si="95"/>
        <v>1.8862465753424655</v>
      </c>
      <c r="Q99" s="259">
        <f t="shared" si="95"/>
        <v>14.4</v>
      </c>
      <c r="R99" s="259">
        <f t="shared" si="95"/>
        <v>3.5373800000000002</v>
      </c>
      <c r="S99" s="259">
        <f t="shared" si="95"/>
        <v>3.6</v>
      </c>
      <c r="T99" s="259">
        <f t="shared" si="95"/>
        <v>1.65</v>
      </c>
      <c r="U99" s="366">
        <f>IFERROR(SUMPRODUCT(N98:T98,N99:T99)/ SUM(N98:T98),0)</f>
        <v>2.7731492328767127</v>
      </c>
      <c r="V99" s="565">
        <f>L99*$G$3+U99*$P$3</f>
        <v>2.7731492328767127</v>
      </c>
      <c r="W99" s="145">
        <f>L99*$G$3/(L102*0.01)+U99*$P$3/(U102*0.01)</f>
        <v>7.433122206702885</v>
      </c>
    </row>
    <row r="100" spans="1:30" s="145" customFormat="1">
      <c r="B100" s="494"/>
      <c r="C100" s="513"/>
      <c r="D100" s="495" t="s">
        <v>813</v>
      </c>
      <c r="E100" s="358">
        <f>VLOOKUP(E6,'Feed parameters'!$A$2:$M$113,7, FALSE)</f>
        <v>0.68805871200000002</v>
      </c>
      <c r="F100" s="259">
        <f>VLOOKUP(F6,'Feed parameters'!$A$2:$M$113,7, FALSE)</f>
        <v>0.99</v>
      </c>
      <c r="G100" s="259">
        <f>VLOOKUP(G6,'Feed parameters'!$A$2:$M$113,7, FALSE)</f>
        <v>0.47881643835616428</v>
      </c>
      <c r="H100" s="259">
        <f>VLOOKUP(H6,'Feed parameters'!$A$2:$M$113,7, FALSE)</f>
        <v>0.79859999999999998</v>
      </c>
      <c r="I100" s="259">
        <f>VLOOKUP(I6,'Feed parameters'!$A$2:$M$113,7, FALSE)</f>
        <v>0.37223999999999996</v>
      </c>
      <c r="J100" s="259">
        <f>VLOOKUP(J6,'Feed parameters'!$A$2:$M$113,7, FALSE)</f>
        <v>0.33</v>
      </c>
      <c r="K100" s="259">
        <f>VLOOKUP(K6,'Feed parameters'!$A$2:$M$113,7, FALSE)</f>
        <v>0.65213596800000007</v>
      </c>
      <c r="L100" s="359">
        <f>IFERROR(SUMPRODUCT(E98:K98,E100:K100)/ SUM(E98:K98),0)</f>
        <v>0.5134938872317808</v>
      </c>
      <c r="M100" s="539" t="s">
        <v>813</v>
      </c>
      <c r="N100" s="259">
        <f t="shared" ref="N100" si="96">N93</f>
        <v>0.68805871200000002</v>
      </c>
      <c r="O100" s="259">
        <f t="shared" ref="O100:T100" si="97">O93</f>
        <v>0.99</v>
      </c>
      <c r="P100" s="259">
        <f t="shared" si="97"/>
        <v>0.47881643835616428</v>
      </c>
      <c r="Q100" s="259">
        <f t="shared" si="97"/>
        <v>0.79859999999999998</v>
      </c>
      <c r="R100" s="259">
        <f t="shared" si="97"/>
        <v>0.37223999999999996</v>
      </c>
      <c r="S100" s="259">
        <f t="shared" si="97"/>
        <v>0.33</v>
      </c>
      <c r="T100" s="259">
        <f t="shared" si="97"/>
        <v>0.65213596800000007</v>
      </c>
      <c r="U100" s="366">
        <f>IFERROR(SUMPRODUCT(N98:T98,N100:T100)/ SUM(N98:T98),0)</f>
        <v>0.5134938872317808</v>
      </c>
      <c r="V100" s="565">
        <f>L100*$G$3+U100*$P$3</f>
        <v>0.51349388723178069</v>
      </c>
    </row>
    <row r="101" spans="1:30" s="145" customFormat="1">
      <c r="B101" s="494"/>
      <c r="C101" s="513"/>
      <c r="D101" s="495" t="s">
        <v>903</v>
      </c>
      <c r="E101" s="358">
        <f>VLOOKUP(E6,'Feed parameters'!$A$2:$M$113,4, FALSE)</f>
        <v>9.486870119999999</v>
      </c>
      <c r="F101" s="259">
        <f>VLOOKUP(F6,'Feed parameters'!$A$2:$M$113,4, FALSE)</f>
        <v>13.5</v>
      </c>
      <c r="G101" s="259">
        <f>VLOOKUP(G6,'Feed parameters'!$A$2:$M$113,4, FALSE)</f>
        <v>1.886246575342466</v>
      </c>
      <c r="H101" s="259">
        <f>VLOOKUP(H6,'Feed parameters'!$A$2:$M$113,4, FALSE)</f>
        <v>10.89</v>
      </c>
      <c r="I101" s="259">
        <f>VLOOKUP(I6,'Feed parameters'!$A$2:$M$113,4, FALSE)</f>
        <v>5.1820319999999995</v>
      </c>
      <c r="J101" s="259">
        <f>VLOOKUP(J6,'Feed parameters'!$A$2:$M$113,4, FALSE)</f>
        <v>3</v>
      </c>
      <c r="K101" s="259">
        <f>VLOOKUP(K6,'Feed parameters'!$A$2:$M$113,4, FALSE)</f>
        <v>1.4821271999999999</v>
      </c>
      <c r="L101" s="359">
        <f>IFERROR(SUMPRODUCT(E98:K98,E101:K101)/ SUM(E98:K98),0)</f>
        <v>2.6295599148767121</v>
      </c>
      <c r="M101" s="539" t="s">
        <v>903</v>
      </c>
      <c r="N101" s="259">
        <f t="shared" ref="N101" si="98">N94</f>
        <v>9.486870119999999</v>
      </c>
      <c r="O101" s="259">
        <f t="shared" ref="O101:T101" si="99">O94</f>
        <v>13.5</v>
      </c>
      <c r="P101" s="259">
        <f t="shared" si="99"/>
        <v>1.886246575342466</v>
      </c>
      <c r="Q101" s="259">
        <f t="shared" si="99"/>
        <v>10.89</v>
      </c>
      <c r="R101" s="259">
        <f t="shared" si="99"/>
        <v>5.1820319999999995</v>
      </c>
      <c r="S101" s="259">
        <f t="shared" si="99"/>
        <v>3</v>
      </c>
      <c r="T101" s="259">
        <f t="shared" si="99"/>
        <v>1.4821271999999999</v>
      </c>
      <c r="U101" s="366">
        <f>IFERROR(SUMPRODUCT(N98:T98,N101:T101)/ SUM(N98:T98),0)</f>
        <v>2.6295599148767121</v>
      </c>
      <c r="V101" s="565"/>
    </row>
    <row r="102" spans="1:30" s="145" customFormat="1">
      <c r="B102" s="494"/>
      <c r="C102" s="513"/>
      <c r="D102" s="495" t="s">
        <v>1155</v>
      </c>
      <c r="E102" s="358">
        <f>VLOOKUP(E6,'Feed parameters'!$A$2:$M$113,2, FALSE)</f>
        <v>91</v>
      </c>
      <c r="F102" s="259">
        <f>VLOOKUP(F6,'Feed parameters'!$A$2:$M$113,2, FALSE)</f>
        <v>90</v>
      </c>
      <c r="G102" s="259">
        <f>VLOOKUP(G6,'Feed parameters'!$A$2:$M$113,2, FALSE)</f>
        <v>26</v>
      </c>
      <c r="H102" s="259">
        <f>VLOOKUP(H6,'Feed parameters'!$A$2:$M$113,2, FALSE)</f>
        <v>90</v>
      </c>
      <c r="I102" s="259">
        <f>VLOOKUP(I6,'Feed parameters'!$A$2:$M$113,2, FALSE)</f>
        <v>91.88</v>
      </c>
      <c r="J102" s="259">
        <f>VLOOKUP(J6,'Feed parameters'!$A$2:$M$113,2, FALSE)</f>
        <v>60</v>
      </c>
      <c r="K102" s="259">
        <f>VLOOKUP(K6,'Feed parameters'!$A$2:$M$113,2, FALSE)</f>
        <v>15</v>
      </c>
      <c r="L102" s="359">
        <f>IFERROR(SUMPRODUCT(E98:K98,E102:K102)/ SUM(E98:K98),0)</f>
        <v>37.308</v>
      </c>
      <c r="M102" s="539" t="s">
        <v>1155</v>
      </c>
      <c r="N102" s="259">
        <f t="shared" ref="N102" si="100">N95</f>
        <v>91</v>
      </c>
      <c r="O102" s="259">
        <f t="shared" ref="O102:T102" si="101">O95</f>
        <v>90</v>
      </c>
      <c r="P102" s="259">
        <f t="shared" si="101"/>
        <v>26</v>
      </c>
      <c r="Q102" s="259">
        <f t="shared" si="101"/>
        <v>90</v>
      </c>
      <c r="R102" s="259">
        <f t="shared" si="101"/>
        <v>91.88</v>
      </c>
      <c r="S102" s="259">
        <f t="shared" si="101"/>
        <v>60</v>
      </c>
      <c r="T102" s="259">
        <f t="shared" si="101"/>
        <v>15</v>
      </c>
      <c r="U102" s="366">
        <f>IFERROR(SUMPRODUCT(N98:T98,N102:T102)/ SUM(N98:T98),0)</f>
        <v>37.308</v>
      </c>
      <c r="V102" s="565">
        <f>L102*$G$3+U102*$P$3</f>
        <v>37.308</v>
      </c>
    </row>
    <row r="103" spans="1:30" s="145" customFormat="1">
      <c r="B103" s="494"/>
      <c r="C103" s="513"/>
      <c r="D103" s="495" t="s">
        <v>1173</v>
      </c>
      <c r="E103" s="358">
        <f>IFERROR((E98*E102)/SUMPRODUCT($E98:$K98,$E102:$K102), 0)</f>
        <v>0.12195775704942639</v>
      </c>
      <c r="F103" s="259">
        <f>IFERROR((F98*F102)/SUMPRODUCT($E98:$K98,$E102:$K102), 0)</f>
        <v>0</v>
      </c>
      <c r="G103" s="259">
        <f t="shared" ref="G103:K103" si="102">IFERROR((G98*G102)/SUMPRODUCT($E98:$K98,$E102:$K102), 0)</f>
        <v>0.25785354347593009</v>
      </c>
      <c r="H103" s="259">
        <f t="shared" si="102"/>
        <v>0</v>
      </c>
      <c r="I103" s="259">
        <f t="shared" si="102"/>
        <v>0.24627425753189666</v>
      </c>
      <c r="J103" s="259">
        <f t="shared" si="102"/>
        <v>0.24123512383403023</v>
      </c>
      <c r="K103" s="259">
        <f t="shared" si="102"/>
        <v>0.13267931810871664</v>
      </c>
      <c r="L103" s="359"/>
      <c r="M103" s="539" t="s">
        <v>1173</v>
      </c>
      <c r="N103" s="259">
        <f t="shared" ref="N103:T103" si="103">IFERROR((N98*N102)/SUMPRODUCT($N98:$T98,$N102:$T102),0)</f>
        <v>0.12195775704942639</v>
      </c>
      <c r="O103" s="259">
        <f t="shared" si="103"/>
        <v>0</v>
      </c>
      <c r="P103" s="259">
        <f t="shared" si="103"/>
        <v>0.25785354347593009</v>
      </c>
      <c r="Q103" s="259">
        <f t="shared" si="103"/>
        <v>0</v>
      </c>
      <c r="R103" s="259">
        <f t="shared" si="103"/>
        <v>0.24627425753189666</v>
      </c>
      <c r="S103" s="259">
        <f t="shared" si="103"/>
        <v>0.24123512383403023</v>
      </c>
      <c r="T103" s="259">
        <f t="shared" si="103"/>
        <v>0.13267931810871664</v>
      </c>
      <c r="U103" s="366"/>
      <c r="V103" s="565"/>
    </row>
    <row r="104" spans="1:30" s="145" customFormat="1" ht="16.5" thickBot="1">
      <c r="B104" s="532"/>
      <c r="C104" s="533"/>
      <c r="D104" s="534"/>
      <c r="E104" s="535"/>
      <c r="F104" s="536"/>
      <c r="G104" s="536"/>
      <c r="H104" s="536"/>
      <c r="I104" s="536"/>
      <c r="J104" s="536"/>
      <c r="K104" s="536"/>
      <c r="L104" s="537"/>
      <c r="M104" s="540"/>
      <c r="N104" s="536"/>
      <c r="O104" s="536"/>
      <c r="P104" s="536"/>
      <c r="Q104" s="536"/>
      <c r="R104" s="536"/>
      <c r="S104" s="536"/>
      <c r="T104" s="536"/>
      <c r="U104" s="538"/>
      <c r="V104" s="565"/>
    </row>
    <row r="105" spans="1:30" s="145" customFormat="1">
      <c r="B105" s="257"/>
      <c r="C105" s="257"/>
      <c r="D105" s="850"/>
      <c r="O105" s="229"/>
      <c r="S105" s="230"/>
      <c r="V105" s="559"/>
      <c r="AB105" s="228"/>
    </row>
    <row r="106" spans="1:30" s="145" customFormat="1">
      <c r="A106" s="351" t="s">
        <v>1482</v>
      </c>
      <c r="B106" s="351"/>
      <c r="C106" s="351"/>
      <c r="D106" s="351"/>
      <c r="E106" s="351"/>
      <c r="F106" s="351"/>
      <c r="G106" s="351"/>
      <c r="H106" s="351"/>
      <c r="I106" s="351"/>
      <c r="J106" s="351"/>
      <c r="K106" s="351"/>
      <c r="L106" s="351"/>
      <c r="M106" s="351"/>
      <c r="Q106" s="229"/>
      <c r="U106" s="230"/>
      <c r="X106" s="559"/>
      <c r="AD106" s="228"/>
    </row>
    <row r="107" spans="1:30" s="145" customFormat="1" ht="61.5" customHeight="1">
      <c r="A107" s="13"/>
      <c r="B107" s="851" t="s">
        <v>1483</v>
      </c>
      <c r="C107" s="1115" t="s">
        <v>1642</v>
      </c>
      <c r="D107" s="851" t="s">
        <v>1453</v>
      </c>
      <c r="E107" s="851" t="s">
        <v>1817</v>
      </c>
      <c r="F107" s="851" t="s">
        <v>1793</v>
      </c>
      <c r="G107" s="851" t="s">
        <v>1454</v>
      </c>
      <c r="H107" s="851" t="s">
        <v>1680</v>
      </c>
      <c r="I107" s="851" t="s">
        <v>1455</v>
      </c>
      <c r="J107" s="851" t="s">
        <v>1815</v>
      </c>
      <c r="K107" s="851" t="s">
        <v>1818</v>
      </c>
      <c r="L107" s="851" t="s">
        <v>1816</v>
      </c>
      <c r="M107" s="851" t="s">
        <v>1681</v>
      </c>
      <c r="Q107" s="229"/>
      <c r="U107" s="230"/>
      <c r="X107" s="559"/>
      <c r="AD107" s="228"/>
    </row>
    <row r="108" spans="1:30" s="145" customFormat="1">
      <c r="A108" s="13" t="str">
        <f t="shared" ref="A108:A117" si="104">A126</f>
        <v>Cows (local)</v>
      </c>
      <c r="B108" s="487">
        <f>'Livestock parameters'!H2</f>
        <v>40.459549017674419</v>
      </c>
      <c r="C108" s="1116">
        <f>'Livestock parameters'!G2*'Livestock parameters'!I2</f>
        <v>4</v>
      </c>
      <c r="D108" s="852">
        <f>IFERROR('Livestock parameters'!J2/(365*'Livestock parameters'!V2),0)</f>
        <v>2.7616438356164386</v>
      </c>
      <c r="E108" s="852">
        <f>IFERROR('Livestock parameters'!K2/(365*'Livestock parameters'!V2),0)</f>
        <v>0</v>
      </c>
      <c r="F108" s="852">
        <f>'Livestock parameters'!L2</f>
        <v>5.5</v>
      </c>
      <c r="G108" s="852">
        <f>'Livestock parameters'!M2</f>
        <v>0</v>
      </c>
      <c r="H108" s="854">
        <f>'Livestock parameters'!N2</f>
        <v>0.35000000000000003</v>
      </c>
      <c r="I108" s="487">
        <f>'Livestock parameters'!G2*'Livestock parameters'!O2</f>
        <v>0</v>
      </c>
      <c r="J108" s="855">
        <f>IFERROR('Livestock parameters'!P2/(365*'Livestock parameters'!V2),0)</f>
        <v>2.1128767123287671E-2</v>
      </c>
      <c r="K108" s="855">
        <f>IFERROR('Livestock parameters'!Q2/(365*'Livestock parameters'!V2),0)</f>
        <v>0</v>
      </c>
      <c r="L108" s="853">
        <f>'Livestock parameters'!R2</f>
        <v>0.09</v>
      </c>
      <c r="M108" s="853">
        <f>'Livestock parameters'!S2</f>
        <v>0</v>
      </c>
      <c r="Q108" s="229"/>
      <c r="U108" s="230"/>
      <c r="X108" s="559"/>
      <c r="AD108" s="228"/>
    </row>
    <row r="109" spans="1:30" s="145" customFormat="1">
      <c r="A109" s="13" t="str">
        <f t="shared" si="104"/>
        <v>Cows (improved)</v>
      </c>
      <c r="B109" s="487">
        <f>'Livestock parameters'!H3</f>
        <v>48.851667182447308</v>
      </c>
      <c r="C109" s="1116">
        <f>'Livestock parameters'!G3*'Livestock parameters'!I3</f>
        <v>4</v>
      </c>
      <c r="D109" s="852">
        <f>IFERROR('Livestock parameters'!J3/(365*'Livestock parameters'!V3),0)</f>
        <v>3.5225048923679059</v>
      </c>
      <c r="E109" s="852">
        <f>IFERROR('Livestock parameters'!K3/(365*'Livestock parameters'!V3),0)</f>
        <v>0</v>
      </c>
      <c r="F109" s="852">
        <f>'Livestock parameters'!L3</f>
        <v>5.5</v>
      </c>
      <c r="G109" s="852">
        <f>'Livestock parameters'!M3</f>
        <v>0</v>
      </c>
      <c r="H109" s="854">
        <f>'Livestock parameters'!N3</f>
        <v>0.45</v>
      </c>
      <c r="I109" s="487">
        <f>'Livestock parameters'!G3*'Livestock parameters'!O3</f>
        <v>0</v>
      </c>
      <c r="J109" s="855">
        <f>IFERROR('Livestock parameters'!P3/(365*'Livestock parameters'!V3),0)</f>
        <v>2.8673189823874755E-2</v>
      </c>
      <c r="K109" s="855">
        <f>IFERROR('Livestock parameters'!Q3/(365*'Livestock parameters'!V3),0)</f>
        <v>0</v>
      </c>
      <c r="L109" s="853">
        <f>'Livestock parameters'!R3</f>
        <v>0.09</v>
      </c>
      <c r="M109" s="853">
        <f>'Livestock parameters'!S3</f>
        <v>0</v>
      </c>
      <c r="Q109" s="229"/>
      <c r="U109" s="230"/>
      <c r="X109" s="559"/>
      <c r="AD109" s="228"/>
    </row>
    <row r="110" spans="1:30" s="145" customFormat="1">
      <c r="A110" s="13" t="str">
        <f t="shared" si="104"/>
        <v>Adult cattle - male</v>
      </c>
      <c r="B110" s="487">
        <f>'Livestock parameters'!H4</f>
        <v>44.721359549995796</v>
      </c>
      <c r="C110" s="1116">
        <f>'Livestock parameters'!G4*'Livestock parameters'!I4</f>
        <v>4</v>
      </c>
      <c r="D110" s="852">
        <f>IFERROR('Livestock parameters'!J4/(365*'Livestock parameters'!V4),0)</f>
        <v>0</v>
      </c>
      <c r="E110" s="852">
        <f>IFERROR('Livestock parameters'!K4/(365*'Livestock parameters'!V4),0)</f>
        <v>0</v>
      </c>
      <c r="F110" s="852">
        <f>'Livestock parameters'!L4</f>
        <v>0</v>
      </c>
      <c r="G110" s="852">
        <f>'Livestock parameters'!M4</f>
        <v>0</v>
      </c>
      <c r="H110" s="854">
        <f>'Livestock parameters'!N4</f>
        <v>0.4</v>
      </c>
      <c r="I110" s="487">
        <f>'Livestock parameters'!G4*'Livestock parameters'!O4</f>
        <v>0</v>
      </c>
      <c r="J110" s="855">
        <f>IFERROR('Livestock parameters'!P4/(365*'Livestock parameters'!V4),0)</f>
        <v>0</v>
      </c>
      <c r="K110" s="855">
        <f>IFERROR('Livestock parameters'!Q4/(365*'Livestock parameters'!V4),0)</f>
        <v>0</v>
      </c>
      <c r="L110" s="853">
        <f>'Livestock parameters'!R4</f>
        <v>0</v>
      </c>
      <c r="M110" s="853">
        <f>'Livestock parameters'!S4</f>
        <v>0</v>
      </c>
      <c r="Q110" s="229"/>
      <c r="U110" s="230"/>
      <c r="X110" s="559"/>
      <c r="AD110" s="228"/>
    </row>
    <row r="111" spans="1:30" s="145" customFormat="1">
      <c r="A111" s="13" t="str">
        <f t="shared" si="104"/>
        <v>Calves</v>
      </c>
      <c r="B111" s="487">
        <f>'Livestock parameters'!H5</f>
        <v>12.100227462467942</v>
      </c>
      <c r="C111" s="1116">
        <f>'Livestock parameters'!G5*'Livestock parameters'!I5</f>
        <v>0</v>
      </c>
      <c r="D111" s="852">
        <f>IFERROR('Livestock parameters'!J5/(365*'Livestock parameters'!V5),0)</f>
        <v>0</v>
      </c>
      <c r="E111" s="852">
        <f>IFERROR('Livestock parameters'!K5/(365*'Livestock parameters'!V5),0)</f>
        <v>0</v>
      </c>
      <c r="F111" s="852">
        <f>'Livestock parameters'!L5</f>
        <v>0</v>
      </c>
      <c r="G111" s="852">
        <f>'Livestock parameters'!M5</f>
        <v>50</v>
      </c>
      <c r="H111" s="854">
        <f>'Livestock parameters'!N5</f>
        <v>7.0000000000000007E-2</v>
      </c>
      <c r="I111" s="487">
        <f>'Livestock parameters'!G5*'Livestock parameters'!O5</f>
        <v>0</v>
      </c>
      <c r="J111" s="855">
        <f>IFERROR('Livestock parameters'!P5/(365*'Livestock parameters'!V5),0)</f>
        <v>0</v>
      </c>
      <c r="K111" s="855">
        <f>IFERROR('Livestock parameters'!Q5/(365*'Livestock parameters'!V5),0)</f>
        <v>0</v>
      </c>
      <c r="L111" s="853">
        <f>'Livestock parameters'!R5</f>
        <v>0</v>
      </c>
      <c r="M111" s="853">
        <f>'Livestock parameters'!S5</f>
        <v>0.4</v>
      </c>
      <c r="Q111" s="229"/>
      <c r="U111" s="230"/>
      <c r="X111" s="559"/>
      <c r="AD111" s="228"/>
    </row>
    <row r="112" spans="1:30" s="145" customFormat="1">
      <c r="A112" s="13" t="str">
        <f t="shared" si="104"/>
        <v>Buffalo (dairy)</v>
      </c>
      <c r="B112" s="487">
        <f>'Livestock parameters'!H6</f>
        <v>48.851667182447308</v>
      </c>
      <c r="C112" s="1116">
        <f>'Livestock parameters'!G6*'Livestock parameters'!I6</f>
        <v>4</v>
      </c>
      <c r="D112" s="852">
        <f>IFERROR('Livestock parameters'!J6/(365*'Livestock parameters'!V6),0)</f>
        <v>2.8767123287671232</v>
      </c>
      <c r="E112" s="852">
        <f>IFERROR('Livestock parameters'!K6/(365*'Livestock parameters'!V6),0)</f>
        <v>0</v>
      </c>
      <c r="F112" s="852">
        <f>'Livestock parameters'!L6</f>
        <v>5.5</v>
      </c>
      <c r="G112" s="852">
        <f>'Livestock parameters'!M6</f>
        <v>0</v>
      </c>
      <c r="H112" s="854">
        <f>'Livestock parameters'!N6</f>
        <v>0.45</v>
      </c>
      <c r="I112" s="487">
        <f>'Livestock parameters'!G6*'Livestock parameters'!O6</f>
        <v>0</v>
      </c>
      <c r="J112" s="855">
        <f>IFERROR('Livestock parameters'!P6/(365*'Livestock parameters'!V6),0)</f>
        <v>2.2009132420091327E-2</v>
      </c>
      <c r="K112" s="855">
        <f>IFERROR('Livestock parameters'!Q6/(365*'Livestock parameters'!V6),0)</f>
        <v>0</v>
      </c>
      <c r="L112" s="853">
        <f>'Livestock parameters'!R6</f>
        <v>0.09</v>
      </c>
      <c r="M112" s="853">
        <f>'Livestock parameters'!S6</f>
        <v>0</v>
      </c>
      <c r="Q112" s="229"/>
      <c r="U112" s="230"/>
      <c r="X112" s="559"/>
      <c r="AD112" s="228"/>
    </row>
    <row r="113" spans="1:32" s="145" customFormat="1">
      <c r="A113" s="13" t="str">
        <f t="shared" si="104"/>
        <v>Sheep/Goats - Ewes/Does</v>
      </c>
      <c r="B113" s="487">
        <f>'Livestock parameters'!H7</f>
        <v>5.6401884844302899</v>
      </c>
      <c r="C113" s="1116">
        <f>'Livestock parameters'!G7*'Livestock parameters'!I7</f>
        <v>0</v>
      </c>
      <c r="D113" s="852">
        <f>IFERROR('Livestock parameters'!J7/(365*'Livestock parameters'!V7),0)</f>
        <v>1.3245061020188551</v>
      </c>
      <c r="E113" s="852">
        <f>IFERROR('Livestock parameters'!K7/(365*'Livestock parameters'!V7),0)</f>
        <v>3.3112652550471373</v>
      </c>
      <c r="F113" s="852">
        <f>'Livestock parameters'!L7</f>
        <v>5.5</v>
      </c>
      <c r="G113" s="852">
        <f>'Livestock parameters'!M7</f>
        <v>0</v>
      </c>
      <c r="H113" s="854">
        <f>'Livestock parameters'!N7</f>
        <v>0.06</v>
      </c>
      <c r="I113" s="487">
        <f>'Livestock parameters'!G7*'Livestock parameters'!O7</f>
        <v>0</v>
      </c>
      <c r="J113" s="855">
        <f>IFERROR('Livestock parameters'!P7/(365*'Livestock parameters'!V7),0)</f>
        <v>1.8551859099804304E-2</v>
      </c>
      <c r="K113" s="855">
        <f>IFERROR('Livestock parameters'!Q7/(365*'Livestock parameters'!V7),0)</f>
        <v>2.818003913894325E-2</v>
      </c>
      <c r="L113" s="853">
        <f>'Livestock parameters'!R7</f>
        <v>0.09</v>
      </c>
      <c r="M113" s="853">
        <f>'Livestock parameters'!S7</f>
        <v>0</v>
      </c>
      <c r="Q113" s="229"/>
      <c r="U113" s="230"/>
      <c r="X113" s="559"/>
      <c r="AD113" s="228"/>
    </row>
    <row r="114" spans="1:32" s="145" customFormat="1">
      <c r="A114" s="13" t="str">
        <f t="shared" si="104"/>
        <v>Pigs - lactating/pregnant sows</v>
      </c>
      <c r="B114" s="487">
        <f>'Livestock parameters'!H8</f>
        <v>23.400501946557938</v>
      </c>
      <c r="C114" s="1116">
        <f>'Livestock parameters'!G8*'Livestock parameters'!I8</f>
        <v>0</v>
      </c>
      <c r="D114" s="852">
        <f>IFERROR('Livestock parameters'!J8/(365*'Livestock parameters'!V8),0)</f>
        <v>0.93150684931506844</v>
      </c>
      <c r="E114" s="852">
        <f>IFERROR('Livestock parameters'!K8/(365*'Livestock parameters'!V8),0)</f>
        <v>3.5985599999999995</v>
      </c>
      <c r="F114" s="852">
        <f>'Livestock parameters'!L8</f>
        <v>0</v>
      </c>
      <c r="G114" s="852">
        <f>'Livestock parameters'!M8</f>
        <v>0</v>
      </c>
      <c r="H114" s="854">
        <f>'Livestock parameters'!N8</f>
        <v>2.9782457022891916E-2</v>
      </c>
      <c r="I114" s="487">
        <f>'Livestock parameters'!G8*'Livestock parameters'!O8</f>
        <v>0</v>
      </c>
      <c r="J114" s="855">
        <f>IFERROR('Livestock parameters'!P8/(365*'Livestock parameters'!V8),0)</f>
        <v>1.8299178082191777E-3</v>
      </c>
      <c r="K114" s="855">
        <f>IFERROR('Livestock parameters'!Q8/(365*'Livestock parameters'!V8),0)</f>
        <v>6.766027397260275E-3</v>
      </c>
      <c r="L114" s="853">
        <f>'Livestock parameters'!R8</f>
        <v>0</v>
      </c>
      <c r="M114" s="853">
        <f>'Livestock parameters'!S8</f>
        <v>0</v>
      </c>
      <c r="Q114" s="229"/>
      <c r="U114" s="230"/>
      <c r="X114" s="559"/>
      <c r="AD114" s="228"/>
    </row>
    <row r="115" spans="1:32" s="145" customFormat="1">
      <c r="A115" s="13" t="str">
        <f t="shared" si="104"/>
        <v>Calves</v>
      </c>
      <c r="B115" s="487">
        <f>'Livestock parameters'!H9</f>
        <v>12.100227462467942</v>
      </c>
      <c r="C115" s="1116">
        <f>'Livestock parameters'!G9*'Livestock parameters'!I9</f>
        <v>0</v>
      </c>
      <c r="D115" s="852">
        <f>IFERROR('Livestock parameters'!J9/(365*'Livestock parameters'!V9),0)</f>
        <v>0</v>
      </c>
      <c r="E115" s="852">
        <f>IFERROR('Livestock parameters'!K9/(365*'Livestock parameters'!V9),0)</f>
        <v>0</v>
      </c>
      <c r="F115" s="852">
        <f>'Livestock parameters'!L9</f>
        <v>0</v>
      </c>
      <c r="G115" s="852">
        <f>'Livestock parameters'!M9</f>
        <v>50</v>
      </c>
      <c r="H115" s="854">
        <f>'Livestock parameters'!N9</f>
        <v>7.0000000000000007E-2</v>
      </c>
      <c r="I115" s="487">
        <f>'Livestock parameters'!G9*'Livestock parameters'!O9</f>
        <v>0</v>
      </c>
      <c r="J115" s="855">
        <f>IFERROR('Livestock parameters'!P9/(365*'Livestock parameters'!V9),0)</f>
        <v>0</v>
      </c>
      <c r="K115" s="855">
        <f>IFERROR('Livestock parameters'!Q9/(365*'Livestock parameters'!V9),0)</f>
        <v>0</v>
      </c>
      <c r="L115" s="853">
        <f>'Livestock parameters'!R9</f>
        <v>0</v>
      </c>
      <c r="M115" s="853">
        <f>'Livestock parameters'!S9</f>
        <v>0.4</v>
      </c>
      <c r="Q115" s="229"/>
      <c r="U115" s="230"/>
      <c r="X115" s="559"/>
      <c r="AD115" s="228"/>
    </row>
    <row r="116" spans="1:32" s="145" customFormat="1">
      <c r="A116" s="13" t="str">
        <f t="shared" si="104"/>
        <v>Cows (high productive)</v>
      </c>
      <c r="B116" s="487">
        <f>'Livestock parameters'!H10</f>
        <v>60.615465140298674</v>
      </c>
      <c r="C116" s="1116">
        <f>'Livestock parameters'!G10*'Livestock parameters'!I10</f>
        <v>4</v>
      </c>
      <c r="D116" s="852">
        <f>IFERROR('Livestock parameters'!J10/(365*'Livestock parameters'!V10),0)</f>
        <v>5.4794520547945202</v>
      </c>
      <c r="E116" s="852">
        <f>IFERROR('Livestock parameters'!K10/(365*'Livestock parameters'!V10),0)</f>
        <v>0</v>
      </c>
      <c r="F116" s="852">
        <f>'Livestock parameters'!L10</f>
        <v>5.5</v>
      </c>
      <c r="G116" s="852">
        <f>'Livestock parameters'!M10</f>
        <v>0</v>
      </c>
      <c r="H116" s="854">
        <f>'Livestock parameters'!N10</f>
        <v>0.6</v>
      </c>
      <c r="I116" s="487">
        <f>'Livestock parameters'!G10*'Livestock parameters'!O10</f>
        <v>0</v>
      </c>
      <c r="J116" s="855">
        <f>IFERROR('Livestock parameters'!P10/(365*'Livestock parameters'!V10),0)</f>
        <v>4.1095890410958902E-2</v>
      </c>
      <c r="K116" s="855">
        <f>IFERROR('Livestock parameters'!Q10/(365*'Livestock parameters'!V10),0)</f>
        <v>0</v>
      </c>
      <c r="L116" s="853">
        <f>'Livestock parameters'!R10</f>
        <v>0.09</v>
      </c>
      <c r="M116" s="853">
        <f>'Livestock parameters'!S10</f>
        <v>0</v>
      </c>
      <c r="Q116" s="229"/>
      <c r="U116" s="230"/>
      <c r="X116" s="559"/>
      <c r="AD116" s="228"/>
    </row>
    <row r="117" spans="1:32" s="145" customFormat="1">
      <c r="A117" s="13">
        <f t="shared" si="104"/>
        <v>0</v>
      </c>
      <c r="B117" s="487">
        <f>'Livestock parameters'!H11</f>
        <v>0</v>
      </c>
      <c r="C117" s="1116">
        <f>'Livestock parameters'!G11*'Livestock parameters'!I11</f>
        <v>0</v>
      </c>
      <c r="D117" s="852">
        <f>IFERROR('Livestock parameters'!J11/(365*'Livestock parameters'!V11),0)</f>
        <v>0</v>
      </c>
      <c r="E117" s="852">
        <f>IFERROR('Livestock parameters'!K11/(365*'Livestock parameters'!V11),0)</f>
        <v>0</v>
      </c>
      <c r="F117" s="852">
        <f>'Livestock parameters'!L11</f>
        <v>0</v>
      </c>
      <c r="G117" s="852">
        <f>'Livestock parameters'!M11</f>
        <v>0</v>
      </c>
      <c r="H117" s="854">
        <f>'Livestock parameters'!N11</f>
        <v>0</v>
      </c>
      <c r="I117" s="487">
        <f>'Livestock parameters'!G11*'Livestock parameters'!O11</f>
        <v>0</v>
      </c>
      <c r="J117" s="855">
        <f>IFERROR('Livestock parameters'!P11/(365*'Livestock parameters'!V11),0)</f>
        <v>0</v>
      </c>
      <c r="K117" s="855">
        <f>IFERROR('Livestock parameters'!Q11/(365*'Livestock parameters'!V11),0)</f>
        <v>0</v>
      </c>
      <c r="L117" s="853">
        <f>'Livestock parameters'!R11</f>
        <v>0</v>
      </c>
      <c r="M117" s="853">
        <f>'Livestock parameters'!S11</f>
        <v>0</v>
      </c>
      <c r="Q117" s="229"/>
      <c r="U117" s="230"/>
      <c r="X117" s="559"/>
      <c r="AD117" s="228"/>
    </row>
    <row r="118" spans="1:32" s="145" customFormat="1">
      <c r="A118" s="13">
        <f t="shared" ref="A118:A121" si="105">A136</f>
        <v>0</v>
      </c>
      <c r="B118" s="487">
        <f>'Livestock parameters'!H12</f>
        <v>0</v>
      </c>
      <c r="C118" s="1116">
        <f>'Livestock parameters'!G12*'Livestock parameters'!I12</f>
        <v>0</v>
      </c>
      <c r="D118" s="852">
        <f>IFERROR('Livestock parameters'!J12/(365*'Livestock parameters'!V12),0)</f>
        <v>0</v>
      </c>
      <c r="E118" s="852">
        <f>IFERROR('Livestock parameters'!K12/(365*'Livestock parameters'!V12),0)</f>
        <v>0</v>
      </c>
      <c r="F118" s="852">
        <f>'Livestock parameters'!L12</f>
        <v>0</v>
      </c>
      <c r="G118" s="852">
        <f>'Livestock parameters'!M12</f>
        <v>0</v>
      </c>
      <c r="H118" s="854">
        <f>'Livestock parameters'!N12</f>
        <v>0</v>
      </c>
      <c r="I118" s="487">
        <f>'Livestock parameters'!G12*'Livestock parameters'!O12</f>
        <v>0</v>
      </c>
      <c r="J118" s="855">
        <f>IFERROR('Livestock parameters'!P12/(365*'Livestock parameters'!V12),0)</f>
        <v>0</v>
      </c>
      <c r="K118" s="855">
        <f>IFERROR('Livestock parameters'!Q12/(365*'Livestock parameters'!V12),0)</f>
        <v>0</v>
      </c>
      <c r="L118" s="853">
        <f>'Livestock parameters'!R12</f>
        <v>0</v>
      </c>
      <c r="M118" s="853">
        <f>'Livestock parameters'!S12</f>
        <v>0</v>
      </c>
      <c r="Q118" s="229"/>
      <c r="U118" s="230"/>
      <c r="X118" s="559"/>
      <c r="AD118" s="228"/>
    </row>
    <row r="119" spans="1:32" s="145" customFormat="1">
      <c r="A119" s="13">
        <f t="shared" si="105"/>
        <v>0</v>
      </c>
      <c r="B119" s="487">
        <f>'Livestock parameters'!H13</f>
        <v>0</v>
      </c>
      <c r="C119" s="1116">
        <f>'Livestock parameters'!G13*'Livestock parameters'!I13</f>
        <v>0</v>
      </c>
      <c r="D119" s="852">
        <f>IFERROR('Livestock parameters'!J13/(365*'Livestock parameters'!V13),0)</f>
        <v>0</v>
      </c>
      <c r="E119" s="852">
        <f>IFERROR('Livestock parameters'!K13/(365*'Livestock parameters'!V13),0)</f>
        <v>0</v>
      </c>
      <c r="F119" s="852">
        <f>'Livestock parameters'!L13</f>
        <v>0</v>
      </c>
      <c r="G119" s="852">
        <f>'Livestock parameters'!M13</f>
        <v>0</v>
      </c>
      <c r="H119" s="854">
        <f>'Livestock parameters'!N13</f>
        <v>0</v>
      </c>
      <c r="I119" s="487">
        <f>'Livestock parameters'!G13*'Livestock parameters'!O13</f>
        <v>0</v>
      </c>
      <c r="J119" s="855">
        <f>IFERROR('Livestock parameters'!P13/(365*'Livestock parameters'!V13),0)</f>
        <v>0</v>
      </c>
      <c r="K119" s="855">
        <f>IFERROR('Livestock parameters'!Q13/(365*'Livestock parameters'!V13),0)</f>
        <v>0</v>
      </c>
      <c r="L119" s="853">
        <f>'Livestock parameters'!R13</f>
        <v>0</v>
      </c>
      <c r="M119" s="853">
        <f>'Livestock parameters'!S13</f>
        <v>0</v>
      </c>
      <c r="Q119" s="229"/>
      <c r="U119" s="230"/>
      <c r="X119" s="559"/>
      <c r="AD119" s="228"/>
    </row>
    <row r="120" spans="1:32" s="145" customFormat="1">
      <c r="A120" s="13">
        <f t="shared" si="105"/>
        <v>0</v>
      </c>
      <c r="B120" s="487">
        <f>'Livestock parameters'!H14</f>
        <v>0</v>
      </c>
      <c r="C120" s="1116">
        <f>'Livestock parameters'!G14*'Livestock parameters'!I14</f>
        <v>0</v>
      </c>
      <c r="D120" s="852">
        <f>IFERROR('Livestock parameters'!J14/(365*'Livestock parameters'!V14),0)</f>
        <v>0</v>
      </c>
      <c r="E120" s="852">
        <f>IFERROR('Livestock parameters'!K14/(365*'Livestock parameters'!V14),0)</f>
        <v>0</v>
      </c>
      <c r="F120" s="852">
        <f>'Livestock parameters'!L14</f>
        <v>0</v>
      </c>
      <c r="G120" s="852">
        <f>'Livestock parameters'!M14</f>
        <v>0</v>
      </c>
      <c r="H120" s="854">
        <f>'Livestock parameters'!N14</f>
        <v>0</v>
      </c>
      <c r="I120" s="487">
        <f>'Livestock parameters'!G14*'Livestock parameters'!O14</f>
        <v>0</v>
      </c>
      <c r="J120" s="855">
        <f>IFERROR('Livestock parameters'!P14/(365*'Livestock parameters'!V14),0)</f>
        <v>0</v>
      </c>
      <c r="K120" s="855">
        <f>IFERROR('Livestock parameters'!Q14/(365*'Livestock parameters'!V14),0)</f>
        <v>0</v>
      </c>
      <c r="L120" s="853">
        <f>'Livestock parameters'!R14</f>
        <v>0</v>
      </c>
      <c r="M120" s="853">
        <f>'Livestock parameters'!S14</f>
        <v>0</v>
      </c>
      <c r="Q120" s="229"/>
      <c r="U120" s="230"/>
      <c r="X120" s="559"/>
      <c r="AD120" s="228"/>
    </row>
    <row r="121" spans="1:32" s="145" customFormat="1">
      <c r="A121" s="13">
        <f t="shared" si="105"/>
        <v>0</v>
      </c>
      <c r="B121" s="487">
        <f>'Livestock parameters'!H15</f>
        <v>0</v>
      </c>
      <c r="C121" s="1116">
        <f>'Livestock parameters'!G15*'Livestock parameters'!I15</f>
        <v>0</v>
      </c>
      <c r="D121" s="852">
        <f>IFERROR('Livestock parameters'!J15/(365*'Livestock parameters'!V15),0)</f>
        <v>0</v>
      </c>
      <c r="E121" s="852">
        <f>IFERROR('Livestock parameters'!K15/(365*'Livestock parameters'!V15),0)</f>
        <v>0</v>
      </c>
      <c r="F121" s="852">
        <f>'Livestock parameters'!L15</f>
        <v>0</v>
      </c>
      <c r="G121" s="852">
        <f>'Livestock parameters'!M15</f>
        <v>0</v>
      </c>
      <c r="H121" s="854">
        <f>'Livestock parameters'!N15</f>
        <v>0</v>
      </c>
      <c r="I121" s="487">
        <f>'Livestock parameters'!G15*'Livestock parameters'!O15</f>
        <v>0</v>
      </c>
      <c r="J121" s="855">
        <f>IFERROR('Livestock parameters'!P15/(365*'Livestock parameters'!V15),0)</f>
        <v>0</v>
      </c>
      <c r="K121" s="855">
        <f>IFERROR('Livestock parameters'!Q15/(365*'Livestock parameters'!V15),0)</f>
        <v>0</v>
      </c>
      <c r="L121" s="853">
        <f>'Livestock parameters'!R15</f>
        <v>0</v>
      </c>
      <c r="M121" s="853">
        <f>'Livestock parameters'!S15</f>
        <v>0</v>
      </c>
      <c r="Q121" s="229"/>
      <c r="U121" s="230"/>
      <c r="X121" s="559"/>
      <c r="AD121" s="228"/>
    </row>
    <row r="122" spans="1:32" s="145" customFormat="1">
      <c r="B122" s="257"/>
      <c r="C122" s="257"/>
      <c r="D122" s="517"/>
      <c r="O122" s="229"/>
      <c r="S122" s="230"/>
      <c r="V122" s="559"/>
      <c r="AB122" s="228"/>
    </row>
    <row r="123" spans="1:32" s="145" customFormat="1">
      <c r="O123" s="229"/>
      <c r="S123" s="230"/>
      <c r="V123" s="559"/>
      <c r="AB123" s="228"/>
    </row>
    <row r="124" spans="1:32" s="145" customFormat="1">
      <c r="A124" s="351" t="s">
        <v>1178</v>
      </c>
      <c r="B124" s="351"/>
      <c r="C124" s="351"/>
      <c r="D124" s="351"/>
      <c r="E124" s="351"/>
      <c r="F124" s="351"/>
      <c r="G124" s="351"/>
      <c r="H124" s="351"/>
      <c r="I124" s="351"/>
      <c r="J124" s="351"/>
      <c r="K124" s="351"/>
      <c r="L124" s="351"/>
      <c r="M124" s="351"/>
      <c r="N124" s="351"/>
      <c r="O124" s="351"/>
      <c r="P124" s="351"/>
      <c r="Q124" s="351"/>
      <c r="R124" s="351"/>
      <c r="S124" s="351"/>
      <c r="T124" s="351"/>
      <c r="U124" s="351"/>
      <c r="V124" s="563"/>
      <c r="W124" s="351"/>
      <c r="X124" s="351"/>
      <c r="Y124" s="351"/>
      <c r="Z124" s="351"/>
      <c r="AA124" s="351"/>
      <c r="AB124" s="351"/>
      <c r="AC124" s="351"/>
      <c r="AD124" s="351"/>
      <c r="AE124" s="351"/>
      <c r="AF124" s="351"/>
    </row>
    <row r="125" spans="1:32" s="145" customFormat="1" ht="78.75">
      <c r="A125" s="13"/>
      <c r="B125" s="484" t="s">
        <v>638</v>
      </c>
      <c r="C125" s="484" t="s">
        <v>1146</v>
      </c>
      <c r="D125" s="485" t="s">
        <v>997</v>
      </c>
      <c r="E125" s="485" t="s">
        <v>998</v>
      </c>
      <c r="F125" s="485" t="s">
        <v>1152</v>
      </c>
      <c r="G125" s="486" t="s">
        <v>1153</v>
      </c>
      <c r="H125" s="485" t="s">
        <v>1156</v>
      </c>
      <c r="I125" s="485" t="s">
        <v>1157</v>
      </c>
      <c r="J125" s="485" t="s">
        <v>1147</v>
      </c>
      <c r="K125" s="485" t="s">
        <v>1148</v>
      </c>
      <c r="L125" s="485" t="s">
        <v>1162</v>
      </c>
      <c r="M125" s="485" t="s">
        <v>1163</v>
      </c>
      <c r="N125" s="485" t="s">
        <v>1158</v>
      </c>
      <c r="O125" s="485" t="s">
        <v>1159</v>
      </c>
      <c r="V125" s="559"/>
    </row>
    <row r="126" spans="1:32" s="145" customFormat="1">
      <c r="A126" s="13" t="str">
        <f>INPUTS!C21</f>
        <v>Cows (local)</v>
      </c>
      <c r="B126" s="1109">
        <f>(B108*365+C108*365+D108*365+E108*365+'Livestock parameters'!T2*F108+G108*'Livestock parameters'!U2)*INPUTS!D21</f>
        <v>17235.735391451162</v>
      </c>
      <c r="C126" s="487">
        <f>(H108*365+I108*365+J108*365+K108*365+'Livestock parameters'!T2*L108+M108*'Livestock parameters'!U2)*INPUTS!D21</f>
        <v>135.46200000000002</v>
      </c>
      <c r="D126" s="488">
        <f>B126*Feed!$G$3</f>
        <v>10010.892884897661</v>
      </c>
      <c r="E126" s="488">
        <f>B126*Feed!$P$3</f>
        <v>7224.8425065535012</v>
      </c>
      <c r="F126" s="488">
        <f>IFERROR(D126/Feed!L10,0)</f>
        <v>3807.0601959898772</v>
      </c>
      <c r="G126" s="488">
        <f>IFERROR(E126/Feed!U10,0)</f>
        <v>2747.5481603134494</v>
      </c>
      <c r="H126" s="488">
        <f>IFERROR(F126*$L$11/100, 0)</f>
        <v>1420.3380179199035</v>
      </c>
      <c r="I126" s="488">
        <f>IFERROR(G126*$U$11/100, 0)</f>
        <v>1025.0552676497418</v>
      </c>
      <c r="J126" s="488">
        <f>IFERROR(C126*Feed!$G$3, 0)</f>
        <v>78.679298630136984</v>
      </c>
      <c r="K126" s="488">
        <f>IFERROR(C126*Feed!$P$3, 0)</f>
        <v>56.78270136986302</v>
      </c>
      <c r="L126" s="488">
        <f>IFERROR(J126/(Feed!L8/100),0)</f>
        <v>2837.1822798919261</v>
      </c>
      <c r="M126" s="488">
        <f>IFERROR(K126/(Feed!U8/100),0)</f>
        <v>2047.5890982238905</v>
      </c>
      <c r="N126" s="488">
        <f>IFERROR(L126*$L$11/100, 0)</f>
        <v>1058.4959649820798</v>
      </c>
      <c r="O126" s="488">
        <f>IFERROR(M126*$U$11/100, 0)</f>
        <v>763.914540765369</v>
      </c>
      <c r="V126" s="559"/>
    </row>
    <row r="127" spans="1:32" s="145" customFormat="1">
      <c r="A127" s="13" t="str">
        <f>INPUTS!C22</f>
        <v>Cows (improved)</v>
      </c>
      <c r="B127" s="1109">
        <f>(B109*365+C109*365+D109*365+E109*365+'Livestock parameters'!T3*F109+G109*'Livestock parameters'!U3)*INPUTS!D22</f>
        <v>20576.572807307555</v>
      </c>
      <c r="C127" s="487">
        <f>(H109*365+I109*365+J109*365+K109*365+'Livestock parameters'!T3*L109+M109*'Livestock parameters'!U3)*INPUTS!D22</f>
        <v>174.71571428571428</v>
      </c>
      <c r="D127" s="488">
        <f>B127*Feed!$G$3</f>
        <v>11951.324479860825</v>
      </c>
      <c r="E127" s="488">
        <f>B127*Feed!$P$3</f>
        <v>8625.2483274467286</v>
      </c>
      <c r="F127" s="488">
        <f>IFERROR(D127/Feed!L17,0)</f>
        <v>4544.9903659720057</v>
      </c>
      <c r="G127" s="488">
        <f>IFERROR(E127/Feed!U17,0)</f>
        <v>3280.1109716684764</v>
      </c>
      <c r="H127" s="488">
        <f t="shared" ref="H127:H139" si="106">IFERROR(F127*$L$11/100, 0)</f>
        <v>1695.6450057368359</v>
      </c>
      <c r="I127" s="488">
        <f t="shared" ref="I127:I139" si="107">IFERROR(G127*$U$11/100, 0)</f>
        <v>1223.7438013100752</v>
      </c>
      <c r="J127" s="488">
        <f>IFERROR(C127*Feed!$G$3, 0)</f>
        <v>101.47871624266143</v>
      </c>
      <c r="K127" s="488">
        <f>IFERROR(C127*Feed!$P$3, 0)</f>
        <v>73.236998043052836</v>
      </c>
      <c r="L127" s="488">
        <f>IFERROR(J127/(Feed!L15/100),0)</f>
        <v>3659.3312411605411</v>
      </c>
      <c r="M127" s="488">
        <f>IFERROR(K127/(Feed!U15/100),0)</f>
        <v>2640.9324523469945</v>
      </c>
      <c r="N127" s="488">
        <f t="shared" ref="N127:N139" si="108">IFERROR(L127*$L$11/100, 0)</f>
        <v>1365.2232994521746</v>
      </c>
      <c r="O127" s="488">
        <f t="shared" ref="O127:O139" si="109">IFERROR(M127*$U$11/100, 0)</f>
        <v>985.27907932161679</v>
      </c>
      <c r="V127" s="559"/>
    </row>
    <row r="128" spans="1:32" s="145" customFormat="1">
      <c r="A128" s="13" t="str">
        <f>INPUTS!C23</f>
        <v>Adult cattle - male</v>
      </c>
      <c r="B128" s="1109">
        <f>(B110*365+C110*365+D110*365+E110*365+'Livestock parameters'!T4*F110+G110*'Livestock parameters'!U4)*INPUTS!D23</f>
        <v>17783.296235748465</v>
      </c>
      <c r="C128" s="487">
        <f>(H110*365+I110*365+J110*365+K110*365+'Livestock parameters'!T4*L110+M110*'Livestock parameters'!U4)*INPUTS!D23</f>
        <v>146</v>
      </c>
      <c r="D128" s="488">
        <f>B128*Feed!$G$3</f>
        <v>10328.928224599107</v>
      </c>
      <c r="E128" s="488">
        <f>B128*Feed!$P$3</f>
        <v>7454.3680111493568</v>
      </c>
      <c r="F128" s="488">
        <f>IFERROR(D128/Feed!L24,0)</f>
        <v>3928.0064189308964</v>
      </c>
      <c r="G128" s="488">
        <f>IFERROR(E128/Feed!U24,0)</f>
        <v>2834.8348212095625</v>
      </c>
      <c r="H128" s="488">
        <f t="shared" si="106"/>
        <v>1465.4606347747388</v>
      </c>
      <c r="I128" s="488">
        <f t="shared" si="107"/>
        <v>1057.6201750968635</v>
      </c>
      <c r="J128" s="488">
        <f>IFERROR(C128*Feed!$G$3, 0)</f>
        <v>84.8</v>
      </c>
      <c r="K128" s="488">
        <f>IFERROR(C128*Feed!$P$3, 0)</f>
        <v>61.2</v>
      </c>
      <c r="L128" s="488">
        <f>IFERROR(J128/(Feed!L22/100),0)</f>
        <v>3057.8952980483177</v>
      </c>
      <c r="M128" s="488">
        <f>IFERROR(K128/(Feed!U22/100),0)</f>
        <v>2206.8772669877012</v>
      </c>
      <c r="N128" s="488">
        <f t="shared" si="108"/>
        <v>1140.8395777958663</v>
      </c>
      <c r="O128" s="488">
        <f t="shared" si="109"/>
        <v>823.34177076777155</v>
      </c>
      <c r="V128" s="559"/>
    </row>
    <row r="129" spans="1:28" s="145" customFormat="1">
      <c r="A129" s="13" t="str">
        <f>INPUTS!C24</f>
        <v>Calves</v>
      </c>
      <c r="B129" s="1109">
        <f>(B111*365+C111*365+D111*365+E111*365+'Livestock parameters'!T5*F111+G111*'Livestock parameters'!U5)*INPUTS!D24</f>
        <v>4416.5830238007984</v>
      </c>
      <c r="C129" s="487">
        <f>(H111*365+I111*365+J111*365+K111*365+'Livestock parameters'!T5*L111+M111*'Livestock parameters'!U5)*INPUTS!D24</f>
        <v>25.55</v>
      </c>
      <c r="D129" s="488">
        <f>B129*Feed!$G$3</f>
        <v>2565.2482220432034</v>
      </c>
      <c r="E129" s="488">
        <f>B129*Feed!$P$3</f>
        <v>1851.334801757595</v>
      </c>
      <c r="F129" s="488">
        <f>IFERROR(D129/Feed!L31,0)</f>
        <v>975.54279236245361</v>
      </c>
      <c r="G129" s="488">
        <f>IFERROR(E129/Feed!U31,0)</f>
        <v>704.04739260120471</v>
      </c>
      <c r="H129" s="488">
        <f t="shared" si="106"/>
        <v>363.95550497458419</v>
      </c>
      <c r="I129" s="488">
        <f t="shared" si="107"/>
        <v>262.66600123165745</v>
      </c>
      <c r="J129" s="488">
        <f>IFERROR(C129*Feed!$G$3, 0)</f>
        <v>14.84</v>
      </c>
      <c r="K129" s="488">
        <f>IFERROR(C129*Feed!$P$3, 0)</f>
        <v>10.71</v>
      </c>
      <c r="L129" s="488">
        <f>IFERROR(J129/(Feed!L29/100),0)</f>
        <v>535.13167715845566</v>
      </c>
      <c r="M129" s="488">
        <f>IFERROR(K129/(Feed!U29/100),0)</f>
        <v>386.20352172284771</v>
      </c>
      <c r="N129" s="488">
        <f t="shared" si="108"/>
        <v>199.64692611427665</v>
      </c>
      <c r="O129" s="488">
        <f t="shared" si="109"/>
        <v>144.08480988436003</v>
      </c>
      <c r="V129" s="559"/>
    </row>
    <row r="130" spans="1:28" s="145" customFormat="1">
      <c r="A130" s="13" t="str">
        <f>INPUTS!C25</f>
        <v>Buffalo (dairy)</v>
      </c>
      <c r="B130" s="1109">
        <f>(B112*365+C112*365+D112*365+E112*365+'Livestock parameters'!T6*F112+G112*'Livestock parameters'!U6)*INPUTS!D25</f>
        <v>20340.858521593269</v>
      </c>
      <c r="C130" s="487">
        <f>(H112*365+I112*365+J112*365+K112*365+'Livestock parameters'!T6*L112+M112*'Livestock parameters'!U6)*INPUTS!D25</f>
        <v>172.28333333333333</v>
      </c>
      <c r="D130" s="488">
        <f>B130*Feed!$G$3</f>
        <v>11814.416456377459</v>
      </c>
      <c r="E130" s="488">
        <f>B130*Feed!$P$3</f>
        <v>8526.4420652158078</v>
      </c>
      <c r="F130" s="488">
        <f>IFERROR(D130/Feed!L38,0)</f>
        <v>4492.9253711001229</v>
      </c>
      <c r="G130" s="488">
        <f>IFERROR(E130/Feed!U38,0)</f>
        <v>3242.5357631052775</v>
      </c>
      <c r="H130" s="488">
        <f t="shared" si="106"/>
        <v>1676.2205974500339</v>
      </c>
      <c r="I130" s="488">
        <f t="shared" si="107"/>
        <v>1209.7252424993169</v>
      </c>
      <c r="J130" s="488">
        <f>IFERROR(C130*Feed!$G$3, 0)</f>
        <v>100.06593607305935</v>
      </c>
      <c r="K130" s="488">
        <f>IFERROR(C130*Feed!$P$3, 0)</f>
        <v>72.21739726027397</v>
      </c>
      <c r="L130" s="488">
        <f>IFERROR(J130/(Feed!L36/100),0)</f>
        <v>3608.3862666581572</v>
      </c>
      <c r="M130" s="488">
        <f>IFERROR(K130/(Feed!U36/100),0)</f>
        <v>2604.1655603712175</v>
      </c>
      <c r="N130" s="488">
        <f t="shared" si="108"/>
        <v>1346.2167483648254</v>
      </c>
      <c r="O130" s="488">
        <f t="shared" si="109"/>
        <v>971.56208726329385</v>
      </c>
      <c r="V130" s="559"/>
    </row>
    <row r="131" spans="1:28" s="145" customFormat="1">
      <c r="A131" s="13" t="str">
        <f>INPUTS!C26</f>
        <v>Sheep/Goats - Ewes/Does</v>
      </c>
      <c r="B131" s="1109">
        <f>(B113*365+C113*365+D113*365+E113*365+'Livestock parameters'!T7*F113+G113*'Livestock parameters'!U7)*INPUTS!D26</f>
        <v>3750.7253421461428</v>
      </c>
      <c r="C131" s="487">
        <f>(H113*365+I113*365+J113*365+K113*365+'Livestock parameters'!T7*L113+M113*'Livestock parameters'!U7)*INPUTS!D26</f>
        <v>38.957142857142856</v>
      </c>
      <c r="D131" s="488">
        <f>B131*Feed!$G$3</f>
        <v>2178.5034863972114</v>
      </c>
      <c r="E131" s="488">
        <f>B131*Feed!$P$3</f>
        <v>1572.2218557489311</v>
      </c>
      <c r="F131" s="488">
        <f>IFERROR(D131/Feed!L45,0)</f>
        <v>828.46695147440721</v>
      </c>
      <c r="G131" s="488">
        <f>IFERROR(E131/Feed!U45,0)</f>
        <v>597.90303573388837</v>
      </c>
      <c r="H131" s="488">
        <f t="shared" si="106"/>
        <v>309.08445025607182</v>
      </c>
      <c r="I131" s="488">
        <f t="shared" si="107"/>
        <v>223.06566457159909</v>
      </c>
      <c r="J131" s="488">
        <f>IFERROR(C131*Feed!$G$3, 0)</f>
        <v>22.627162426614479</v>
      </c>
      <c r="K131" s="488">
        <f>IFERROR(C131*Feed!$P$3, 0)</f>
        <v>16.329980430528376</v>
      </c>
      <c r="L131" s="488">
        <f>IFERROR(J131/(Feed!L43/100),0)</f>
        <v>815.93742444009411</v>
      </c>
      <c r="M131" s="488">
        <f>IFERROR(K131/(Feed!U43/100),0)</f>
        <v>588.86049971384159</v>
      </c>
      <c r="N131" s="488">
        <f t="shared" si="108"/>
        <v>304.40993431011032</v>
      </c>
      <c r="O131" s="488">
        <f t="shared" si="109"/>
        <v>219.69207523324002</v>
      </c>
      <c r="V131" s="559"/>
    </row>
    <row r="132" spans="1:28" s="145" customFormat="1">
      <c r="A132" s="13" t="str">
        <f>INPUTS!C27</f>
        <v>Pigs - lactating/pregnant sows</v>
      </c>
      <c r="B132" s="1109">
        <f>(B114*365+C114*365+D114*365+E114*365+'Livestock parameters'!T8*F114+G114*'Livestock parameters'!U8)*INPUTS!D27</f>
        <v>10194.657610493647</v>
      </c>
      <c r="C132" s="487">
        <f>(H114*365+I114*365+J114*365+K114*365+'Livestock parameters'!T8*L114+M114*'Livestock parameters'!U8)*INPUTS!D27</f>
        <v>14.008116813355549</v>
      </c>
      <c r="D132" s="488">
        <f>B132*Feed!$G$3</f>
        <v>5921.2805847250766</v>
      </c>
      <c r="E132" s="488">
        <f>B132*Feed!$P$3</f>
        <v>4273.3770257685701</v>
      </c>
      <c r="F132" s="488">
        <f>IFERROR(D132/Feed!L52,0)</f>
        <v>2251.8142869555791</v>
      </c>
      <c r="G132" s="488">
        <f>IFERROR(E132/Feed!U52,0)</f>
        <v>1625.1301221896399</v>
      </c>
      <c r="H132" s="488">
        <f t="shared" si="106"/>
        <v>840.10687417738734</v>
      </c>
      <c r="I132" s="488">
        <f t="shared" si="107"/>
        <v>606.30354598651093</v>
      </c>
      <c r="J132" s="488">
        <f>IFERROR(C132*Feed!$G$3, 0)</f>
        <v>8.1362212724147298</v>
      </c>
      <c r="K132" s="488">
        <f>IFERROR(C132*Feed!$P$3, 0)</f>
        <v>5.8718955409408196</v>
      </c>
      <c r="L132" s="488">
        <f>IFERROR(J132/(Feed!L50/100),0)</f>
        <v>293.39283930185974</v>
      </c>
      <c r="M132" s="488">
        <f>IFERROR(K132/(Feed!U50/100),0)</f>
        <v>211.74105855275727</v>
      </c>
      <c r="N132" s="488">
        <f t="shared" si="108"/>
        <v>109.45900048673782</v>
      </c>
      <c r="O132" s="488">
        <f t="shared" si="109"/>
        <v>78.996354124862677</v>
      </c>
      <c r="V132" s="559"/>
    </row>
    <row r="133" spans="1:28" s="145" customFormat="1">
      <c r="A133" s="13" t="str">
        <f>INPUTS!C28</f>
        <v>Calves</v>
      </c>
      <c r="B133" s="1109">
        <f>(B115*365+C115*365+D115*365+E115*365+'Livestock parameters'!T9*F115+G115*'Livestock parameters'!U9)*INPUTS!D28</f>
        <v>13249.749071402395</v>
      </c>
      <c r="C133" s="487">
        <f>(H115*365+I115*365+J115*365+K115*365+'Livestock parameters'!T9*L115+M115*'Livestock parameters'!U9)*INPUTS!D28</f>
        <v>76.650000000000006</v>
      </c>
      <c r="D133" s="488">
        <f>B133*Feed!$G$3</f>
        <v>7695.7446661296099</v>
      </c>
      <c r="E133" s="488">
        <f>B133*Feed!$P$3</f>
        <v>5554.0044052727844</v>
      </c>
      <c r="F133" s="488">
        <f>IFERROR(D133/Feed!L57,0)</f>
        <v>2775.0921497096883</v>
      </c>
      <c r="G133" s="488">
        <f>IFERROR(E133/Feed!U57,0)</f>
        <v>2002.7787684225582</v>
      </c>
      <c r="H133" s="488">
        <f t="shared" si="106"/>
        <v>1035.3313792136905</v>
      </c>
      <c r="I133" s="488">
        <f t="shared" si="107"/>
        <v>747.19670292308797</v>
      </c>
      <c r="J133" s="488">
        <f>IFERROR(C133*Feed!$G$3, 0)</f>
        <v>44.519999999999996</v>
      </c>
      <c r="K133" s="488">
        <f>IFERROR(C133*Feed!$P$3, 0)</f>
        <v>32.130000000000003</v>
      </c>
      <c r="L133" s="488">
        <f>IFERROR(J133/(Feed!L57/100),0)</f>
        <v>1605.3950314753667</v>
      </c>
      <c r="M133" s="488">
        <f>IFERROR(K133/(Feed!U57/100),0)</f>
        <v>1158.6105651685432</v>
      </c>
      <c r="N133" s="488">
        <f t="shared" si="108"/>
        <v>598.94077834282984</v>
      </c>
      <c r="O133" s="488">
        <f t="shared" si="109"/>
        <v>432.25442965308008</v>
      </c>
      <c r="V133" s="559"/>
    </row>
    <row r="134" spans="1:28" s="145" customFormat="1">
      <c r="A134" s="13" t="str">
        <f>INPUTS!C29</f>
        <v>Cows (high productive)</v>
      </c>
      <c r="B134" s="1109">
        <f>(B116*365+C116*365+D116*365+E116*365+'Livestock parameters'!T10*F116+G116*'Livestock parameters'!U10)*INPUTS!D29</f>
        <v>51169.289552418035</v>
      </c>
      <c r="C134" s="487">
        <f>(H116*365+I116*365+J116*365+K116*365+'Livestock parameters'!T10*L116+M116*'Livestock parameters'!U10)*INPUTS!D29</f>
        <v>468</v>
      </c>
      <c r="D134" s="488">
        <f>B134*Feed!$G$3</f>
        <v>29720.244890719514</v>
      </c>
      <c r="E134" s="488">
        <f>B134*Feed!$P$3</f>
        <v>21449.044661698517</v>
      </c>
      <c r="F134" s="488">
        <f>IFERROR(D134/Feed!L64,0)</f>
        <v>10717.145885398084</v>
      </c>
      <c r="G134" s="488">
        <f>IFERROR(E134/Feed!U64,0)</f>
        <v>7734.5439644618245</v>
      </c>
      <c r="H134" s="488">
        <f t="shared" si="106"/>
        <v>3998.3527869243171</v>
      </c>
      <c r="I134" s="488">
        <f t="shared" si="107"/>
        <v>2885.6036622614174</v>
      </c>
      <c r="J134" s="488">
        <f>IFERROR(C134*Feed!$G$3, 0)</f>
        <v>271.82465753424657</v>
      </c>
      <c r="K134" s="488">
        <f>IFERROR(C134*Feed!$P$3, 0)</f>
        <v>196.17534246575343</v>
      </c>
      <c r="L134" s="488">
        <f>IFERROR(J134/(Feed!L64/100),0)</f>
        <v>9802.0205444288549</v>
      </c>
      <c r="M134" s="488">
        <f>IFERROR(K134/(Feed!U64/100),0)</f>
        <v>7074.0997325359194</v>
      </c>
      <c r="N134" s="488">
        <f t="shared" si="108"/>
        <v>3656.9378247155173</v>
      </c>
      <c r="O134" s="488">
        <f t="shared" si="109"/>
        <v>2639.2051282145007</v>
      </c>
      <c r="V134" s="559"/>
    </row>
    <row r="135" spans="1:28" s="145" customFormat="1">
      <c r="A135" s="13">
        <f>INPUTS!C30</f>
        <v>0</v>
      </c>
      <c r="B135" s="1109">
        <f>(B117*365+C117*365+D117*365+E117*365+'Livestock parameters'!T11*F117+G117*'Livestock parameters'!U11)*INPUTS!D30</f>
        <v>0</v>
      </c>
      <c r="C135" s="487">
        <f>(H117*365+I117*365+J117*365+K117*365+'Livestock parameters'!T11*L117+M117*'Livestock parameters'!U11)*INPUTS!D30</f>
        <v>0</v>
      </c>
      <c r="D135" s="488">
        <f>B135*Feed!$G$3</f>
        <v>0</v>
      </c>
      <c r="E135" s="488">
        <f>B135*Feed!$P$3</f>
        <v>0</v>
      </c>
      <c r="F135" s="488">
        <f>IFERROR(D135/Feed!L71,0)</f>
        <v>0</v>
      </c>
      <c r="G135" s="488">
        <f>IFERROR(E135/Feed!U71,0)</f>
        <v>0</v>
      </c>
      <c r="H135" s="488">
        <f t="shared" si="106"/>
        <v>0</v>
      </c>
      <c r="I135" s="488">
        <f t="shared" si="107"/>
        <v>0</v>
      </c>
      <c r="J135" s="488">
        <f>IFERROR(C135*Feed!$G$3, 0)</f>
        <v>0</v>
      </c>
      <c r="K135" s="488">
        <f>IFERROR(C135*Feed!$P$3, 0)</f>
        <v>0</v>
      </c>
      <c r="L135" s="488">
        <f>IFERROR(J135/(Feed!L71/100),0)</f>
        <v>0</v>
      </c>
      <c r="M135" s="488">
        <f>IFERROR(K135/(Feed!U71/100),0)</f>
        <v>0</v>
      </c>
      <c r="N135" s="488">
        <f t="shared" si="108"/>
        <v>0</v>
      </c>
      <c r="O135" s="488">
        <f t="shared" si="109"/>
        <v>0</v>
      </c>
      <c r="V135" s="559"/>
    </row>
    <row r="136" spans="1:28" s="145" customFormat="1">
      <c r="A136" s="13">
        <f>INPUTS!C31</f>
        <v>0</v>
      </c>
      <c r="B136" s="1109">
        <f>(B118*365+C118*365+D118*365+E118*365+'Livestock parameters'!T12*F118+G118*'Livestock parameters'!U12)*INPUTS!D31</f>
        <v>0</v>
      </c>
      <c r="C136" s="487">
        <f>(H118*365+I118*365+J118*365+K118*365+'Livestock parameters'!T12*L118+M118*'Livestock parameters'!U12)*INPUTS!D31</f>
        <v>0</v>
      </c>
      <c r="D136" s="488">
        <f>B136*Feed!$G$3</f>
        <v>0</v>
      </c>
      <c r="E136" s="488">
        <f>B136*Feed!$P$3</f>
        <v>0</v>
      </c>
      <c r="F136" s="488">
        <f>IFERROR(D136/Feed!L78,0)</f>
        <v>0</v>
      </c>
      <c r="G136" s="488">
        <f>IFERROR(E136/Feed!U78,0)</f>
        <v>0</v>
      </c>
      <c r="H136" s="488">
        <f t="shared" si="106"/>
        <v>0</v>
      </c>
      <c r="I136" s="488">
        <f t="shared" si="107"/>
        <v>0</v>
      </c>
      <c r="J136" s="488">
        <f>IFERROR(C136*Feed!$G$3, 0)</f>
        <v>0</v>
      </c>
      <c r="K136" s="488">
        <f>IFERROR(C136*Feed!$P$3, 0)</f>
        <v>0</v>
      </c>
      <c r="L136" s="488">
        <f>IFERROR(J136/(Feed!L78/100),0)</f>
        <v>0</v>
      </c>
      <c r="M136" s="488">
        <f>IFERROR(K136/(Feed!U78/100),0)</f>
        <v>0</v>
      </c>
      <c r="N136" s="488">
        <f t="shared" si="108"/>
        <v>0</v>
      </c>
      <c r="O136" s="488">
        <f t="shared" si="109"/>
        <v>0</v>
      </c>
      <c r="V136" s="559"/>
    </row>
    <row r="137" spans="1:28" s="145" customFormat="1">
      <c r="A137" s="13">
        <f>INPUTS!C32</f>
        <v>0</v>
      </c>
      <c r="B137" s="1109">
        <f>(B119*365+C119*365+D119*365+E119*365+'Livestock parameters'!T13*F119+G119*'Livestock parameters'!U13)*INPUTS!D32</f>
        <v>0</v>
      </c>
      <c r="C137" s="487">
        <f>(H119*365+I119*365+J119*365+K119*365+'Livestock parameters'!T13*L119+M119*'Livestock parameters'!U13)*INPUTS!D32</f>
        <v>0</v>
      </c>
      <c r="D137" s="488">
        <f>B137*Feed!$G$3</f>
        <v>0</v>
      </c>
      <c r="E137" s="488">
        <f>B137*Feed!$P$3</f>
        <v>0</v>
      </c>
      <c r="F137" s="488">
        <f>IFERROR(D137/Feed!L85,0)</f>
        <v>0</v>
      </c>
      <c r="G137" s="488">
        <f>IFERROR(E137/Feed!U85,0)</f>
        <v>0</v>
      </c>
      <c r="H137" s="488">
        <f t="shared" si="106"/>
        <v>0</v>
      </c>
      <c r="I137" s="488">
        <f t="shared" si="107"/>
        <v>0</v>
      </c>
      <c r="J137" s="488">
        <f>IFERROR(C137*Feed!$G$3, 0)</f>
        <v>0</v>
      </c>
      <c r="K137" s="488">
        <f>IFERROR(C137*Feed!$P$3, 0)</f>
        <v>0</v>
      </c>
      <c r="L137" s="488">
        <f>IFERROR(J137/(Feed!L85/100),0)</f>
        <v>0</v>
      </c>
      <c r="M137" s="488">
        <f>IFERROR(K137/(Feed!U85/100),0)</f>
        <v>0</v>
      </c>
      <c r="N137" s="488">
        <f t="shared" si="108"/>
        <v>0</v>
      </c>
      <c r="O137" s="488">
        <f t="shared" si="109"/>
        <v>0</v>
      </c>
      <c r="V137" s="559"/>
    </row>
    <row r="138" spans="1:28" s="145" customFormat="1">
      <c r="A138" s="13">
        <f>INPUTS!C33</f>
        <v>0</v>
      </c>
      <c r="B138" s="1109">
        <f>(B120*365+C120*365+D120*365+E120*365+'Livestock parameters'!T14*F120+G120*'Livestock parameters'!U14)*INPUTS!D33</f>
        <v>0</v>
      </c>
      <c r="C138" s="487">
        <f>(H120*365+I120*365+J120*365+K120*365+'Livestock parameters'!T14*L120+M120*'Livestock parameters'!U14)*INPUTS!D33</f>
        <v>0</v>
      </c>
      <c r="D138" s="488">
        <f>B138*Feed!$G$3</f>
        <v>0</v>
      </c>
      <c r="E138" s="488">
        <f>B138*Feed!$P$3</f>
        <v>0</v>
      </c>
      <c r="F138" s="488">
        <f>IFERROR(D138/Feed!L92,0)</f>
        <v>0</v>
      </c>
      <c r="G138" s="488">
        <f>IFERROR(E138/Feed!U92,0)</f>
        <v>0</v>
      </c>
      <c r="H138" s="488">
        <f t="shared" si="106"/>
        <v>0</v>
      </c>
      <c r="I138" s="488">
        <f t="shared" si="107"/>
        <v>0</v>
      </c>
      <c r="J138" s="488">
        <f>IFERROR(C138*Feed!$G$3, 0)</f>
        <v>0</v>
      </c>
      <c r="K138" s="488">
        <f>IFERROR(C138*Feed!$P$3, 0)</f>
        <v>0</v>
      </c>
      <c r="L138" s="488">
        <f>IFERROR(J138/(Feed!L92/100),0)</f>
        <v>0</v>
      </c>
      <c r="M138" s="488">
        <f>IFERROR(K138/(Feed!U92/100),0)</f>
        <v>0</v>
      </c>
      <c r="N138" s="488">
        <f t="shared" si="108"/>
        <v>0</v>
      </c>
      <c r="O138" s="488">
        <f t="shared" si="109"/>
        <v>0</v>
      </c>
      <c r="V138" s="559"/>
    </row>
    <row r="139" spans="1:28" s="145" customFormat="1">
      <c r="A139" s="13">
        <f>INPUTS!C34</f>
        <v>0</v>
      </c>
      <c r="B139" s="1109">
        <f>(B121*365+C121*365+D121*365+E121*365+'Livestock parameters'!T15*F121+G121*'Livestock parameters'!U15)*INPUTS!D34</f>
        <v>0</v>
      </c>
      <c r="C139" s="487">
        <f>(H121*365+I121*365+J121*365+K121*365+'Livestock parameters'!T15*L121+M121*'Livestock parameters'!U15)*INPUTS!D34</f>
        <v>0</v>
      </c>
      <c r="D139" s="488">
        <f>B139*Feed!$G$3</f>
        <v>0</v>
      </c>
      <c r="E139" s="488">
        <f>B139*Feed!$P$3</f>
        <v>0</v>
      </c>
      <c r="F139" s="488">
        <f>IFERROR(D139/Feed!L99,0)</f>
        <v>0</v>
      </c>
      <c r="G139" s="488">
        <f>IFERROR(E139/Feed!U99,0)</f>
        <v>0</v>
      </c>
      <c r="H139" s="488">
        <f t="shared" si="106"/>
        <v>0</v>
      </c>
      <c r="I139" s="488">
        <f t="shared" si="107"/>
        <v>0</v>
      </c>
      <c r="J139" s="488">
        <f>IFERROR(C139*Feed!$G$3, 0)</f>
        <v>0</v>
      </c>
      <c r="K139" s="488">
        <f>IFERROR(C139*Feed!$P$3, 0)</f>
        <v>0</v>
      </c>
      <c r="L139" s="488">
        <f>IFERROR(J139/(Feed!L99/100),0)</f>
        <v>0</v>
      </c>
      <c r="M139" s="488">
        <f>IFERROR(K139/(Feed!U99/100),0)</f>
        <v>0</v>
      </c>
      <c r="N139" s="488">
        <f t="shared" si="108"/>
        <v>0</v>
      </c>
      <c r="O139" s="488">
        <f t="shared" si="109"/>
        <v>0</v>
      </c>
      <c r="S139" s="230"/>
      <c r="V139" s="559"/>
      <c r="AB139" s="228"/>
    </row>
    <row r="140" spans="1:28" s="145" customFormat="1">
      <c r="O140" s="229"/>
      <c r="S140" s="230"/>
      <c r="V140" s="559"/>
      <c r="AB140" s="228"/>
    </row>
    <row r="141" spans="1:28" s="145" customFormat="1">
      <c r="O141" s="229"/>
      <c r="S141" s="230"/>
      <c r="V141" s="559"/>
      <c r="AB141" s="228"/>
    </row>
    <row r="142" spans="1:28" s="145" customFormat="1">
      <c r="A142" s="175"/>
      <c r="B142" s="175" t="s">
        <v>1150</v>
      </c>
      <c r="C142" s="175" t="s">
        <v>1151</v>
      </c>
      <c r="D142" s="175" t="s">
        <v>1164</v>
      </c>
      <c r="E142" s="175" t="s">
        <v>1165</v>
      </c>
      <c r="F142" s="176" t="s">
        <v>1168</v>
      </c>
      <c r="G142" s="176" t="s">
        <v>1169</v>
      </c>
      <c r="H142" s="176" t="s">
        <v>1170</v>
      </c>
      <c r="I142" s="176" t="s">
        <v>1171</v>
      </c>
      <c r="J142" s="558" t="s">
        <v>1175</v>
      </c>
      <c r="K142" s="558" t="s">
        <v>1176</v>
      </c>
      <c r="L142" s="558" t="s">
        <v>1313</v>
      </c>
      <c r="N142" s="145" t="s">
        <v>1333</v>
      </c>
      <c r="O142" s="229"/>
      <c r="P142" s="145" t="s">
        <v>1334</v>
      </c>
      <c r="Q142" s="229"/>
      <c r="R142" s="145" t="s">
        <v>1335</v>
      </c>
      <c r="S142" s="229"/>
      <c r="T142" s="145" t="s">
        <v>1336</v>
      </c>
      <c r="U142" s="229"/>
      <c r="V142" s="145" t="s">
        <v>1337</v>
      </c>
      <c r="W142" s="229"/>
      <c r="X142" s="145" t="s">
        <v>1338</v>
      </c>
      <c r="Y142" s="229"/>
      <c r="Z142" s="145" t="s">
        <v>1339</v>
      </c>
      <c r="AA142" s="229"/>
      <c r="AB142" s="145" t="s">
        <v>1340</v>
      </c>
    </row>
    <row r="143" spans="1:28" s="145" customFormat="1">
      <c r="A143" s="175" t="str">
        <f>INPUTS!C21</f>
        <v>Cows (local)</v>
      </c>
      <c r="B143" s="242">
        <f>H126</f>
        <v>1420.3380179199035</v>
      </c>
      <c r="C143" s="242">
        <f>I126</f>
        <v>1025.0552676497418</v>
      </c>
      <c r="D143" s="242">
        <f>N126</f>
        <v>1058.4959649820798</v>
      </c>
      <c r="E143" s="242">
        <f>O126</f>
        <v>763.914540765369</v>
      </c>
      <c r="F143" s="242">
        <f>IF(D143&gt;B143,D143,B143)</f>
        <v>1420.3380179199035</v>
      </c>
      <c r="G143" s="242">
        <f>IF(E143&gt;C143,E143,C143)</f>
        <v>1025.0552676497418</v>
      </c>
      <c r="H143" s="242" t="str">
        <f>IF(OR(B143=0,D143=0),"",IF(D143&gt;B143,"CP","ENERGY"))</f>
        <v>ENERGY</v>
      </c>
      <c r="I143" s="242" t="str">
        <f>IF(OR(C143=0,E143=0),"",IF(E143&gt;C143,"CP","ENERGY"))</f>
        <v>ENERGY</v>
      </c>
      <c r="J143" s="730">
        <f t="shared" ref="J143:J156" si="110">IFERROR((F143*L10*100/L11+G143*U10*100/U11), 0)</f>
        <v>17235.735391451162</v>
      </c>
      <c r="K143" s="730">
        <f>IFERROR(J143/0.81,0)</f>
        <v>21278.685668458224</v>
      </c>
      <c r="L143" s="730">
        <f>(F143+G143)*18.45</f>
        <v>45117.506118759957</v>
      </c>
      <c r="N143" s="745">
        <f>F143+G143</f>
        <v>2445.3932855696453</v>
      </c>
      <c r="O143" s="229">
        <f t="shared" ref="O143:O156" si="111">E12*$G$3+N12*$P$3</f>
        <v>0.12195775704942638</v>
      </c>
      <c r="P143" s="145">
        <f>$N143*O143</f>
        <v>298.23468021180133</v>
      </c>
      <c r="Q143" s="229">
        <f t="shared" ref="Q143:Q156" si="112">F12*$G$3+O12*$P$3</f>
        <v>0</v>
      </c>
      <c r="R143" s="145">
        <f>$N143*Q143</f>
        <v>0</v>
      </c>
      <c r="S143" s="229">
        <f t="shared" ref="S143:S156" si="113">G12*$G$3+P12*$P$3</f>
        <v>0.25785354347593009</v>
      </c>
      <c r="T143" s="145">
        <f>$N143*S143</f>
        <v>630.55332387638009</v>
      </c>
      <c r="U143" s="229">
        <f t="shared" ref="U143:U156" si="114">H12*$G$3+Q12*$P$3</f>
        <v>0</v>
      </c>
      <c r="V143" s="145">
        <f>$N143*U143</f>
        <v>0</v>
      </c>
      <c r="W143" s="229">
        <f t="shared" ref="W143:W156" si="115">I12*$G$3+R12*$P$3</f>
        <v>0.24627425753189663</v>
      </c>
      <c r="X143" s="145">
        <f>$N143*W143</f>
        <v>602.23741577714964</v>
      </c>
      <c r="Y143" s="229">
        <f t="shared" ref="Y143:Y156" si="116">J12*$G$3+S12*$P$3</f>
        <v>0.24123512383403023</v>
      </c>
      <c r="Z143" s="145">
        <f>$N143*Y143</f>
        <v>589.91475206729945</v>
      </c>
      <c r="AA143" s="229">
        <f t="shared" ref="AA143:AA156" si="117">K12*$G$3+T12*$K$3</f>
        <v>7.7063055997391577E-2</v>
      </c>
      <c r="AB143" s="145">
        <f>$N143*AA143</f>
        <v>188.44947970149894</v>
      </c>
    </row>
    <row r="144" spans="1:28" s="145" customFormat="1">
      <c r="A144" s="175" t="str">
        <f>INPUTS!C22</f>
        <v>Cows (improved)</v>
      </c>
      <c r="B144" s="242">
        <f t="shared" ref="B144:C144" si="118">H127</f>
        <v>1695.6450057368359</v>
      </c>
      <c r="C144" s="242">
        <f t="shared" si="118"/>
        <v>1223.7438013100752</v>
      </c>
      <c r="D144" s="242">
        <f t="shared" ref="D144:E144" si="119">N127</f>
        <v>1365.2232994521746</v>
      </c>
      <c r="E144" s="242">
        <f t="shared" si="119"/>
        <v>985.27907932161679</v>
      </c>
      <c r="F144" s="242">
        <f t="shared" ref="F144:F156" si="120">IF(D144&gt;B144,D144,B144)</f>
        <v>1695.6450057368359</v>
      </c>
      <c r="G144" s="242">
        <f t="shared" ref="G144:G156" si="121">IF(E144&gt;C144,E144,C144)</f>
        <v>1223.7438013100752</v>
      </c>
      <c r="H144" s="242" t="str">
        <f t="shared" ref="H144:H156" si="122">IF(OR(B144=0,D144=0),"",IF(D144&gt;B144,"CP","ENERGY"))</f>
        <v>ENERGY</v>
      </c>
      <c r="I144" s="242" t="str">
        <f t="shared" ref="I144:I156" si="123">IF(OR(C144=0,E144=0),"",IF(E144&gt;C144,"CP","ENERGY"))</f>
        <v>ENERGY</v>
      </c>
      <c r="J144" s="730">
        <f t="shared" si="110"/>
        <v>0</v>
      </c>
      <c r="K144" s="730">
        <f t="shared" ref="K144:K156" si="124">IFERROR(J144/0.81,0)</f>
        <v>0</v>
      </c>
      <c r="L144" s="730">
        <f t="shared" ref="L144:L156" si="125">(F144+G144)*18.45</f>
        <v>53862.723490015509</v>
      </c>
      <c r="N144" s="745">
        <f t="shared" ref="N144:N156" si="126">F144+G144</f>
        <v>2919.3888070469111</v>
      </c>
      <c r="O144" s="229">
        <f t="shared" si="111"/>
        <v>0</v>
      </c>
      <c r="P144" s="145">
        <f t="shared" ref="P144:P156" si="127">$N144*O144</f>
        <v>0</v>
      </c>
      <c r="Q144" s="229">
        <f t="shared" si="112"/>
        <v>0</v>
      </c>
      <c r="R144" s="145">
        <f t="shared" ref="R144:R156" si="128">$N144*Q144</f>
        <v>0</v>
      </c>
      <c r="S144" s="229">
        <f t="shared" si="113"/>
        <v>0</v>
      </c>
      <c r="T144" s="145">
        <f t="shared" ref="T144:T156" si="129">$N144*S144</f>
        <v>0</v>
      </c>
      <c r="U144" s="229">
        <f t="shared" si="114"/>
        <v>0</v>
      </c>
      <c r="V144" s="145">
        <f t="shared" ref="V144:V156" si="130">$N144*U144</f>
        <v>0</v>
      </c>
      <c r="W144" s="229">
        <f t="shared" si="115"/>
        <v>0</v>
      </c>
      <c r="X144" s="145">
        <f t="shared" ref="X144:X156" si="131">$N144*W144</f>
        <v>0</v>
      </c>
      <c r="Y144" s="229">
        <f t="shared" si="116"/>
        <v>0</v>
      </c>
      <c r="Z144" s="145">
        <f t="shared" ref="Z144:Z156" si="132">$N144*Y144</f>
        <v>0</v>
      </c>
      <c r="AA144" s="229">
        <f t="shared" si="117"/>
        <v>0</v>
      </c>
      <c r="AB144" s="145">
        <f t="shared" ref="AB144:AB156" si="133">$N144*AA144</f>
        <v>0</v>
      </c>
    </row>
    <row r="145" spans="1:32" s="145" customFormat="1">
      <c r="A145" s="175" t="str">
        <f>INPUTS!C23</f>
        <v>Adult cattle - male</v>
      </c>
      <c r="B145" s="242">
        <f t="shared" ref="B145:C145" si="134">H128</f>
        <v>1465.4606347747388</v>
      </c>
      <c r="C145" s="242">
        <f t="shared" si="134"/>
        <v>1057.6201750968635</v>
      </c>
      <c r="D145" s="242">
        <f t="shared" ref="D145:E145" si="135">N128</f>
        <v>1140.8395777958663</v>
      </c>
      <c r="E145" s="242">
        <f t="shared" si="135"/>
        <v>823.34177076777155</v>
      </c>
      <c r="F145" s="242">
        <f t="shared" si="120"/>
        <v>1465.4606347747388</v>
      </c>
      <c r="G145" s="242">
        <f t="shared" si="121"/>
        <v>1057.6201750968635</v>
      </c>
      <c r="H145" s="242" t="str">
        <f t="shared" si="122"/>
        <v>ENERGY</v>
      </c>
      <c r="I145" s="242" t="str">
        <f t="shared" si="123"/>
        <v>ENERGY</v>
      </c>
      <c r="J145" s="730">
        <f t="shared" si="110"/>
        <v>0</v>
      </c>
      <c r="K145" s="730">
        <f t="shared" si="124"/>
        <v>0</v>
      </c>
      <c r="L145" s="730">
        <f t="shared" si="125"/>
        <v>46550.840942131064</v>
      </c>
      <c r="N145" s="745">
        <f t="shared" si="126"/>
        <v>2523.0808098716025</v>
      </c>
      <c r="O145" s="229">
        <f t="shared" si="111"/>
        <v>0.05</v>
      </c>
      <c r="P145" s="145">
        <f t="shared" si="127"/>
        <v>126.15404049358013</v>
      </c>
      <c r="Q145" s="229">
        <f t="shared" si="112"/>
        <v>0</v>
      </c>
      <c r="R145" s="145">
        <f t="shared" si="128"/>
        <v>0</v>
      </c>
      <c r="S145" s="229">
        <f t="shared" si="113"/>
        <v>0.37</v>
      </c>
      <c r="T145" s="145">
        <f t="shared" si="129"/>
        <v>933.53989965249286</v>
      </c>
      <c r="U145" s="229">
        <f t="shared" si="114"/>
        <v>0</v>
      </c>
      <c r="V145" s="145">
        <f t="shared" si="130"/>
        <v>0</v>
      </c>
      <c r="W145" s="229">
        <f t="shared" si="115"/>
        <v>0.1</v>
      </c>
      <c r="X145" s="145">
        <f t="shared" si="131"/>
        <v>252.30808098716025</v>
      </c>
      <c r="Y145" s="229">
        <f t="shared" si="116"/>
        <v>0.15</v>
      </c>
      <c r="Z145" s="145">
        <f t="shared" si="132"/>
        <v>378.46212148074034</v>
      </c>
      <c r="AA145" s="229">
        <f t="shared" si="117"/>
        <v>0.19167123287671231</v>
      </c>
      <c r="AB145" s="145">
        <f t="shared" si="133"/>
        <v>483.60200947566381</v>
      </c>
    </row>
    <row r="146" spans="1:32" s="145" customFormat="1">
      <c r="A146" s="175" t="str">
        <f>INPUTS!C24</f>
        <v>Calves</v>
      </c>
      <c r="B146" s="242">
        <f t="shared" ref="B146:C146" si="136">H129</f>
        <v>363.95550497458419</v>
      </c>
      <c r="C146" s="242">
        <f t="shared" si="136"/>
        <v>262.66600123165745</v>
      </c>
      <c r="D146" s="242">
        <f t="shared" ref="D146:E146" si="137">N129</f>
        <v>199.64692611427665</v>
      </c>
      <c r="E146" s="242">
        <f t="shared" si="137"/>
        <v>144.08480988436003</v>
      </c>
      <c r="F146" s="242">
        <f t="shared" si="120"/>
        <v>363.95550497458419</v>
      </c>
      <c r="G146" s="242">
        <f t="shared" si="121"/>
        <v>262.66600123165745</v>
      </c>
      <c r="H146" s="242" t="str">
        <f t="shared" si="122"/>
        <v>ENERGY</v>
      </c>
      <c r="I146" s="242" t="str">
        <f t="shared" si="123"/>
        <v>ENERGY</v>
      </c>
      <c r="J146" s="730">
        <f t="shared" si="110"/>
        <v>0</v>
      </c>
      <c r="K146" s="730">
        <f t="shared" si="124"/>
        <v>0</v>
      </c>
      <c r="L146" s="730">
        <f t="shared" si="125"/>
        <v>11561.166789505158</v>
      </c>
      <c r="N146" s="745">
        <f t="shared" si="126"/>
        <v>626.62150620624163</v>
      </c>
      <c r="O146" s="229">
        <f t="shared" si="111"/>
        <v>12.739999999999998</v>
      </c>
      <c r="P146" s="145">
        <f t="shared" si="127"/>
        <v>7983.1579890675175</v>
      </c>
      <c r="Q146" s="229">
        <f t="shared" si="112"/>
        <v>8.1</v>
      </c>
      <c r="R146" s="145">
        <f t="shared" si="128"/>
        <v>5075.6342002705569</v>
      </c>
      <c r="S146" s="229">
        <f t="shared" si="113"/>
        <v>1.8862465753424655</v>
      </c>
      <c r="T146" s="145">
        <f t="shared" si="129"/>
        <v>1181.9626701174609</v>
      </c>
      <c r="U146" s="229">
        <f t="shared" si="114"/>
        <v>14.4</v>
      </c>
      <c r="V146" s="145">
        <f t="shared" si="130"/>
        <v>9023.3496893698793</v>
      </c>
      <c r="W146" s="229">
        <f t="shared" si="115"/>
        <v>3.5373800000000002</v>
      </c>
      <c r="X146" s="145">
        <f t="shared" si="131"/>
        <v>2216.5983836238352</v>
      </c>
      <c r="Y146" s="229">
        <f t="shared" si="116"/>
        <v>3.6</v>
      </c>
      <c r="Z146" s="145">
        <f t="shared" si="132"/>
        <v>2255.8374223424698</v>
      </c>
      <c r="AA146" s="229">
        <f t="shared" si="117"/>
        <v>0.95835616438356153</v>
      </c>
      <c r="AB146" s="145">
        <f t="shared" si="133"/>
        <v>600.52658320806381</v>
      </c>
    </row>
    <row r="147" spans="1:32" s="145" customFormat="1">
      <c r="A147" s="175" t="str">
        <f>INPUTS!C25</f>
        <v>Buffalo (dairy)</v>
      </c>
      <c r="B147" s="242">
        <f t="shared" ref="B147:C147" si="138">H130</f>
        <v>1676.2205974500339</v>
      </c>
      <c r="C147" s="242">
        <f t="shared" si="138"/>
        <v>1209.7252424993169</v>
      </c>
      <c r="D147" s="242">
        <f t="shared" ref="D147:E147" si="139">N130</f>
        <v>1346.2167483648254</v>
      </c>
      <c r="E147" s="242">
        <f t="shared" si="139"/>
        <v>971.56208726329385</v>
      </c>
      <c r="F147" s="242">
        <f t="shared" si="120"/>
        <v>1676.2205974500339</v>
      </c>
      <c r="G147" s="242">
        <f t="shared" si="121"/>
        <v>1209.7252424993169</v>
      </c>
      <c r="H147" s="242" t="str">
        <f t="shared" si="122"/>
        <v>ENERGY</v>
      </c>
      <c r="I147" s="242" t="str">
        <f t="shared" si="123"/>
        <v>ENERGY</v>
      </c>
      <c r="J147" s="730">
        <f t="shared" si="110"/>
        <v>0</v>
      </c>
      <c r="K147" s="730">
        <f t="shared" si="124"/>
        <v>0</v>
      </c>
      <c r="L147" s="730">
        <f t="shared" si="125"/>
        <v>53245.700747065515</v>
      </c>
      <c r="N147" s="745">
        <f t="shared" si="126"/>
        <v>2885.9458399493506</v>
      </c>
      <c r="O147" s="229">
        <f t="shared" si="111"/>
        <v>0.68805871200000002</v>
      </c>
      <c r="P147" s="145">
        <f t="shared" si="127"/>
        <v>1985.7001775373083</v>
      </c>
      <c r="Q147" s="229">
        <f t="shared" si="112"/>
        <v>0.99</v>
      </c>
      <c r="R147" s="145">
        <f t="shared" si="128"/>
        <v>2857.0863815498569</v>
      </c>
      <c r="S147" s="229">
        <f t="shared" si="113"/>
        <v>0.47881643835616428</v>
      </c>
      <c r="T147" s="145">
        <f t="shared" si="129"/>
        <v>1381.838308373337</v>
      </c>
      <c r="U147" s="229">
        <f t="shared" si="114"/>
        <v>0.79859999999999998</v>
      </c>
      <c r="V147" s="145">
        <f t="shared" si="130"/>
        <v>2304.7163477835511</v>
      </c>
      <c r="W147" s="229">
        <f t="shared" si="115"/>
        <v>0.3722399999999999</v>
      </c>
      <c r="X147" s="145">
        <f t="shared" si="131"/>
        <v>1074.2644794627461</v>
      </c>
      <c r="Y147" s="229">
        <f t="shared" si="116"/>
        <v>0.32999999999999996</v>
      </c>
      <c r="Z147" s="145">
        <f t="shared" si="132"/>
        <v>952.36212718328557</v>
      </c>
      <c r="AA147" s="229">
        <f t="shared" si="117"/>
        <v>0.37877486360547946</v>
      </c>
      <c r="AB147" s="145">
        <f t="shared" si="133"/>
        <v>1093.1237418996161</v>
      </c>
    </row>
    <row r="148" spans="1:32" s="145" customFormat="1">
      <c r="A148" s="175" t="str">
        <f>INPUTS!C26</f>
        <v>Sheep/Goats - Ewes/Does</v>
      </c>
      <c r="B148" s="242">
        <f t="shared" ref="B148:C148" si="140">H131</f>
        <v>309.08445025607182</v>
      </c>
      <c r="C148" s="242">
        <f t="shared" si="140"/>
        <v>223.06566457159909</v>
      </c>
      <c r="D148" s="242">
        <f t="shared" ref="D148:E148" si="141">N131</f>
        <v>304.40993431011032</v>
      </c>
      <c r="E148" s="242">
        <f t="shared" si="141"/>
        <v>219.69207523324002</v>
      </c>
      <c r="F148" s="242">
        <f t="shared" si="120"/>
        <v>309.08445025607182</v>
      </c>
      <c r="G148" s="242">
        <f t="shared" si="121"/>
        <v>223.06566457159909</v>
      </c>
      <c r="H148" s="242" t="str">
        <f t="shared" si="122"/>
        <v>ENERGY</v>
      </c>
      <c r="I148" s="242" t="str">
        <f t="shared" si="123"/>
        <v>ENERGY</v>
      </c>
      <c r="J148" s="730">
        <f t="shared" si="110"/>
        <v>287390.31162867468</v>
      </c>
      <c r="K148" s="730">
        <f t="shared" si="124"/>
        <v>354802.85386256129</v>
      </c>
      <c r="L148" s="730">
        <f t="shared" si="125"/>
        <v>9818.1696185705277</v>
      </c>
      <c r="N148" s="745">
        <f t="shared" si="126"/>
        <v>532.1501148276709</v>
      </c>
      <c r="O148" s="229">
        <f t="shared" si="111"/>
        <v>9.486870119999999</v>
      </c>
      <c r="P148" s="145">
        <f t="shared" si="127"/>
        <v>5048.4390237131993</v>
      </c>
      <c r="Q148" s="229">
        <f t="shared" si="112"/>
        <v>13.5</v>
      </c>
      <c r="R148" s="145">
        <f t="shared" si="128"/>
        <v>7184.0265501735576</v>
      </c>
      <c r="S148" s="229">
        <f t="shared" si="113"/>
        <v>1.886246575342466</v>
      </c>
      <c r="T148" s="145">
        <f t="shared" si="129"/>
        <v>1003.7663316617943</v>
      </c>
      <c r="U148" s="229">
        <f t="shared" si="114"/>
        <v>10.89</v>
      </c>
      <c r="V148" s="145">
        <f t="shared" si="130"/>
        <v>5795.1147504733362</v>
      </c>
      <c r="W148" s="229">
        <f t="shared" si="115"/>
        <v>5.1820319999999995</v>
      </c>
      <c r="X148" s="145">
        <f t="shared" si="131"/>
        <v>2757.618923840665</v>
      </c>
      <c r="Y148" s="229">
        <f t="shared" si="116"/>
        <v>3</v>
      </c>
      <c r="Z148" s="145">
        <f t="shared" si="132"/>
        <v>1596.4503444830127</v>
      </c>
      <c r="AA148" s="229">
        <f t="shared" si="117"/>
        <v>0.86085196273972586</v>
      </c>
      <c r="AB148" s="145">
        <f t="shared" si="133"/>
        <v>458.10247082157099</v>
      </c>
    </row>
    <row r="149" spans="1:32" s="145" customFormat="1">
      <c r="A149" s="175" t="str">
        <f>INPUTS!C27</f>
        <v>Pigs - lactating/pregnant sows</v>
      </c>
      <c r="B149" s="242">
        <f t="shared" ref="B149:C149" si="142">H132</f>
        <v>840.10687417738734</v>
      </c>
      <c r="C149" s="242">
        <f t="shared" si="142"/>
        <v>606.30354598651093</v>
      </c>
      <c r="D149" s="242">
        <f t="shared" ref="D149:E149" si="143">N132</f>
        <v>109.45900048673782</v>
      </c>
      <c r="E149" s="242">
        <f t="shared" si="143"/>
        <v>78.996354124862677</v>
      </c>
      <c r="F149" s="242">
        <f t="shared" si="120"/>
        <v>840.10687417738734</v>
      </c>
      <c r="G149" s="242">
        <f t="shared" si="121"/>
        <v>606.30354598651093</v>
      </c>
      <c r="H149" s="242" t="str">
        <f t="shared" si="122"/>
        <v>ENERGY</v>
      </c>
      <c r="I149" s="242" t="str">
        <f t="shared" si="123"/>
        <v>ENERGY</v>
      </c>
      <c r="J149" s="730">
        <f t="shared" si="110"/>
        <v>28245.141134855498</v>
      </c>
      <c r="K149" s="730">
        <f t="shared" si="124"/>
        <v>34870.544610932709</v>
      </c>
      <c r="L149" s="730">
        <f t="shared" si="125"/>
        <v>26686.272252023926</v>
      </c>
      <c r="N149" s="745">
        <f t="shared" si="126"/>
        <v>1446.4104201638984</v>
      </c>
      <c r="O149" s="229">
        <f t="shared" si="111"/>
        <v>91</v>
      </c>
      <c r="P149" s="145">
        <f t="shared" si="127"/>
        <v>131623.34823491477</v>
      </c>
      <c r="Q149" s="229">
        <f t="shared" si="112"/>
        <v>90</v>
      </c>
      <c r="R149" s="145">
        <f t="shared" si="128"/>
        <v>130176.93781475085</v>
      </c>
      <c r="S149" s="229">
        <f t="shared" si="113"/>
        <v>26</v>
      </c>
      <c r="T149" s="145">
        <f t="shared" si="129"/>
        <v>37606.670924261358</v>
      </c>
      <c r="U149" s="229">
        <f t="shared" si="114"/>
        <v>90</v>
      </c>
      <c r="V149" s="145">
        <f t="shared" si="130"/>
        <v>130176.93781475085</v>
      </c>
      <c r="W149" s="229">
        <f t="shared" si="115"/>
        <v>91.88</v>
      </c>
      <c r="X149" s="145">
        <f t="shared" si="131"/>
        <v>132896.18940465897</v>
      </c>
      <c r="Y149" s="229">
        <f t="shared" si="116"/>
        <v>60</v>
      </c>
      <c r="Z149" s="145">
        <f t="shared" si="132"/>
        <v>86784.625209833903</v>
      </c>
      <c r="AA149" s="229">
        <f t="shared" si="117"/>
        <v>8.712328767123287</v>
      </c>
      <c r="AB149" s="145">
        <f t="shared" si="133"/>
        <v>12601.603112660812</v>
      </c>
    </row>
    <row r="150" spans="1:32" s="145" customFormat="1">
      <c r="A150" s="175" t="str">
        <f>INPUTS!C28</f>
        <v>Calves</v>
      </c>
      <c r="B150" s="242">
        <f t="shared" ref="B150:C150" si="144">H133</f>
        <v>1035.3313792136905</v>
      </c>
      <c r="C150" s="242">
        <f t="shared" si="144"/>
        <v>747.19670292308797</v>
      </c>
      <c r="D150" s="242">
        <f t="shared" ref="D150:E150" si="145">N133</f>
        <v>598.94077834282984</v>
      </c>
      <c r="E150" s="242">
        <f t="shared" si="145"/>
        <v>432.25442965308008</v>
      </c>
      <c r="F150" s="242">
        <f t="shared" si="120"/>
        <v>1035.3313792136905</v>
      </c>
      <c r="G150" s="242">
        <f t="shared" si="121"/>
        <v>747.19670292308797</v>
      </c>
      <c r="H150" s="242" t="str">
        <f t="shared" si="122"/>
        <v>ENERGY</v>
      </c>
      <c r="I150" s="242" t="str">
        <f t="shared" si="123"/>
        <v>ENERGY</v>
      </c>
      <c r="J150" s="730">
        <f t="shared" si="110"/>
        <v>12563.697844775748</v>
      </c>
      <c r="K150" s="730">
        <f t="shared" si="124"/>
        <v>15510.738079970059</v>
      </c>
      <c r="L150" s="730">
        <f t="shared" si="125"/>
        <v>32887.643115423562</v>
      </c>
      <c r="N150" s="745">
        <f t="shared" si="126"/>
        <v>1782.5280821367785</v>
      </c>
      <c r="O150" s="229">
        <f t="shared" si="111"/>
        <v>0.12195775704942638</v>
      </c>
      <c r="P150" s="145">
        <f t="shared" si="127"/>
        <v>217.39312677501718</v>
      </c>
      <c r="Q150" s="229">
        <f t="shared" si="112"/>
        <v>0</v>
      </c>
      <c r="R150" s="145">
        <f t="shared" si="128"/>
        <v>0</v>
      </c>
      <c r="S150" s="229">
        <f t="shared" si="113"/>
        <v>0.25785354347593009</v>
      </c>
      <c r="T150" s="145">
        <f t="shared" si="129"/>
        <v>459.63118232432208</v>
      </c>
      <c r="U150" s="229">
        <f t="shared" si="114"/>
        <v>0</v>
      </c>
      <c r="V150" s="145">
        <f t="shared" si="130"/>
        <v>0</v>
      </c>
      <c r="W150" s="229">
        <f t="shared" si="115"/>
        <v>0.24627425753189663</v>
      </c>
      <c r="X150" s="145">
        <f t="shared" si="131"/>
        <v>438.99077995799081</v>
      </c>
      <c r="Y150" s="229">
        <f t="shared" si="116"/>
        <v>0.24123512383403023</v>
      </c>
      <c r="Z150" s="145">
        <f t="shared" si="132"/>
        <v>430.00838263190218</v>
      </c>
      <c r="AA150" s="229">
        <f t="shared" si="117"/>
        <v>7.7063055997391577E-2</v>
      </c>
      <c r="AB150" s="145">
        <f t="shared" si="133"/>
        <v>137.36706141062956</v>
      </c>
    </row>
    <row r="151" spans="1:32" s="145" customFormat="1">
      <c r="A151" s="175" t="str">
        <f>INPUTS!C29</f>
        <v>Cows (high productive)</v>
      </c>
      <c r="B151" s="242">
        <f t="shared" ref="B151:C151" si="146">H134</f>
        <v>3998.3527869243171</v>
      </c>
      <c r="C151" s="242">
        <f t="shared" si="146"/>
        <v>2885.6036622614174</v>
      </c>
      <c r="D151" s="242">
        <f t="shared" ref="D151:E151" si="147">N134</f>
        <v>3656.9378247155173</v>
      </c>
      <c r="E151" s="242">
        <f t="shared" si="147"/>
        <v>2639.2051282145007</v>
      </c>
      <c r="F151" s="242">
        <f t="shared" si="120"/>
        <v>3998.3527869243171</v>
      </c>
      <c r="G151" s="242">
        <f t="shared" si="121"/>
        <v>2885.6036622614174</v>
      </c>
      <c r="H151" s="242" t="str">
        <f t="shared" si="122"/>
        <v>ENERGY</v>
      </c>
      <c r="I151" s="242" t="str">
        <f t="shared" si="123"/>
        <v>ENERGY</v>
      </c>
      <c r="J151" s="730">
        <f t="shared" si="110"/>
        <v>0</v>
      </c>
      <c r="K151" s="730">
        <f t="shared" si="124"/>
        <v>0</v>
      </c>
      <c r="L151" s="730">
        <f t="shared" si="125"/>
        <v>127008.99648747679</v>
      </c>
      <c r="N151" s="745">
        <f t="shared" si="126"/>
        <v>6883.9564491857345</v>
      </c>
      <c r="O151" s="229">
        <f t="shared" si="111"/>
        <v>0</v>
      </c>
      <c r="P151" s="145">
        <f t="shared" si="127"/>
        <v>0</v>
      </c>
      <c r="Q151" s="229">
        <f t="shared" si="112"/>
        <v>0</v>
      </c>
      <c r="R151" s="145">
        <f t="shared" si="128"/>
        <v>0</v>
      </c>
      <c r="S151" s="229">
        <f t="shared" si="113"/>
        <v>0</v>
      </c>
      <c r="T151" s="145">
        <f t="shared" si="129"/>
        <v>0</v>
      </c>
      <c r="U151" s="229">
        <f t="shared" si="114"/>
        <v>0</v>
      </c>
      <c r="V151" s="145">
        <f t="shared" si="130"/>
        <v>0</v>
      </c>
      <c r="W151" s="229">
        <f t="shared" si="115"/>
        <v>0</v>
      </c>
      <c r="X151" s="145">
        <f t="shared" si="131"/>
        <v>0</v>
      </c>
      <c r="Y151" s="229">
        <f t="shared" si="116"/>
        <v>0</v>
      </c>
      <c r="Z151" s="145">
        <f t="shared" si="132"/>
        <v>0</v>
      </c>
      <c r="AA151" s="229">
        <f t="shared" si="117"/>
        <v>0</v>
      </c>
      <c r="AB151" s="145">
        <f t="shared" si="133"/>
        <v>0</v>
      </c>
    </row>
    <row r="152" spans="1:32" s="145" customFormat="1">
      <c r="A152" s="175">
        <f>INPUTS!C30</f>
        <v>0</v>
      </c>
      <c r="B152" s="242">
        <f t="shared" ref="B152:C152" si="148">H135</f>
        <v>0</v>
      </c>
      <c r="C152" s="242">
        <f t="shared" si="148"/>
        <v>0</v>
      </c>
      <c r="D152" s="242">
        <f t="shared" ref="D152:E152" si="149">N135</f>
        <v>0</v>
      </c>
      <c r="E152" s="242">
        <f t="shared" si="149"/>
        <v>0</v>
      </c>
      <c r="F152" s="242">
        <f t="shared" si="120"/>
        <v>0</v>
      </c>
      <c r="G152" s="242">
        <f t="shared" si="121"/>
        <v>0</v>
      </c>
      <c r="H152" s="242" t="str">
        <f t="shared" si="122"/>
        <v/>
      </c>
      <c r="I152" s="242" t="str">
        <f t="shared" si="123"/>
        <v/>
      </c>
      <c r="J152" s="730">
        <f t="shared" si="110"/>
        <v>0</v>
      </c>
      <c r="K152" s="730">
        <f t="shared" si="124"/>
        <v>0</v>
      </c>
      <c r="L152" s="730">
        <f t="shared" si="125"/>
        <v>0</v>
      </c>
      <c r="N152" s="745">
        <f t="shared" si="126"/>
        <v>0</v>
      </c>
      <c r="O152" s="229">
        <f t="shared" si="111"/>
        <v>0.05</v>
      </c>
      <c r="P152" s="145">
        <f t="shared" si="127"/>
        <v>0</v>
      </c>
      <c r="Q152" s="229">
        <f t="shared" si="112"/>
        <v>0</v>
      </c>
      <c r="R152" s="145">
        <f t="shared" si="128"/>
        <v>0</v>
      </c>
      <c r="S152" s="229">
        <f t="shared" si="113"/>
        <v>0.37</v>
      </c>
      <c r="T152" s="145">
        <f t="shared" si="129"/>
        <v>0</v>
      </c>
      <c r="U152" s="229">
        <f t="shared" si="114"/>
        <v>0</v>
      </c>
      <c r="V152" s="145">
        <f t="shared" si="130"/>
        <v>0</v>
      </c>
      <c r="W152" s="229">
        <f t="shared" si="115"/>
        <v>0.1</v>
      </c>
      <c r="X152" s="145">
        <f t="shared" si="131"/>
        <v>0</v>
      </c>
      <c r="Y152" s="229">
        <f t="shared" si="116"/>
        <v>0.15</v>
      </c>
      <c r="Z152" s="145">
        <f t="shared" si="132"/>
        <v>0</v>
      </c>
      <c r="AA152" s="229">
        <f t="shared" si="117"/>
        <v>0.19167123287671231</v>
      </c>
      <c r="AB152" s="145">
        <f t="shared" si="133"/>
        <v>0</v>
      </c>
    </row>
    <row r="153" spans="1:32" s="145" customFormat="1">
      <c r="A153" s="175">
        <f>INPUTS!C31</f>
        <v>0</v>
      </c>
      <c r="B153" s="242">
        <f t="shared" ref="B153:C153" si="150">H136</f>
        <v>0</v>
      </c>
      <c r="C153" s="242">
        <f t="shared" si="150"/>
        <v>0</v>
      </c>
      <c r="D153" s="242">
        <f t="shared" ref="D153:E153" si="151">N136</f>
        <v>0</v>
      </c>
      <c r="E153" s="242">
        <f t="shared" si="151"/>
        <v>0</v>
      </c>
      <c r="F153" s="242">
        <f t="shared" si="120"/>
        <v>0</v>
      </c>
      <c r="G153" s="242">
        <f t="shared" si="121"/>
        <v>0</v>
      </c>
      <c r="H153" s="242" t="str">
        <f t="shared" si="122"/>
        <v/>
      </c>
      <c r="I153" s="242" t="str">
        <f t="shared" si="123"/>
        <v/>
      </c>
      <c r="J153" s="730">
        <f t="shared" si="110"/>
        <v>0</v>
      </c>
      <c r="K153" s="730">
        <f t="shared" si="124"/>
        <v>0</v>
      </c>
      <c r="L153" s="730">
        <f t="shared" si="125"/>
        <v>0</v>
      </c>
      <c r="N153" s="745">
        <f t="shared" si="126"/>
        <v>0</v>
      </c>
      <c r="O153" s="229">
        <f t="shared" si="111"/>
        <v>12.739999999999998</v>
      </c>
      <c r="P153" s="145">
        <f t="shared" si="127"/>
        <v>0</v>
      </c>
      <c r="Q153" s="229">
        <f t="shared" si="112"/>
        <v>8.1</v>
      </c>
      <c r="R153" s="145">
        <f t="shared" si="128"/>
        <v>0</v>
      </c>
      <c r="S153" s="229">
        <f t="shared" si="113"/>
        <v>1.8862465753424655</v>
      </c>
      <c r="T153" s="145">
        <f t="shared" si="129"/>
        <v>0</v>
      </c>
      <c r="U153" s="229">
        <f t="shared" si="114"/>
        <v>14.4</v>
      </c>
      <c r="V153" s="145">
        <f t="shared" si="130"/>
        <v>0</v>
      </c>
      <c r="W153" s="229">
        <f t="shared" si="115"/>
        <v>3.5373800000000002</v>
      </c>
      <c r="X153" s="145">
        <f t="shared" si="131"/>
        <v>0</v>
      </c>
      <c r="Y153" s="229">
        <f t="shared" si="116"/>
        <v>3.6</v>
      </c>
      <c r="Z153" s="145">
        <f t="shared" si="132"/>
        <v>0</v>
      </c>
      <c r="AA153" s="229">
        <f t="shared" si="117"/>
        <v>0.95835616438356153</v>
      </c>
      <c r="AB153" s="145">
        <f t="shared" si="133"/>
        <v>0</v>
      </c>
    </row>
    <row r="154" spans="1:32" s="145" customFormat="1">
      <c r="A154" s="175">
        <f>INPUTS!C32</f>
        <v>0</v>
      </c>
      <c r="B154" s="242">
        <f t="shared" ref="B154:C154" si="152">H137</f>
        <v>0</v>
      </c>
      <c r="C154" s="242">
        <f t="shared" si="152"/>
        <v>0</v>
      </c>
      <c r="D154" s="242">
        <f t="shared" ref="D154:E154" si="153">N137</f>
        <v>0</v>
      </c>
      <c r="E154" s="242">
        <f t="shared" si="153"/>
        <v>0</v>
      </c>
      <c r="F154" s="242">
        <f t="shared" si="120"/>
        <v>0</v>
      </c>
      <c r="G154" s="242">
        <f t="shared" si="121"/>
        <v>0</v>
      </c>
      <c r="H154" s="242" t="str">
        <f t="shared" si="122"/>
        <v/>
      </c>
      <c r="I154" s="242" t="str">
        <f t="shared" si="123"/>
        <v/>
      </c>
      <c r="J154" s="730">
        <f t="shared" si="110"/>
        <v>0</v>
      </c>
      <c r="K154" s="730">
        <f t="shared" si="124"/>
        <v>0</v>
      </c>
      <c r="L154" s="730">
        <f t="shared" si="125"/>
        <v>0</v>
      </c>
      <c r="N154" s="745">
        <f t="shared" si="126"/>
        <v>0</v>
      </c>
      <c r="O154" s="229">
        <f t="shared" si="111"/>
        <v>0.68805871200000002</v>
      </c>
      <c r="P154" s="145">
        <f t="shared" si="127"/>
        <v>0</v>
      </c>
      <c r="Q154" s="229">
        <f t="shared" si="112"/>
        <v>0.99</v>
      </c>
      <c r="R154" s="145">
        <f t="shared" si="128"/>
        <v>0</v>
      </c>
      <c r="S154" s="229">
        <f t="shared" si="113"/>
        <v>0.47881643835616428</v>
      </c>
      <c r="T154" s="145">
        <f t="shared" si="129"/>
        <v>0</v>
      </c>
      <c r="U154" s="229">
        <f t="shared" si="114"/>
        <v>0.79859999999999998</v>
      </c>
      <c r="V154" s="145">
        <f t="shared" si="130"/>
        <v>0</v>
      </c>
      <c r="W154" s="229">
        <f t="shared" si="115"/>
        <v>0.3722399999999999</v>
      </c>
      <c r="X154" s="145">
        <f t="shared" si="131"/>
        <v>0</v>
      </c>
      <c r="Y154" s="229">
        <f t="shared" si="116"/>
        <v>0.32999999999999996</v>
      </c>
      <c r="Z154" s="145">
        <f t="shared" si="132"/>
        <v>0</v>
      </c>
      <c r="AA154" s="229">
        <f t="shared" si="117"/>
        <v>0.37877486360547946</v>
      </c>
      <c r="AB154" s="145">
        <f t="shared" si="133"/>
        <v>0</v>
      </c>
    </row>
    <row r="155" spans="1:32" s="145" customFormat="1">
      <c r="A155" s="175">
        <f>INPUTS!C33</f>
        <v>0</v>
      </c>
      <c r="B155" s="242">
        <f t="shared" ref="B155:C155" si="154">H138</f>
        <v>0</v>
      </c>
      <c r="C155" s="242">
        <f t="shared" si="154"/>
        <v>0</v>
      </c>
      <c r="D155" s="242">
        <f t="shared" ref="D155:E155" si="155">N138</f>
        <v>0</v>
      </c>
      <c r="E155" s="242">
        <f t="shared" si="155"/>
        <v>0</v>
      </c>
      <c r="F155" s="242">
        <f t="shared" si="120"/>
        <v>0</v>
      </c>
      <c r="G155" s="242">
        <f t="shared" si="121"/>
        <v>0</v>
      </c>
      <c r="H155" s="242" t="str">
        <f t="shared" si="122"/>
        <v/>
      </c>
      <c r="I155" s="242" t="str">
        <f t="shared" si="123"/>
        <v/>
      </c>
      <c r="J155" s="730">
        <f t="shared" si="110"/>
        <v>0</v>
      </c>
      <c r="K155" s="730">
        <f t="shared" si="124"/>
        <v>0</v>
      </c>
      <c r="L155" s="730">
        <f t="shared" si="125"/>
        <v>0</v>
      </c>
      <c r="N155" s="745">
        <f t="shared" si="126"/>
        <v>0</v>
      </c>
      <c r="O155" s="229">
        <f t="shared" si="111"/>
        <v>9.486870119999999</v>
      </c>
      <c r="P155" s="145">
        <f t="shared" si="127"/>
        <v>0</v>
      </c>
      <c r="Q155" s="229">
        <f t="shared" si="112"/>
        <v>13.5</v>
      </c>
      <c r="R155" s="145">
        <f t="shared" si="128"/>
        <v>0</v>
      </c>
      <c r="S155" s="229">
        <f t="shared" si="113"/>
        <v>1.886246575342466</v>
      </c>
      <c r="T155" s="145">
        <f t="shared" si="129"/>
        <v>0</v>
      </c>
      <c r="U155" s="229">
        <f t="shared" si="114"/>
        <v>10.89</v>
      </c>
      <c r="V155" s="145">
        <f t="shared" si="130"/>
        <v>0</v>
      </c>
      <c r="W155" s="229">
        <f t="shared" si="115"/>
        <v>5.1820319999999995</v>
      </c>
      <c r="X155" s="145">
        <f t="shared" si="131"/>
        <v>0</v>
      </c>
      <c r="Y155" s="229">
        <f t="shared" si="116"/>
        <v>3</v>
      </c>
      <c r="Z155" s="145">
        <f t="shared" si="132"/>
        <v>0</v>
      </c>
      <c r="AA155" s="229">
        <f t="shared" si="117"/>
        <v>0.86085196273972586</v>
      </c>
      <c r="AB155" s="145">
        <f t="shared" si="133"/>
        <v>0</v>
      </c>
    </row>
    <row r="156" spans="1:32" s="145" customFormat="1">
      <c r="A156" s="175">
        <f>INPUTS!C34</f>
        <v>0</v>
      </c>
      <c r="B156" s="242">
        <f t="shared" ref="B156:C156" si="156">H139</f>
        <v>0</v>
      </c>
      <c r="C156" s="242">
        <f t="shared" si="156"/>
        <v>0</v>
      </c>
      <c r="D156" s="242">
        <f t="shared" ref="D156:E156" si="157">N139</f>
        <v>0</v>
      </c>
      <c r="E156" s="242">
        <f t="shared" si="157"/>
        <v>0</v>
      </c>
      <c r="F156" s="242">
        <f t="shared" si="120"/>
        <v>0</v>
      </c>
      <c r="G156" s="242">
        <f t="shared" si="121"/>
        <v>0</v>
      </c>
      <c r="H156" s="242" t="str">
        <f t="shared" si="122"/>
        <v/>
      </c>
      <c r="I156" s="242" t="str">
        <f t="shared" si="123"/>
        <v/>
      </c>
      <c r="J156" s="730">
        <f t="shared" si="110"/>
        <v>0</v>
      </c>
      <c r="K156" s="730">
        <f t="shared" si="124"/>
        <v>0</v>
      </c>
      <c r="L156" s="730">
        <f t="shared" si="125"/>
        <v>0</v>
      </c>
      <c r="N156" s="745">
        <f t="shared" si="126"/>
        <v>0</v>
      </c>
      <c r="O156" s="229">
        <f t="shared" si="111"/>
        <v>91</v>
      </c>
      <c r="P156" s="145">
        <f t="shared" si="127"/>
        <v>0</v>
      </c>
      <c r="Q156" s="229">
        <f t="shared" si="112"/>
        <v>90</v>
      </c>
      <c r="R156" s="145">
        <f t="shared" si="128"/>
        <v>0</v>
      </c>
      <c r="S156" s="229">
        <f t="shared" si="113"/>
        <v>26</v>
      </c>
      <c r="T156" s="145">
        <f t="shared" si="129"/>
        <v>0</v>
      </c>
      <c r="U156" s="229">
        <f t="shared" si="114"/>
        <v>90</v>
      </c>
      <c r="V156" s="145">
        <f t="shared" si="130"/>
        <v>0</v>
      </c>
      <c r="W156" s="229">
        <f t="shared" si="115"/>
        <v>91.88</v>
      </c>
      <c r="X156" s="145">
        <f t="shared" si="131"/>
        <v>0</v>
      </c>
      <c r="Y156" s="229">
        <f t="shared" si="116"/>
        <v>60</v>
      </c>
      <c r="Z156" s="145">
        <f t="shared" si="132"/>
        <v>0</v>
      </c>
      <c r="AA156" s="229">
        <f t="shared" si="117"/>
        <v>8.712328767123287</v>
      </c>
      <c r="AB156" s="145">
        <f t="shared" si="133"/>
        <v>0</v>
      </c>
    </row>
    <row r="157" spans="1:32" s="145" customFormat="1">
      <c r="D157" s="520"/>
      <c r="K157" s="729">
        <f>SUM(K143:K156)</f>
        <v>426462.82222192228</v>
      </c>
      <c r="N157" s="729">
        <f>SUM(N143:N156)</f>
        <v>22045.475314957832</v>
      </c>
      <c r="O157" s="229"/>
      <c r="S157" s="230"/>
      <c r="V157" s="559"/>
      <c r="AB157" s="228"/>
    </row>
    <row r="158" spans="1:32" s="145" customFormat="1">
      <c r="O158" s="229"/>
      <c r="S158" s="230"/>
      <c r="V158" s="559"/>
      <c r="AB158" s="228"/>
    </row>
    <row r="159" spans="1:32" s="145" customFormat="1">
      <c r="A159" s="351" t="s">
        <v>1154</v>
      </c>
      <c r="B159" s="351"/>
      <c r="C159" s="351"/>
      <c r="D159" s="351"/>
      <c r="E159" s="351"/>
      <c r="F159" s="351"/>
      <c r="G159" s="351"/>
      <c r="H159" s="351"/>
      <c r="I159" s="351"/>
      <c r="J159" s="351"/>
      <c r="K159" s="351"/>
      <c r="L159" s="351"/>
      <c r="M159" s="351"/>
      <c r="N159" s="351"/>
      <c r="O159" s="351"/>
      <c r="P159" s="351"/>
      <c r="Q159" s="351"/>
      <c r="R159" s="351"/>
      <c r="S159" s="351"/>
      <c r="T159" s="351"/>
      <c r="U159" s="351"/>
      <c r="V159" s="563"/>
      <c r="W159" s="351"/>
      <c r="X159" s="351"/>
      <c r="Y159" s="351"/>
      <c r="Z159" s="351"/>
      <c r="AA159" s="351"/>
      <c r="AB159" s="351"/>
      <c r="AC159" s="351"/>
      <c r="AD159" s="351"/>
      <c r="AE159" s="351"/>
      <c r="AF159" s="351"/>
    </row>
    <row r="160" spans="1:32" s="145" customFormat="1" ht="141.75">
      <c r="A160" s="13"/>
      <c r="B160" s="485" t="s">
        <v>999</v>
      </c>
      <c r="C160" s="485" t="s">
        <v>1000</v>
      </c>
      <c r="D160" s="485" t="s">
        <v>1166</v>
      </c>
      <c r="E160" s="485" t="s">
        <v>1562</v>
      </c>
      <c r="F160" s="718" t="s">
        <v>1294</v>
      </c>
      <c r="G160" s="718" t="s">
        <v>1295</v>
      </c>
      <c r="H160" s="718" t="s">
        <v>1296</v>
      </c>
      <c r="I160" s="718" t="s">
        <v>1297</v>
      </c>
      <c r="J160" s="718" t="s">
        <v>1298</v>
      </c>
      <c r="K160" s="718" t="s">
        <v>1561</v>
      </c>
      <c r="L160" s="718" t="s">
        <v>1299</v>
      </c>
      <c r="M160" s="718" t="s">
        <v>1300</v>
      </c>
      <c r="N160" s="486" t="s">
        <v>1563</v>
      </c>
      <c r="O160" s="153" t="s">
        <v>1301</v>
      </c>
      <c r="P160" s="486" t="s">
        <v>1302</v>
      </c>
      <c r="Q160" s="153" t="s">
        <v>1303</v>
      </c>
      <c r="R160" s="486" t="s">
        <v>1564</v>
      </c>
      <c r="S160" s="153" t="s">
        <v>1304</v>
      </c>
      <c r="U160" s="559"/>
    </row>
    <row r="161" spans="1:28" s="145" customFormat="1">
      <c r="A161" s="13" t="str">
        <f>INPUTS!C21</f>
        <v>Cows (local)</v>
      </c>
      <c r="B161" s="633">
        <f>MAX(B143,D143)</f>
        <v>1420.3380179199035</v>
      </c>
      <c r="C161" s="633">
        <f>MAX(C143,E143)</f>
        <v>1025.0552676497418</v>
      </c>
      <c r="D161" s="640">
        <f t="shared" ref="D161" si="158">IF(B161+C161 = 0, 0, IFERROR(((B161+C161)/365)*0.365,""))</f>
        <v>2.4453932855696454</v>
      </c>
      <c r="E161" s="489">
        <f>IFERROR(D161*365,"")</f>
        <v>892.56854923292053</v>
      </c>
      <c r="F161" s="719">
        <f>INPUTS!H21</f>
        <v>0.85</v>
      </c>
      <c r="G161" s="719">
        <f>INPUTS!I21</f>
        <v>0</v>
      </c>
      <c r="H161" s="719">
        <f>INPUTS!J21</f>
        <v>0.15</v>
      </c>
      <c r="I161" s="719">
        <f>INPUTS!K21</f>
        <v>0</v>
      </c>
      <c r="J161" s="719">
        <f>INPUTS!M21</f>
        <v>0.9</v>
      </c>
      <c r="K161" s="719">
        <f>INPUTS!N21</f>
        <v>0.9</v>
      </c>
      <c r="L161" s="719">
        <f>INPUTS!O21</f>
        <v>0</v>
      </c>
      <c r="M161" s="719">
        <f>INPUTS!Q21</f>
        <v>0.9</v>
      </c>
      <c r="N161" s="720">
        <f>E161*H161 - E161*H161*L161</f>
        <v>133.88528238493808</v>
      </c>
      <c r="O161" s="721">
        <f>N161*'Livestock parameters'!AD2</f>
        <v>3.8826731891632047</v>
      </c>
      <c r="P161" s="720">
        <f>E161*(F161*J161+G161*K161+H161*L161)*M161</f>
        <v>614.5334461468658</v>
      </c>
      <c r="Q161" s="721">
        <f>P161*'Livestock parameters'!AD2</f>
        <v>17.82146993825911</v>
      </c>
      <c r="R161" s="720">
        <f>O161+Q161</f>
        <v>21.704143127422313</v>
      </c>
      <c r="S161" s="721"/>
      <c r="U161" s="559"/>
    </row>
    <row r="162" spans="1:28" s="145" customFormat="1">
      <c r="A162" s="13" t="str">
        <f>INPUTS!C22</f>
        <v>Cows (improved)</v>
      </c>
      <c r="B162" s="633">
        <f t="shared" ref="B162:C162" si="159">MAX(B144,D144)</f>
        <v>1695.6450057368359</v>
      </c>
      <c r="C162" s="633">
        <f t="shared" si="159"/>
        <v>1223.7438013100752</v>
      </c>
      <c r="D162" s="640">
        <f t="shared" ref="D162:D174" si="160">IF(B162+C162 = 0, 0, IFERROR(((B162+C162)/365)*0.365,""))</f>
        <v>2.9193888070469112</v>
      </c>
      <c r="E162" s="489">
        <f t="shared" ref="E162:E174" si="161">IFERROR(D162*365,"")</f>
        <v>1065.5769145721226</v>
      </c>
      <c r="F162" s="719">
        <f>INPUTS!H22</f>
        <v>0.85</v>
      </c>
      <c r="G162" s="719">
        <f>INPUTS!I22</f>
        <v>0</v>
      </c>
      <c r="H162" s="719">
        <f>INPUTS!J22</f>
        <v>0.15</v>
      </c>
      <c r="I162" s="719">
        <f>INPUTS!K22</f>
        <v>0</v>
      </c>
      <c r="J162" s="719">
        <f>INPUTS!M22</f>
        <v>0.9</v>
      </c>
      <c r="K162" s="719">
        <f>INPUTS!N22</f>
        <v>0</v>
      </c>
      <c r="L162" s="719">
        <f>INPUTS!O22</f>
        <v>0</v>
      </c>
      <c r="M162" s="719">
        <f>INPUTS!Q22</f>
        <v>0.9</v>
      </c>
      <c r="N162" s="720">
        <f t="shared" ref="N162:N169" si="162">E162*H162 - E162*H162*L162</f>
        <v>159.8365371858184</v>
      </c>
      <c r="O162" s="721">
        <f>N162*'Livestock parameters'!AD3</f>
        <v>4.6352595783887338</v>
      </c>
      <c r="P162" s="720">
        <f t="shared" ref="P162:P169" si="163">E162*(F162*J162+G162*K162+H162*L162)*M162</f>
        <v>733.64970568290641</v>
      </c>
      <c r="Q162" s="721">
        <f>P162*'Livestock parameters'!AD3</f>
        <v>21.275841464804287</v>
      </c>
      <c r="R162" s="720">
        <f t="shared" ref="R162:R169" si="164">O162+Q162</f>
        <v>25.911101043193021</v>
      </c>
      <c r="S162" s="721"/>
      <c r="U162" s="559"/>
    </row>
    <row r="163" spans="1:28" s="145" customFormat="1">
      <c r="A163" s="13" t="str">
        <f>INPUTS!C23</f>
        <v>Adult cattle - male</v>
      </c>
      <c r="B163" s="633">
        <f t="shared" ref="B163:C163" si="165">MAX(B145,D145)</f>
        <v>1465.4606347747388</v>
      </c>
      <c r="C163" s="633">
        <f t="shared" si="165"/>
        <v>1057.6201750968635</v>
      </c>
      <c r="D163" s="640">
        <f t="shared" si="160"/>
        <v>2.5230808098716024</v>
      </c>
      <c r="E163" s="489">
        <f t="shared" si="161"/>
        <v>920.92449560313491</v>
      </c>
      <c r="F163" s="719">
        <f>INPUTS!H23</f>
        <v>1</v>
      </c>
      <c r="G163" s="719">
        <f>INPUTS!I23</f>
        <v>0</v>
      </c>
      <c r="H163" s="719">
        <f>INPUTS!J23</f>
        <v>0.15</v>
      </c>
      <c r="I163" s="719">
        <f>INPUTS!K23</f>
        <v>0</v>
      </c>
      <c r="J163" s="719">
        <f>INPUTS!M23</f>
        <v>0.9</v>
      </c>
      <c r="K163" s="719">
        <f>INPUTS!N23</f>
        <v>0</v>
      </c>
      <c r="L163" s="719">
        <f>INPUTS!O23</f>
        <v>0</v>
      </c>
      <c r="M163" s="719">
        <f>INPUTS!Q23</f>
        <v>0.9</v>
      </c>
      <c r="N163" s="720">
        <f t="shared" si="162"/>
        <v>138.13867434047023</v>
      </c>
      <c r="O163" s="721">
        <f>N163*'Livestock parameters'!AD4</f>
        <v>4.0060215558736365</v>
      </c>
      <c r="P163" s="720">
        <f t="shared" si="163"/>
        <v>745.94884143853926</v>
      </c>
      <c r="Q163" s="721">
        <f>P163*'Livestock parameters'!AD4</f>
        <v>21.632516401717641</v>
      </c>
      <c r="R163" s="720">
        <f t="shared" si="164"/>
        <v>25.638537957591279</v>
      </c>
      <c r="S163" s="721"/>
      <c r="U163" s="559"/>
    </row>
    <row r="164" spans="1:28" s="145" customFormat="1">
      <c r="A164" s="13" t="str">
        <f>INPUTS!C24</f>
        <v>Calves</v>
      </c>
      <c r="B164" s="633">
        <f t="shared" ref="B164:C164" si="166">MAX(B146,D146)</f>
        <v>363.95550497458419</v>
      </c>
      <c r="C164" s="633">
        <f t="shared" si="166"/>
        <v>262.66600123165745</v>
      </c>
      <c r="D164" s="640">
        <f t="shared" si="160"/>
        <v>0.62662150620624157</v>
      </c>
      <c r="E164" s="489">
        <f t="shared" si="161"/>
        <v>228.71684976527817</v>
      </c>
      <c r="F164" s="719">
        <f>INPUTS!H24</f>
        <v>0.85</v>
      </c>
      <c r="G164" s="719">
        <f>INPUTS!I24</f>
        <v>0</v>
      </c>
      <c r="H164" s="719">
        <f>INPUTS!J24</f>
        <v>0.15</v>
      </c>
      <c r="I164" s="719">
        <f>INPUTS!K24</f>
        <v>0</v>
      </c>
      <c r="J164" s="719">
        <f>INPUTS!M24</f>
        <v>0.9</v>
      </c>
      <c r="K164" s="719">
        <f>INPUTS!N24</f>
        <v>0.9</v>
      </c>
      <c r="L164" s="719">
        <f>INPUTS!O24</f>
        <v>0</v>
      </c>
      <c r="M164" s="719">
        <f>INPUTS!Q24</f>
        <v>0.9</v>
      </c>
      <c r="N164" s="720">
        <f t="shared" si="162"/>
        <v>34.307527464791725</v>
      </c>
      <c r="O164" s="721">
        <f>N164*'Livestock parameters'!AD5</f>
        <v>0.99491829647896013</v>
      </c>
      <c r="P164" s="720">
        <f t="shared" si="163"/>
        <v>157.47155106339403</v>
      </c>
      <c r="Q164" s="721">
        <f>P164*'Livestock parameters'!AD5</f>
        <v>4.5666749808384273</v>
      </c>
      <c r="R164" s="720">
        <f t="shared" si="164"/>
        <v>5.5615932773173871</v>
      </c>
      <c r="S164" s="721"/>
      <c r="U164" s="559"/>
    </row>
    <row r="165" spans="1:28" s="145" customFormat="1">
      <c r="A165" s="13" t="str">
        <f>INPUTS!C25</f>
        <v>Buffalo (dairy)</v>
      </c>
      <c r="B165" s="633">
        <f t="shared" ref="B165:C165" si="167">MAX(B147,D147)</f>
        <v>1676.2205974500339</v>
      </c>
      <c r="C165" s="633">
        <f t="shared" si="167"/>
        <v>1209.7252424993169</v>
      </c>
      <c r="D165" s="640">
        <f t="shared" si="160"/>
        <v>2.8859458399493505</v>
      </c>
      <c r="E165" s="489">
        <f t="shared" si="161"/>
        <v>1053.3702315815128</v>
      </c>
      <c r="F165" s="719">
        <f>INPUTS!H25</f>
        <v>0.85</v>
      </c>
      <c r="G165" s="719">
        <f>INPUTS!I25</f>
        <v>0</v>
      </c>
      <c r="H165" s="719">
        <f>INPUTS!J25</f>
        <v>0.15</v>
      </c>
      <c r="I165" s="719">
        <f>INPUTS!K25</f>
        <v>0</v>
      </c>
      <c r="J165" s="719">
        <f>INPUTS!M25</f>
        <v>0.9</v>
      </c>
      <c r="K165" s="719">
        <f>INPUTS!N25</f>
        <v>0.9</v>
      </c>
      <c r="L165" s="719">
        <f>INPUTS!O25</f>
        <v>0</v>
      </c>
      <c r="M165" s="719">
        <f>INPUTS!Q25</f>
        <v>0.9</v>
      </c>
      <c r="N165" s="720">
        <f t="shared" si="162"/>
        <v>158.00553473722692</v>
      </c>
      <c r="O165" s="721">
        <f>N165*'Livestock parameters'!AD6</f>
        <v>4.582160507379581</v>
      </c>
      <c r="P165" s="720">
        <f t="shared" si="163"/>
        <v>725.24540444387162</v>
      </c>
      <c r="Q165" s="721">
        <f>P165*'Livestock parameters'!AD6</f>
        <v>21.032116728872278</v>
      </c>
      <c r="R165" s="720">
        <f t="shared" si="164"/>
        <v>25.614277236251858</v>
      </c>
      <c r="S165" s="721"/>
      <c r="U165" s="559"/>
    </row>
    <row r="166" spans="1:28" s="145" customFormat="1">
      <c r="A166" s="13" t="str">
        <f>INPUTS!C26</f>
        <v>Sheep/Goats - Ewes/Does</v>
      </c>
      <c r="B166" s="633">
        <f t="shared" ref="B166:C166" si="168">MAX(B148,D148)</f>
        <v>309.08445025607182</v>
      </c>
      <c r="C166" s="633">
        <f t="shared" si="168"/>
        <v>223.06566457159909</v>
      </c>
      <c r="D166" s="640">
        <f t="shared" si="160"/>
        <v>0.53215011482767094</v>
      </c>
      <c r="E166" s="489">
        <f t="shared" si="161"/>
        <v>194.23479191209989</v>
      </c>
      <c r="F166" s="719">
        <f>INPUTS!H26</f>
        <v>0.85</v>
      </c>
      <c r="G166" s="719">
        <f>INPUTS!I26</f>
        <v>0</v>
      </c>
      <c r="H166" s="719">
        <f>INPUTS!J26</f>
        <v>0.15</v>
      </c>
      <c r="I166" s="719">
        <f>INPUTS!K26</f>
        <v>0</v>
      </c>
      <c r="J166" s="719">
        <f>INPUTS!M26</f>
        <v>0.9</v>
      </c>
      <c r="K166" s="719">
        <f>INPUTS!N26</f>
        <v>0.9</v>
      </c>
      <c r="L166" s="719">
        <f>INPUTS!O26</f>
        <v>0</v>
      </c>
      <c r="M166" s="719">
        <f>INPUTS!Q26</f>
        <v>0.9</v>
      </c>
      <c r="N166" s="720">
        <f t="shared" si="162"/>
        <v>29.135218786814981</v>
      </c>
      <c r="O166" s="721">
        <f>N166*'Livestock parameters'!AD7</f>
        <v>0.78665090724400444</v>
      </c>
      <c r="P166" s="720">
        <f t="shared" si="163"/>
        <v>133.73065423148077</v>
      </c>
      <c r="Q166" s="721">
        <f>P166*'Livestock parameters'!AD7</f>
        <v>3.6107276642499806</v>
      </c>
      <c r="R166" s="720">
        <f t="shared" si="164"/>
        <v>4.3973785714939853</v>
      </c>
      <c r="S166" s="721"/>
      <c r="U166" s="559"/>
    </row>
    <row r="167" spans="1:28" s="145" customFormat="1">
      <c r="A167" s="13" t="str">
        <f>INPUTS!C27</f>
        <v>Pigs - lactating/pregnant sows</v>
      </c>
      <c r="B167" s="633">
        <f t="shared" ref="B167:C167" si="169">MAX(B149,D149)</f>
        <v>840.10687417738734</v>
      </c>
      <c r="C167" s="633">
        <f t="shared" si="169"/>
        <v>606.30354598651093</v>
      </c>
      <c r="D167" s="640">
        <f t="shared" si="160"/>
        <v>1.4464104201638983</v>
      </c>
      <c r="E167" s="489">
        <f t="shared" si="161"/>
        <v>527.93980335982292</v>
      </c>
      <c r="F167" s="719">
        <f>INPUTS!H27</f>
        <v>0.85</v>
      </c>
      <c r="G167" s="719">
        <f>INPUTS!I27</f>
        <v>0</v>
      </c>
      <c r="H167" s="719">
        <f>INPUTS!J27</f>
        <v>0.15</v>
      </c>
      <c r="I167" s="719">
        <f>INPUTS!K27</f>
        <v>0</v>
      </c>
      <c r="J167" s="719">
        <f>INPUTS!M27</f>
        <v>0.9</v>
      </c>
      <c r="K167" s="719">
        <f>INPUTS!N27</f>
        <v>0.9</v>
      </c>
      <c r="L167" s="719">
        <f>INPUTS!O27</f>
        <v>0</v>
      </c>
      <c r="M167" s="719">
        <f>INPUTS!Q27</f>
        <v>0.9</v>
      </c>
      <c r="N167" s="720">
        <f t="shared" si="162"/>
        <v>79.190970503973432</v>
      </c>
      <c r="O167" s="721">
        <f>N167*'Livestock parameters'!AD8</f>
        <v>3.1676388201589374</v>
      </c>
      <c r="P167" s="720">
        <f t="shared" si="163"/>
        <v>363.48655461323807</v>
      </c>
      <c r="Q167" s="721">
        <f>P167*'Livestock parameters'!AD8</f>
        <v>14.539462184529523</v>
      </c>
      <c r="R167" s="720">
        <f t="shared" si="164"/>
        <v>17.707101004688461</v>
      </c>
      <c r="S167" s="721"/>
      <c r="U167" s="559"/>
    </row>
    <row r="168" spans="1:28" s="145" customFormat="1">
      <c r="A168" s="13" t="str">
        <f>INPUTS!C28</f>
        <v>Calves</v>
      </c>
      <c r="B168" s="633">
        <f t="shared" ref="B168:C168" si="170">MAX(B150,D150)</f>
        <v>1035.3313792136905</v>
      </c>
      <c r="C168" s="633">
        <f t="shared" si="170"/>
        <v>747.19670292308797</v>
      </c>
      <c r="D168" s="640">
        <f t="shared" si="160"/>
        <v>1.7825280821367786</v>
      </c>
      <c r="E168" s="489">
        <f t="shared" si="161"/>
        <v>650.62274997992415</v>
      </c>
      <c r="F168" s="719">
        <f>INPUTS!H28</f>
        <v>0.85</v>
      </c>
      <c r="G168" s="719">
        <f>INPUTS!I28</f>
        <v>0</v>
      </c>
      <c r="H168" s="719">
        <f>INPUTS!J28</f>
        <v>0.15</v>
      </c>
      <c r="I168" s="719">
        <f>INPUTS!K28</f>
        <v>0</v>
      </c>
      <c r="J168" s="719">
        <f>INPUTS!M28</f>
        <v>0.9</v>
      </c>
      <c r="K168" s="719">
        <f>INPUTS!N28</f>
        <v>0.9</v>
      </c>
      <c r="L168" s="719">
        <f>INPUTS!O28</f>
        <v>0</v>
      </c>
      <c r="M168" s="719">
        <f>INPUTS!Q28</f>
        <v>0.9</v>
      </c>
      <c r="N168" s="720">
        <f t="shared" si="162"/>
        <v>97.59341249698862</v>
      </c>
      <c r="O168" s="721">
        <f>N168*'Livestock parameters'!AD9</f>
        <v>2.8302089624126703</v>
      </c>
      <c r="P168" s="720">
        <f t="shared" si="163"/>
        <v>447.95376336117778</v>
      </c>
      <c r="Q168" s="721">
        <f>P168*'Livestock parameters'!AD9</f>
        <v>12.990659137474156</v>
      </c>
      <c r="R168" s="720">
        <f t="shared" si="164"/>
        <v>15.820868099886827</v>
      </c>
      <c r="S168" s="721"/>
      <c r="U168" s="559"/>
    </row>
    <row r="169" spans="1:28" s="145" customFormat="1">
      <c r="A169" s="13" t="str">
        <f>INPUTS!C29</f>
        <v>Cows (high productive)</v>
      </c>
      <c r="B169" s="633">
        <f t="shared" ref="B169:C169" si="171">MAX(B151,D151)</f>
        <v>3998.3527869243171</v>
      </c>
      <c r="C169" s="633">
        <f t="shared" si="171"/>
        <v>2885.6036622614174</v>
      </c>
      <c r="D169" s="640">
        <f t="shared" si="160"/>
        <v>6.8839564491857343</v>
      </c>
      <c r="E169" s="489">
        <f t="shared" si="161"/>
        <v>2512.6441039527931</v>
      </c>
      <c r="F169" s="719">
        <f>INPUTS!H29</f>
        <v>0.85</v>
      </c>
      <c r="G169" s="719">
        <f>INPUTS!I29</f>
        <v>0</v>
      </c>
      <c r="H169" s="719">
        <f>INPUTS!J29</f>
        <v>0.15</v>
      </c>
      <c r="I169" s="719">
        <f>INPUTS!K29</f>
        <v>0</v>
      </c>
      <c r="J169" s="719">
        <f>INPUTS!M29</f>
        <v>0.9</v>
      </c>
      <c r="K169" s="719">
        <f>INPUTS!N29</f>
        <v>0.9</v>
      </c>
      <c r="L169" s="719">
        <f>INPUTS!O29</f>
        <v>0</v>
      </c>
      <c r="M169" s="719">
        <f>INPUTS!Q29</f>
        <v>0.9</v>
      </c>
      <c r="N169" s="720">
        <f t="shared" si="162"/>
        <v>376.89661559291898</v>
      </c>
      <c r="O169" s="721">
        <f>N169*'Livestock parameters'!AD10</f>
        <v>10.930001852194652</v>
      </c>
      <c r="P169" s="720">
        <f t="shared" si="163"/>
        <v>1729.9554655714981</v>
      </c>
      <c r="Q169" s="721">
        <f>P169*'Livestock parameters'!AD10</f>
        <v>50.168708501573448</v>
      </c>
      <c r="R169" s="720">
        <f t="shared" si="164"/>
        <v>61.098710353768098</v>
      </c>
      <c r="S169" s="721"/>
      <c r="U169" s="559"/>
    </row>
    <row r="170" spans="1:28" s="145" customFormat="1">
      <c r="A170" s="13">
        <f>INPUTS!C30</f>
        <v>0</v>
      </c>
      <c r="B170" s="633">
        <f t="shared" ref="B170:C170" si="172">MAX(B152,D152)</f>
        <v>0</v>
      </c>
      <c r="C170" s="633">
        <f t="shared" si="172"/>
        <v>0</v>
      </c>
      <c r="D170" s="640">
        <f t="shared" si="160"/>
        <v>0</v>
      </c>
      <c r="E170" s="489">
        <f t="shared" si="161"/>
        <v>0</v>
      </c>
      <c r="F170" s="719">
        <f>INPUTS!H30</f>
        <v>0.85</v>
      </c>
      <c r="G170" s="719">
        <f>INPUTS!I30</f>
        <v>0</v>
      </c>
      <c r="H170" s="719">
        <f>INPUTS!J30</f>
        <v>0.15</v>
      </c>
      <c r="I170" s="719">
        <f>INPUTS!K30</f>
        <v>0</v>
      </c>
      <c r="J170" s="719">
        <f>INPUTS!M30</f>
        <v>0.9</v>
      </c>
      <c r="K170" s="719">
        <f>INPUTS!N30</f>
        <v>0.9</v>
      </c>
      <c r="L170" s="719">
        <f>INPUTS!O30</f>
        <v>0</v>
      </c>
      <c r="M170" s="719">
        <f>INPUTS!Q30</f>
        <v>0</v>
      </c>
      <c r="N170" s="720">
        <f t="shared" ref="N170:N174" si="173">E170*H170 - E170*H170*L170</f>
        <v>0</v>
      </c>
      <c r="O170" s="721">
        <f>N170*'Livestock parameters'!AD11</f>
        <v>0</v>
      </c>
      <c r="P170" s="720">
        <f t="shared" ref="P170:P174" si="174">E170*(F170*J170+G170*K170+H170*L170)*M170</f>
        <v>0</v>
      </c>
      <c r="Q170" s="721">
        <f>P170*'Livestock parameters'!AD11</f>
        <v>0</v>
      </c>
      <c r="R170" s="720">
        <f t="shared" ref="R170:R174" si="175">O170+Q170</f>
        <v>0</v>
      </c>
      <c r="S170" s="721"/>
      <c r="U170" s="559"/>
    </row>
    <row r="171" spans="1:28" s="145" customFormat="1">
      <c r="A171" s="13">
        <f>INPUTS!C31</f>
        <v>0</v>
      </c>
      <c r="B171" s="633">
        <f t="shared" ref="B171:C171" si="176">MAX(B153,D153)</f>
        <v>0</v>
      </c>
      <c r="C171" s="633">
        <f t="shared" si="176"/>
        <v>0</v>
      </c>
      <c r="D171" s="640">
        <f t="shared" si="160"/>
        <v>0</v>
      </c>
      <c r="E171" s="489">
        <f t="shared" si="161"/>
        <v>0</v>
      </c>
      <c r="F171" s="719">
        <f>INPUTS!H31</f>
        <v>0.85</v>
      </c>
      <c r="G171" s="719">
        <f>INPUTS!I31</f>
        <v>0</v>
      </c>
      <c r="H171" s="719">
        <f>INPUTS!J31</f>
        <v>0.15</v>
      </c>
      <c r="I171" s="719">
        <f>INPUTS!K31</f>
        <v>0</v>
      </c>
      <c r="J171" s="719">
        <f>INPUTS!M31</f>
        <v>0.9</v>
      </c>
      <c r="K171" s="719">
        <f>INPUTS!N31</f>
        <v>0.9</v>
      </c>
      <c r="L171" s="719">
        <f>INPUTS!O31</f>
        <v>0</v>
      </c>
      <c r="M171" s="719">
        <f>INPUTS!Q31</f>
        <v>0</v>
      </c>
      <c r="N171" s="720">
        <f t="shared" si="173"/>
        <v>0</v>
      </c>
      <c r="O171" s="721">
        <f>N171*'Livestock parameters'!AD12</f>
        <v>0</v>
      </c>
      <c r="P171" s="720">
        <f t="shared" si="174"/>
        <v>0</v>
      </c>
      <c r="Q171" s="721">
        <f>P171*'Livestock parameters'!AD12</f>
        <v>0</v>
      </c>
      <c r="R171" s="720">
        <f t="shared" si="175"/>
        <v>0</v>
      </c>
      <c r="S171" s="721"/>
      <c r="U171" s="559"/>
    </row>
    <row r="172" spans="1:28" s="145" customFormat="1">
      <c r="A172" s="13">
        <f>INPUTS!C32</f>
        <v>0</v>
      </c>
      <c r="B172" s="633">
        <f t="shared" ref="B172:C172" si="177">MAX(B154,D154)</f>
        <v>0</v>
      </c>
      <c r="C172" s="633">
        <f t="shared" si="177"/>
        <v>0</v>
      </c>
      <c r="D172" s="640">
        <f t="shared" si="160"/>
        <v>0</v>
      </c>
      <c r="E172" s="489">
        <f t="shared" si="161"/>
        <v>0</v>
      </c>
      <c r="F172" s="719">
        <f>INPUTS!H32</f>
        <v>0.85</v>
      </c>
      <c r="G172" s="719">
        <f>INPUTS!I32</f>
        <v>0</v>
      </c>
      <c r="H172" s="719">
        <f>INPUTS!J32</f>
        <v>0.15</v>
      </c>
      <c r="I172" s="719">
        <f>INPUTS!K32</f>
        <v>0</v>
      </c>
      <c r="J172" s="719">
        <f>INPUTS!M32</f>
        <v>0.9</v>
      </c>
      <c r="K172" s="719">
        <f>INPUTS!N32</f>
        <v>0.9</v>
      </c>
      <c r="L172" s="719">
        <f>INPUTS!O32</f>
        <v>0</v>
      </c>
      <c r="M172" s="719">
        <f>INPUTS!Q32</f>
        <v>0</v>
      </c>
      <c r="N172" s="720">
        <f t="shared" si="173"/>
        <v>0</v>
      </c>
      <c r="O172" s="721">
        <f>N172*'Livestock parameters'!AD13</f>
        <v>0</v>
      </c>
      <c r="P172" s="720">
        <f t="shared" si="174"/>
        <v>0</v>
      </c>
      <c r="Q172" s="721">
        <f>P172*'Livestock parameters'!AD13</f>
        <v>0</v>
      </c>
      <c r="R172" s="720">
        <f t="shared" si="175"/>
        <v>0</v>
      </c>
      <c r="S172" s="721"/>
      <c r="U172" s="559"/>
    </row>
    <row r="173" spans="1:28" s="145" customFormat="1">
      <c r="A173" s="13">
        <f>INPUTS!C33</f>
        <v>0</v>
      </c>
      <c r="B173" s="633">
        <f t="shared" ref="B173:C173" si="178">MAX(B155,D155)</f>
        <v>0</v>
      </c>
      <c r="C173" s="633">
        <f t="shared" si="178"/>
        <v>0</v>
      </c>
      <c r="D173" s="640">
        <f t="shared" si="160"/>
        <v>0</v>
      </c>
      <c r="E173" s="489">
        <f t="shared" si="161"/>
        <v>0</v>
      </c>
      <c r="F173" s="719">
        <f>INPUTS!H33</f>
        <v>0.85</v>
      </c>
      <c r="G173" s="719">
        <f>INPUTS!I33</f>
        <v>0</v>
      </c>
      <c r="H173" s="719">
        <f>INPUTS!J33</f>
        <v>0.15</v>
      </c>
      <c r="I173" s="719">
        <f>INPUTS!K33</f>
        <v>0</v>
      </c>
      <c r="J173" s="719">
        <f>INPUTS!M33</f>
        <v>0.9</v>
      </c>
      <c r="K173" s="719">
        <f>INPUTS!N33</f>
        <v>0.9</v>
      </c>
      <c r="L173" s="719">
        <f>INPUTS!O33</f>
        <v>0</v>
      </c>
      <c r="M173" s="719">
        <f>INPUTS!Q33</f>
        <v>0</v>
      </c>
      <c r="N173" s="720">
        <f t="shared" si="173"/>
        <v>0</v>
      </c>
      <c r="O173" s="721">
        <f>N173*'Livestock parameters'!AD14</f>
        <v>0</v>
      </c>
      <c r="P173" s="720">
        <f t="shared" si="174"/>
        <v>0</v>
      </c>
      <c r="Q173" s="721">
        <f>P173*'Livestock parameters'!AD14</f>
        <v>0</v>
      </c>
      <c r="R173" s="720">
        <f t="shared" si="175"/>
        <v>0</v>
      </c>
      <c r="S173" s="721"/>
      <c r="U173" s="559"/>
    </row>
    <row r="174" spans="1:28" s="145" customFormat="1">
      <c r="A174" s="13">
        <f>INPUTS!C34</f>
        <v>0</v>
      </c>
      <c r="B174" s="633">
        <f t="shared" ref="B174:C174" si="179">MAX(B156,D156)</f>
        <v>0</v>
      </c>
      <c r="C174" s="633">
        <f t="shared" si="179"/>
        <v>0</v>
      </c>
      <c r="D174" s="640">
        <f t="shared" si="160"/>
        <v>0</v>
      </c>
      <c r="E174" s="489">
        <f t="shared" si="161"/>
        <v>0</v>
      </c>
      <c r="F174" s="719">
        <f>INPUTS!H34</f>
        <v>0.85</v>
      </c>
      <c r="G174" s="719">
        <f>INPUTS!I34</f>
        <v>0</v>
      </c>
      <c r="H174" s="719">
        <f>INPUTS!J34</f>
        <v>0.15</v>
      </c>
      <c r="I174" s="719">
        <f>INPUTS!K34</f>
        <v>0</v>
      </c>
      <c r="J174" s="719">
        <f>INPUTS!M34</f>
        <v>0.9</v>
      </c>
      <c r="K174" s="719">
        <f>INPUTS!N34</f>
        <v>0.9</v>
      </c>
      <c r="L174" s="719">
        <f>INPUTS!O34</f>
        <v>0</v>
      </c>
      <c r="M174" s="719">
        <f>INPUTS!Q34</f>
        <v>0.9</v>
      </c>
      <c r="N174" s="720">
        <f t="shared" si="173"/>
        <v>0</v>
      </c>
      <c r="O174" s="721">
        <f>N174*'Livestock parameters'!AD15</f>
        <v>0</v>
      </c>
      <c r="P174" s="720">
        <f t="shared" si="174"/>
        <v>0</v>
      </c>
      <c r="Q174" s="721">
        <f>P174*'Livestock parameters'!AD15</f>
        <v>0</v>
      </c>
      <c r="R174" s="720">
        <f t="shared" si="175"/>
        <v>0</v>
      </c>
      <c r="S174" s="721"/>
      <c r="U174" s="559"/>
    </row>
    <row r="175" spans="1:28" s="145" customFormat="1">
      <c r="E175" s="599">
        <f>SUM(E161:E174)</f>
        <v>8046.5984899596097</v>
      </c>
      <c r="N175" s="599">
        <f t="shared" ref="N175:S175" si="180">SUM(N161:N174)</f>
        <v>1206.9897734939414</v>
      </c>
      <c r="O175" s="599">
        <f t="shared" si="180"/>
        <v>35.815533669294382</v>
      </c>
      <c r="P175" s="599">
        <f t="shared" si="180"/>
        <v>5651.9753865529719</v>
      </c>
      <c r="Q175" s="599">
        <f t="shared" si="180"/>
        <v>167.63817700231886</v>
      </c>
      <c r="R175" s="599">
        <f t="shared" si="180"/>
        <v>203.45371067161324</v>
      </c>
      <c r="S175" s="599">
        <f t="shared" si="180"/>
        <v>0</v>
      </c>
      <c r="U175" s="559"/>
      <c r="W175" s="228"/>
    </row>
    <row r="176" spans="1:28" s="145" customFormat="1">
      <c r="O176" s="229"/>
      <c r="S176" s="230"/>
      <c r="V176" s="559"/>
      <c r="AB176" s="228"/>
    </row>
    <row r="177" spans="15:28" s="145" customFormat="1">
      <c r="O177" s="229"/>
      <c r="S177" s="230"/>
      <c r="V177" s="559"/>
      <c r="AB177" s="228"/>
    </row>
    <row r="178" spans="15:28" s="145" customFormat="1">
      <c r="O178" s="229"/>
      <c r="S178" s="230"/>
      <c r="V178" s="559"/>
      <c r="AB178" s="228"/>
    </row>
    <row r="179" spans="15:28" s="145" customFormat="1">
      <c r="O179" s="229"/>
      <c r="S179" s="230"/>
      <c r="V179" s="559"/>
      <c r="AB179" s="228"/>
    </row>
    <row r="180" spans="15:28" s="145" customFormat="1">
      <c r="O180" s="229"/>
      <c r="S180" s="230"/>
      <c r="V180" s="559"/>
      <c r="AB180" s="228"/>
    </row>
    <row r="181" spans="15:28" s="145" customFormat="1">
      <c r="O181" s="229"/>
      <c r="S181" s="230"/>
      <c r="V181" s="559"/>
      <c r="AB181" s="228"/>
    </row>
    <row r="182" spans="15:28" s="145" customFormat="1">
      <c r="O182" s="229"/>
      <c r="S182" s="230"/>
      <c r="V182" s="559"/>
      <c r="AB182" s="228"/>
    </row>
    <row r="183" spans="15:28" s="145" customFormat="1">
      <c r="O183" s="229"/>
      <c r="S183" s="230"/>
      <c r="V183" s="559"/>
      <c r="AB183" s="228"/>
    </row>
    <row r="184" spans="15:28" s="145" customFormat="1">
      <c r="O184" s="229"/>
      <c r="S184" s="230"/>
      <c r="V184" s="559"/>
      <c r="AB184" s="228"/>
    </row>
    <row r="185" spans="15:28" s="145" customFormat="1">
      <c r="O185" s="229"/>
      <c r="S185" s="230"/>
      <c r="V185" s="559"/>
      <c r="AB185" s="228"/>
    </row>
    <row r="186" spans="15:28" s="145" customFormat="1">
      <c r="O186" s="229"/>
      <c r="S186" s="230"/>
      <c r="V186" s="559"/>
      <c r="AB186" s="228"/>
    </row>
    <row r="187" spans="15:28" s="145" customFormat="1">
      <c r="O187" s="229"/>
      <c r="S187" s="230"/>
      <c r="V187" s="559"/>
      <c r="AB187" s="228"/>
    </row>
    <row r="188" spans="15:28" s="145" customFormat="1">
      <c r="O188" s="229"/>
      <c r="S188" s="230"/>
      <c r="V188" s="559"/>
      <c r="AB188" s="228"/>
    </row>
    <row r="189" spans="15:28" s="145" customFormat="1">
      <c r="O189" s="229"/>
      <c r="S189" s="230"/>
      <c r="V189" s="559"/>
      <c r="AB189" s="228"/>
    </row>
    <row r="190" spans="15:28" s="145" customFormat="1">
      <c r="O190" s="229"/>
      <c r="S190" s="230"/>
      <c r="V190" s="559"/>
      <c r="AB190" s="228"/>
    </row>
    <row r="191" spans="15:28" s="145" customFormat="1">
      <c r="O191" s="229"/>
      <c r="S191" s="230"/>
      <c r="V191" s="559"/>
      <c r="AB191" s="228"/>
    </row>
    <row r="192" spans="15:28" s="145" customFormat="1">
      <c r="O192" s="229"/>
      <c r="S192" s="230"/>
      <c r="V192" s="559"/>
      <c r="AB192" s="228"/>
    </row>
    <row r="193" spans="15:28" s="145" customFormat="1">
      <c r="O193" s="229"/>
      <c r="S193" s="230"/>
      <c r="V193" s="559"/>
      <c r="AB193" s="228"/>
    </row>
    <row r="194" spans="15:28" s="145" customFormat="1">
      <c r="O194" s="229"/>
      <c r="S194" s="230"/>
      <c r="V194" s="559"/>
      <c r="AB194" s="228"/>
    </row>
    <row r="195" spans="15:28" s="145" customFormat="1">
      <c r="O195" s="229"/>
      <c r="S195" s="230"/>
      <c r="V195" s="559"/>
      <c r="AB195" s="228"/>
    </row>
    <row r="196" spans="15:28" s="145" customFormat="1">
      <c r="O196" s="229"/>
      <c r="S196" s="230"/>
      <c r="V196" s="559"/>
      <c r="AB196" s="228"/>
    </row>
    <row r="197" spans="15:28" s="145" customFormat="1">
      <c r="O197" s="229"/>
      <c r="S197" s="230"/>
      <c r="V197" s="559"/>
      <c r="AB197" s="228"/>
    </row>
    <row r="198" spans="15:28" s="145" customFormat="1">
      <c r="O198" s="229"/>
      <c r="S198" s="230"/>
      <c r="V198" s="559"/>
      <c r="AB198" s="228"/>
    </row>
    <row r="199" spans="15:28" s="145" customFormat="1">
      <c r="O199" s="229"/>
      <c r="S199" s="230"/>
      <c r="V199" s="559"/>
      <c r="AB199" s="228"/>
    </row>
    <row r="200" spans="15:28" s="145" customFormat="1">
      <c r="O200" s="229"/>
      <c r="S200" s="230"/>
      <c r="V200" s="559"/>
      <c r="AB200" s="228"/>
    </row>
    <row r="201" spans="15:28" s="145" customFormat="1">
      <c r="O201" s="229"/>
      <c r="S201" s="230"/>
      <c r="V201" s="559"/>
      <c r="AB201" s="228"/>
    </row>
    <row r="202" spans="15:28" s="145" customFormat="1">
      <c r="O202" s="229"/>
      <c r="S202" s="230"/>
      <c r="V202" s="559"/>
      <c r="AB202" s="228"/>
    </row>
    <row r="203" spans="15:28" s="145" customFormat="1">
      <c r="O203" s="229"/>
      <c r="S203" s="230"/>
      <c r="V203" s="559"/>
      <c r="AB203" s="228"/>
    </row>
    <row r="204" spans="15:28" s="145" customFormat="1">
      <c r="O204" s="229"/>
      <c r="S204" s="230"/>
      <c r="V204" s="559"/>
      <c r="AB204" s="228"/>
    </row>
    <row r="205" spans="15:28" s="145" customFormat="1">
      <c r="O205" s="229"/>
      <c r="S205" s="230"/>
      <c r="V205" s="559"/>
      <c r="AB205" s="228"/>
    </row>
    <row r="206" spans="15:28" s="145" customFormat="1">
      <c r="O206" s="229"/>
      <c r="S206" s="230"/>
      <c r="V206" s="559"/>
      <c r="AB206" s="228"/>
    </row>
    <row r="207" spans="15:28" s="145" customFormat="1">
      <c r="O207" s="229"/>
      <c r="S207" s="230"/>
      <c r="V207" s="559"/>
      <c r="AB207" s="228"/>
    </row>
    <row r="208" spans="15:28" s="145" customFormat="1">
      <c r="O208" s="229"/>
      <c r="S208" s="230"/>
      <c r="V208" s="559"/>
      <c r="AB208" s="228"/>
    </row>
    <row r="209" spans="15:28" s="145" customFormat="1">
      <c r="O209" s="229"/>
      <c r="S209" s="230"/>
      <c r="V209" s="559"/>
      <c r="AB209" s="228"/>
    </row>
    <row r="210" spans="15:28" s="145" customFormat="1">
      <c r="O210" s="229"/>
      <c r="S210" s="230"/>
      <c r="V210" s="559"/>
      <c r="AB210" s="228"/>
    </row>
    <row r="211" spans="15:28" s="145" customFormat="1">
      <c r="O211" s="229"/>
      <c r="S211" s="230"/>
      <c r="V211" s="559"/>
      <c r="AB211" s="228"/>
    </row>
    <row r="212" spans="15:28" s="145" customFormat="1">
      <c r="O212" s="229"/>
      <c r="S212" s="230"/>
      <c r="V212" s="559"/>
      <c r="AB212" s="228"/>
    </row>
    <row r="213" spans="15:28" s="145" customFormat="1">
      <c r="O213" s="229"/>
      <c r="S213" s="230"/>
      <c r="V213" s="559"/>
      <c r="AB213" s="228"/>
    </row>
    <row r="214" spans="15:28" s="145" customFormat="1">
      <c r="O214" s="229"/>
      <c r="S214" s="230"/>
      <c r="V214" s="559"/>
      <c r="AB214" s="228"/>
    </row>
    <row r="215" spans="15:28" s="145" customFormat="1">
      <c r="O215" s="229"/>
      <c r="S215" s="230"/>
      <c r="V215" s="559"/>
      <c r="AB215" s="228"/>
    </row>
    <row r="216" spans="15:28" s="145" customFormat="1">
      <c r="O216" s="229"/>
      <c r="S216" s="230"/>
      <c r="V216" s="559"/>
      <c r="AB216" s="228"/>
    </row>
    <row r="217" spans="15:28" s="145" customFormat="1">
      <c r="O217" s="229"/>
      <c r="S217" s="230"/>
      <c r="V217" s="559"/>
      <c r="AB217" s="228"/>
    </row>
    <row r="218" spans="15:28" s="145" customFormat="1">
      <c r="O218" s="229"/>
      <c r="S218" s="230"/>
      <c r="V218" s="559"/>
      <c r="AB218" s="228"/>
    </row>
    <row r="219" spans="15:28" s="145" customFormat="1">
      <c r="O219" s="229"/>
      <c r="S219" s="230"/>
      <c r="V219" s="559"/>
      <c r="AB219" s="228"/>
    </row>
    <row r="220" spans="15:28" s="145" customFormat="1">
      <c r="O220" s="229"/>
      <c r="S220" s="230"/>
      <c r="V220" s="559"/>
      <c r="AB220" s="228"/>
    </row>
    <row r="221" spans="15:28" s="145" customFormat="1">
      <c r="O221" s="229"/>
      <c r="S221" s="230"/>
      <c r="V221" s="559"/>
      <c r="AB221" s="228"/>
    </row>
    <row r="222" spans="15:28" s="145" customFormat="1">
      <c r="O222" s="229"/>
      <c r="S222" s="230"/>
      <c r="V222" s="559"/>
      <c r="AB222" s="228"/>
    </row>
    <row r="223" spans="15:28" s="145" customFormat="1">
      <c r="O223" s="229"/>
      <c r="S223" s="230"/>
      <c r="V223" s="559"/>
      <c r="AB223" s="228"/>
    </row>
    <row r="224" spans="15:28" s="145" customFormat="1">
      <c r="O224" s="229"/>
      <c r="S224" s="230"/>
      <c r="V224" s="559"/>
      <c r="AB224" s="228"/>
    </row>
    <row r="225" spans="15:28" s="145" customFormat="1">
      <c r="O225" s="229"/>
      <c r="S225" s="230"/>
      <c r="V225" s="559"/>
      <c r="AB225" s="228"/>
    </row>
    <row r="226" spans="15:28" s="145" customFormat="1">
      <c r="O226" s="229"/>
      <c r="S226" s="230"/>
      <c r="V226" s="559"/>
      <c r="AB226" s="228"/>
    </row>
    <row r="227" spans="15:28" s="145" customFormat="1">
      <c r="O227" s="229"/>
      <c r="S227" s="230"/>
      <c r="V227" s="559"/>
      <c r="AB227" s="228"/>
    </row>
    <row r="228" spans="15:28" s="145" customFormat="1">
      <c r="O228" s="229"/>
      <c r="S228" s="230"/>
      <c r="V228" s="559"/>
      <c r="AB228" s="228"/>
    </row>
    <row r="229" spans="15:28" s="145" customFormat="1">
      <c r="O229" s="229"/>
      <c r="S229" s="230"/>
      <c r="V229" s="559"/>
      <c r="AB229" s="228"/>
    </row>
    <row r="230" spans="15:28" s="145" customFormat="1">
      <c r="O230" s="229"/>
      <c r="S230" s="230"/>
      <c r="V230" s="559"/>
      <c r="AB230" s="228"/>
    </row>
    <row r="231" spans="15:28" s="145" customFormat="1">
      <c r="O231" s="229"/>
      <c r="S231" s="230"/>
      <c r="V231" s="559"/>
      <c r="AB231" s="228"/>
    </row>
    <row r="232" spans="15:28" s="145" customFormat="1">
      <c r="O232" s="229"/>
      <c r="S232" s="230"/>
      <c r="V232" s="559"/>
      <c r="AB232" s="228"/>
    </row>
    <row r="233" spans="15:28" s="145" customFormat="1">
      <c r="O233" s="229"/>
      <c r="S233" s="230"/>
      <c r="V233" s="559"/>
      <c r="AB233" s="228"/>
    </row>
    <row r="234" spans="15:28" s="145" customFormat="1">
      <c r="O234" s="229"/>
      <c r="S234" s="230"/>
      <c r="V234" s="559"/>
      <c r="AB234" s="228"/>
    </row>
    <row r="235" spans="15:28" s="145" customFormat="1">
      <c r="O235" s="229"/>
      <c r="S235" s="230"/>
      <c r="V235" s="559"/>
      <c r="AB235" s="228"/>
    </row>
    <row r="236" spans="15:28" s="145" customFormat="1">
      <c r="O236" s="229"/>
      <c r="S236" s="230"/>
      <c r="V236" s="559"/>
      <c r="AB236" s="228"/>
    </row>
    <row r="237" spans="15:28" s="145" customFormat="1">
      <c r="O237" s="229"/>
      <c r="S237" s="230"/>
      <c r="V237" s="559"/>
      <c r="AB237" s="228"/>
    </row>
    <row r="238" spans="15:28" s="145" customFormat="1">
      <c r="O238" s="229"/>
      <c r="S238" s="230"/>
      <c r="V238" s="559"/>
      <c r="AB238" s="228"/>
    </row>
    <row r="239" spans="15:28" s="145" customFormat="1">
      <c r="O239" s="229"/>
      <c r="S239" s="230"/>
      <c r="V239" s="559"/>
      <c r="AB239" s="228"/>
    </row>
    <row r="240" spans="15:28" s="145" customFormat="1">
      <c r="O240" s="229"/>
      <c r="S240" s="230"/>
      <c r="V240" s="559"/>
      <c r="AB240" s="228"/>
    </row>
    <row r="241" spans="15:28" s="145" customFormat="1">
      <c r="O241" s="229"/>
      <c r="S241" s="230"/>
      <c r="V241" s="559"/>
      <c r="AB241" s="228"/>
    </row>
    <row r="242" spans="15:28" s="145" customFormat="1">
      <c r="O242" s="229"/>
      <c r="S242" s="230"/>
      <c r="V242" s="559"/>
      <c r="AB242" s="228"/>
    </row>
    <row r="243" spans="15:28" s="145" customFormat="1">
      <c r="O243" s="229"/>
      <c r="S243" s="230"/>
      <c r="V243" s="559"/>
      <c r="AB243" s="228"/>
    </row>
    <row r="244" spans="15:28" s="145" customFormat="1">
      <c r="O244" s="229"/>
      <c r="S244" s="230"/>
      <c r="V244" s="559"/>
      <c r="AB244" s="228"/>
    </row>
    <row r="245" spans="15:28" s="145" customFormat="1">
      <c r="O245" s="229"/>
      <c r="S245" s="230"/>
      <c r="V245" s="559"/>
      <c r="AB245" s="228"/>
    </row>
    <row r="246" spans="15:28" s="145" customFormat="1">
      <c r="O246" s="229"/>
      <c r="S246" s="230"/>
      <c r="V246" s="559"/>
      <c r="AB246" s="228"/>
    </row>
    <row r="247" spans="15:28" s="145" customFormat="1">
      <c r="O247" s="229"/>
      <c r="S247" s="230"/>
      <c r="V247" s="559"/>
      <c r="AB247" s="228"/>
    </row>
    <row r="248" spans="15:28" s="145" customFormat="1">
      <c r="O248" s="229"/>
      <c r="S248" s="230"/>
      <c r="V248" s="559"/>
      <c r="AB248" s="228"/>
    </row>
    <row r="249" spans="15:28" s="145" customFormat="1">
      <c r="O249" s="229"/>
      <c r="S249" s="230"/>
      <c r="V249" s="559"/>
      <c r="AB249" s="228"/>
    </row>
    <row r="250" spans="15:28" s="145" customFormat="1">
      <c r="O250" s="229"/>
      <c r="S250" s="230"/>
      <c r="V250" s="559"/>
      <c r="AB250" s="228"/>
    </row>
    <row r="251" spans="15:28" s="145" customFormat="1">
      <c r="O251" s="229"/>
      <c r="S251" s="230"/>
      <c r="V251" s="559"/>
      <c r="AB251" s="228"/>
    </row>
    <row r="252" spans="15:28" s="145" customFormat="1">
      <c r="O252" s="229"/>
      <c r="S252" s="230"/>
      <c r="V252" s="559"/>
      <c r="AB252" s="228"/>
    </row>
    <row r="253" spans="15:28" s="145" customFormat="1">
      <c r="O253" s="229"/>
      <c r="S253" s="230"/>
      <c r="V253" s="559"/>
      <c r="AB253" s="228"/>
    </row>
    <row r="254" spans="15:28" s="145" customFormat="1">
      <c r="O254" s="229"/>
      <c r="S254" s="230"/>
      <c r="V254" s="559"/>
      <c r="AB254" s="228"/>
    </row>
    <row r="255" spans="15:28" s="145" customFormat="1">
      <c r="O255" s="229"/>
      <c r="S255" s="230"/>
      <c r="V255" s="559"/>
      <c r="AB255" s="228"/>
    </row>
    <row r="256" spans="15:28" s="145" customFormat="1">
      <c r="O256" s="229"/>
      <c r="S256" s="230"/>
      <c r="V256" s="559"/>
      <c r="AB256" s="228"/>
    </row>
    <row r="257" spans="15:28" s="145" customFormat="1">
      <c r="O257" s="229"/>
      <c r="S257" s="230"/>
      <c r="V257" s="559"/>
      <c r="AB257" s="228"/>
    </row>
    <row r="258" spans="15:28" s="145" customFormat="1">
      <c r="O258" s="229"/>
      <c r="S258" s="230"/>
      <c r="V258" s="559"/>
      <c r="AB258" s="228"/>
    </row>
    <row r="259" spans="15:28" s="145" customFormat="1">
      <c r="O259" s="229"/>
      <c r="S259" s="230"/>
      <c r="V259" s="559"/>
      <c r="AB259" s="228"/>
    </row>
    <row r="260" spans="15:28" s="145" customFormat="1">
      <c r="O260" s="229"/>
      <c r="S260" s="230"/>
      <c r="V260" s="559"/>
      <c r="AB260" s="228"/>
    </row>
    <row r="261" spans="15:28" s="145" customFormat="1">
      <c r="O261" s="229"/>
      <c r="S261" s="230"/>
      <c r="V261" s="559"/>
      <c r="AB261" s="228"/>
    </row>
    <row r="262" spans="15:28" s="145" customFormat="1">
      <c r="O262" s="229"/>
      <c r="S262" s="230"/>
      <c r="V262" s="559"/>
      <c r="AB262" s="228"/>
    </row>
    <row r="263" spans="15:28" s="145" customFormat="1">
      <c r="O263" s="229"/>
      <c r="S263" s="230"/>
      <c r="V263" s="559"/>
      <c r="AB263" s="228"/>
    </row>
    <row r="264" spans="15:28" s="145" customFormat="1">
      <c r="O264" s="229"/>
      <c r="S264" s="230"/>
      <c r="V264" s="559"/>
      <c r="AB264" s="228"/>
    </row>
    <row r="265" spans="15:28" s="145" customFormat="1">
      <c r="O265" s="229"/>
      <c r="S265" s="230"/>
      <c r="V265" s="559"/>
      <c r="AB265" s="228"/>
    </row>
    <row r="266" spans="15:28" s="145" customFormat="1">
      <c r="O266" s="229"/>
      <c r="S266" s="230"/>
      <c r="V266" s="559"/>
      <c r="AB266" s="228"/>
    </row>
    <row r="267" spans="15:28" s="145" customFormat="1">
      <c r="O267" s="229"/>
      <c r="S267" s="230"/>
      <c r="V267" s="559"/>
      <c r="AB267" s="228"/>
    </row>
    <row r="268" spans="15:28" s="145" customFormat="1">
      <c r="O268" s="229"/>
      <c r="S268" s="230"/>
      <c r="V268" s="559"/>
      <c r="AB268" s="228"/>
    </row>
    <row r="269" spans="15:28" s="145" customFormat="1">
      <c r="O269" s="229"/>
      <c r="S269" s="230"/>
      <c r="V269" s="559"/>
      <c r="AB269" s="228"/>
    </row>
    <row r="270" spans="15:28" s="145" customFormat="1">
      <c r="O270" s="229"/>
      <c r="S270" s="230"/>
      <c r="V270" s="559"/>
      <c r="AB270" s="228"/>
    </row>
    <row r="271" spans="15:28" s="145" customFormat="1">
      <c r="O271" s="229"/>
      <c r="S271" s="230"/>
      <c r="V271" s="559"/>
      <c r="AB271" s="228"/>
    </row>
    <row r="272" spans="15:28" s="145" customFormat="1">
      <c r="O272" s="229"/>
      <c r="S272" s="230"/>
      <c r="V272" s="559"/>
      <c r="AB272" s="228"/>
    </row>
    <row r="273" spans="15:28" s="145" customFormat="1">
      <c r="O273" s="229"/>
      <c r="S273" s="230"/>
      <c r="V273" s="559"/>
      <c r="AB273" s="228"/>
    </row>
    <row r="274" spans="15:28" s="145" customFormat="1">
      <c r="O274" s="229"/>
      <c r="S274" s="230"/>
      <c r="V274" s="559"/>
      <c r="AB274" s="228"/>
    </row>
    <row r="275" spans="15:28" s="145" customFormat="1">
      <c r="O275" s="229"/>
      <c r="S275" s="230"/>
      <c r="V275" s="559"/>
      <c r="AB275" s="228"/>
    </row>
    <row r="276" spans="15:28" s="145" customFormat="1">
      <c r="O276" s="229"/>
      <c r="S276" s="230"/>
      <c r="V276" s="559"/>
      <c r="AB276" s="228"/>
    </row>
    <row r="277" spans="15:28" s="145" customFormat="1">
      <c r="O277" s="229"/>
      <c r="S277" s="230"/>
      <c r="V277" s="559"/>
      <c r="AB277" s="228"/>
    </row>
    <row r="278" spans="15:28" s="145" customFormat="1">
      <c r="O278" s="229"/>
      <c r="S278" s="230"/>
      <c r="V278" s="559"/>
      <c r="AB278" s="228"/>
    </row>
    <row r="279" spans="15:28" s="145" customFormat="1">
      <c r="O279" s="229"/>
      <c r="S279" s="230"/>
      <c r="V279" s="559"/>
      <c r="AB279" s="228"/>
    </row>
    <row r="280" spans="15:28" s="145" customFormat="1">
      <c r="O280" s="229"/>
      <c r="S280" s="230"/>
      <c r="V280" s="559"/>
      <c r="AB280" s="228"/>
    </row>
    <row r="281" spans="15:28" s="145" customFormat="1">
      <c r="O281" s="229"/>
      <c r="S281" s="230"/>
      <c r="V281" s="559"/>
      <c r="AB281" s="228"/>
    </row>
    <row r="282" spans="15:28" s="145" customFormat="1">
      <c r="O282" s="229"/>
      <c r="S282" s="230"/>
      <c r="V282" s="559"/>
      <c r="AB282" s="228"/>
    </row>
    <row r="283" spans="15:28" s="145" customFormat="1">
      <c r="O283" s="229"/>
      <c r="S283" s="230"/>
      <c r="V283" s="559"/>
      <c r="AB283" s="228"/>
    </row>
    <row r="284" spans="15:28" s="145" customFormat="1">
      <c r="O284" s="229"/>
      <c r="S284" s="230"/>
      <c r="V284" s="559"/>
      <c r="AB284" s="228"/>
    </row>
    <row r="285" spans="15:28" s="145" customFormat="1">
      <c r="O285" s="229"/>
      <c r="S285" s="230"/>
      <c r="V285" s="559"/>
      <c r="AB285" s="228"/>
    </row>
    <row r="286" spans="15:28" s="145" customFormat="1">
      <c r="O286" s="229"/>
      <c r="S286" s="230"/>
      <c r="V286" s="559"/>
      <c r="AB286" s="228"/>
    </row>
    <row r="287" spans="15:28" s="145" customFormat="1">
      <c r="O287" s="229"/>
      <c r="S287" s="230"/>
      <c r="V287" s="559"/>
      <c r="AB287" s="228"/>
    </row>
    <row r="288" spans="15:28" s="145" customFormat="1">
      <c r="O288" s="229"/>
      <c r="S288" s="230"/>
      <c r="V288" s="559"/>
      <c r="AB288" s="228"/>
    </row>
    <row r="289" spans="15:28" s="145" customFormat="1">
      <c r="O289" s="229"/>
      <c r="S289" s="230"/>
      <c r="V289" s="559"/>
      <c r="AB289" s="228"/>
    </row>
    <row r="290" spans="15:28" s="145" customFormat="1">
      <c r="O290" s="229"/>
      <c r="S290" s="230"/>
      <c r="V290" s="559"/>
      <c r="AB290" s="228"/>
    </row>
    <row r="291" spans="15:28" s="145" customFormat="1">
      <c r="O291" s="229"/>
      <c r="S291" s="230"/>
      <c r="V291" s="559"/>
      <c r="AB291" s="228"/>
    </row>
  </sheetData>
  <pageMargins left="0.75" right="0.75" top="1" bottom="1" header="0.5" footer="0.5"/>
  <pageSetup paperSize="9" orientation="portrait" horizontalDpi="4294967292" verticalDpi="4294967292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4">
    <tabColor rgb="FF00B050"/>
  </sheetPr>
  <dimension ref="A2:CM28"/>
  <sheetViews>
    <sheetView topLeftCell="BW16" workbookViewId="0">
      <selection activeCell="BN6" sqref="BN6"/>
    </sheetView>
  </sheetViews>
  <sheetFormatPr defaultRowHeight="15.75"/>
  <cols>
    <col min="1" max="1" width="26.25" customWidth="1"/>
    <col min="2" max="2" width="11.25" customWidth="1"/>
    <col min="3" max="3" width="12.375" customWidth="1"/>
    <col min="4" max="6" width="10.25" customWidth="1"/>
    <col min="7" max="12" width="11.75" customWidth="1"/>
    <col min="13" max="13" width="10.875" customWidth="1"/>
    <col min="14" max="14" width="13" bestFit="1" customWidth="1"/>
    <col min="15" max="17" width="10.25" customWidth="1"/>
    <col min="18" max="18" width="12.25" bestFit="1" customWidth="1"/>
    <col min="20" max="20" width="9" customWidth="1"/>
    <col min="27" max="29" width="11" customWidth="1"/>
    <col min="30" max="30" width="11.125" customWidth="1"/>
    <col min="31" max="31" width="10.25" customWidth="1"/>
    <col min="38" max="39" width="10.125" customWidth="1"/>
    <col min="50" max="50" width="10.75" customWidth="1"/>
    <col min="51" max="51" width="11.25" customWidth="1"/>
    <col min="62" max="62" width="10.75" customWidth="1"/>
    <col min="63" max="63" width="11.375" bestFit="1" customWidth="1"/>
    <col min="64" max="66" width="11.375" customWidth="1"/>
    <col min="74" max="74" width="9.5" customWidth="1"/>
    <col min="75" max="75" width="11.875" bestFit="1" customWidth="1"/>
    <col min="79" max="79" width="8.625"/>
    <col min="86" max="86" width="9" customWidth="1"/>
    <col min="87" max="87" width="8.625" customWidth="1"/>
  </cols>
  <sheetData>
    <row r="2" spans="1:87">
      <c r="A2" s="351" t="s">
        <v>1418</v>
      </c>
      <c r="B2" s="351"/>
      <c r="C2" s="351"/>
      <c r="D2" s="351"/>
      <c r="E2" s="351"/>
      <c r="F2" s="351"/>
      <c r="G2" s="351"/>
      <c r="H2" s="351"/>
      <c r="I2" s="351"/>
      <c r="J2" s="351"/>
      <c r="K2" s="351"/>
      <c r="L2" s="351"/>
      <c r="M2" s="351"/>
      <c r="N2" s="351"/>
      <c r="O2" s="351"/>
      <c r="P2" s="351"/>
      <c r="Q2" s="351"/>
      <c r="R2" s="351"/>
      <c r="S2" s="351"/>
      <c r="T2" s="351"/>
      <c r="U2" s="351"/>
      <c r="V2" s="351"/>
      <c r="W2" s="351"/>
      <c r="X2" s="351"/>
      <c r="Y2" s="351"/>
      <c r="Z2" s="351"/>
      <c r="AA2" s="351"/>
      <c r="AB2" s="351"/>
      <c r="AC2" s="351"/>
      <c r="AD2" s="351"/>
      <c r="AE2" s="351"/>
      <c r="AF2" s="351"/>
      <c r="AG2" s="351"/>
      <c r="AH2" s="351"/>
      <c r="AI2" s="351"/>
      <c r="AJ2" s="351"/>
      <c r="AK2" s="351"/>
      <c r="AL2" s="351"/>
      <c r="AM2" s="351"/>
      <c r="AN2" s="351"/>
      <c r="AO2" s="351"/>
      <c r="AP2" s="351"/>
      <c r="AQ2" s="351"/>
      <c r="AR2" s="351"/>
      <c r="AS2" s="351"/>
      <c r="AT2" s="351"/>
      <c r="AU2" s="351"/>
      <c r="AV2" s="351"/>
      <c r="AW2" s="351"/>
      <c r="AX2" s="351"/>
      <c r="AY2" s="351"/>
      <c r="AZ2" s="351"/>
      <c r="BA2" s="351"/>
      <c r="BB2" s="351"/>
      <c r="BC2" s="351"/>
      <c r="BD2" s="351"/>
      <c r="BE2" s="351"/>
      <c r="BF2" s="351"/>
      <c r="BG2" s="351"/>
      <c r="BH2" s="351"/>
      <c r="BI2" s="351"/>
      <c r="BJ2" s="351"/>
      <c r="BK2" s="351"/>
      <c r="BL2" s="351"/>
      <c r="BM2" s="351"/>
      <c r="BN2" s="351"/>
      <c r="BO2" s="351"/>
      <c r="BP2" s="351"/>
      <c r="BQ2" s="351"/>
      <c r="BR2" s="351"/>
      <c r="BS2" s="351"/>
      <c r="BT2" s="351"/>
      <c r="BU2" s="351"/>
      <c r="BV2" s="351"/>
      <c r="BW2" s="351"/>
      <c r="BX2" s="351"/>
      <c r="BY2" s="351"/>
      <c r="BZ2" s="351"/>
      <c r="CA2" s="351"/>
      <c r="CB2" s="351"/>
      <c r="CC2" s="351"/>
      <c r="CD2" s="351"/>
      <c r="CE2" s="351"/>
      <c r="CF2" s="351"/>
      <c r="CG2" s="351"/>
      <c r="CH2" s="351"/>
      <c r="CI2" s="351"/>
    </row>
    <row r="3" spans="1:87" ht="15.75" customHeight="1" thickBot="1">
      <c r="A3" s="122"/>
      <c r="B3" s="1508" t="s">
        <v>1130</v>
      </c>
      <c r="C3" s="1509"/>
      <c r="D3" s="1509"/>
      <c r="E3" s="1509"/>
      <c r="F3" s="1509"/>
      <c r="G3" s="1509"/>
      <c r="H3" s="1509"/>
      <c r="I3" s="1509"/>
      <c r="J3" s="1509"/>
      <c r="K3" s="1509"/>
      <c r="L3" s="1509"/>
      <c r="M3" s="1509"/>
      <c r="N3" s="1509"/>
      <c r="O3" s="1509"/>
      <c r="P3" s="1509"/>
      <c r="Q3" s="1509"/>
      <c r="R3" s="1509"/>
      <c r="S3" s="1509"/>
      <c r="T3" s="1509"/>
      <c r="U3" s="1509"/>
      <c r="V3" s="1509"/>
      <c r="W3" s="1509"/>
      <c r="X3" s="1509"/>
      <c r="Y3" s="1509"/>
      <c r="Z3" s="1509"/>
      <c r="AA3" s="1509"/>
      <c r="AB3" s="1509"/>
      <c r="AC3" s="1509"/>
      <c r="AD3" s="1509"/>
      <c r="AE3" s="1509"/>
      <c r="AF3" s="1509"/>
      <c r="AG3" s="1509"/>
      <c r="AH3" s="1509"/>
      <c r="AI3" s="1509"/>
      <c r="AJ3" s="1509"/>
      <c r="AK3" s="1509"/>
      <c r="AL3" s="1509"/>
      <c r="AM3" s="1509"/>
      <c r="AN3" s="1509"/>
      <c r="AO3" s="1509"/>
      <c r="AP3" s="1509"/>
      <c r="AQ3" s="1509"/>
      <c r="AR3" s="1509"/>
      <c r="AS3" s="1509"/>
      <c r="AT3" s="1509"/>
      <c r="AU3" s="1509"/>
      <c r="AV3" s="1509"/>
      <c r="AW3" s="1509"/>
      <c r="AX3" s="1509"/>
      <c r="AY3" s="1509"/>
      <c r="AZ3" s="1509"/>
      <c r="BA3" s="1509"/>
      <c r="BB3" s="1509"/>
      <c r="BC3" s="1509"/>
      <c r="BD3" s="1509"/>
      <c r="BE3" s="1509"/>
      <c r="BF3" s="1509"/>
      <c r="BG3" s="1509"/>
      <c r="BH3" s="1509"/>
      <c r="BI3" s="1509"/>
      <c r="BJ3" s="1509"/>
      <c r="BK3" s="1509"/>
      <c r="BL3" s="1509"/>
      <c r="BM3" s="1509"/>
      <c r="BN3" s="1509"/>
      <c r="BO3" s="1509"/>
      <c r="BP3" s="1509"/>
      <c r="BQ3" s="1509"/>
      <c r="BR3" s="1509"/>
      <c r="BS3" s="1509"/>
      <c r="BT3" s="1509"/>
      <c r="BU3" s="1509"/>
      <c r="BV3" s="1509"/>
      <c r="BW3" s="1509"/>
      <c r="BX3" s="1509"/>
      <c r="BY3" s="1509"/>
      <c r="BZ3" s="1509"/>
      <c r="CA3" s="1509"/>
      <c r="CB3" s="1509"/>
      <c r="CC3" s="1509"/>
      <c r="CD3" s="1509"/>
      <c r="CE3" s="1509"/>
      <c r="CF3" s="1509"/>
      <c r="CG3" s="1509"/>
      <c r="CH3" s="1509"/>
      <c r="CI3" s="1509"/>
    </row>
    <row r="4" spans="1:87">
      <c r="A4" s="541"/>
      <c r="B4" s="1506" t="str">
        <f>CONCATENATE("Feed Item 1 - ", INPUTS!B60)</f>
        <v>Feed Item 1 - Rice (Oryza sativa) - bran (with germs)</v>
      </c>
      <c r="C4" s="1507"/>
      <c r="D4" s="1507"/>
      <c r="E4" s="1507"/>
      <c r="F4" s="1507"/>
      <c r="G4" s="1507"/>
      <c r="H4" s="1507"/>
      <c r="I4" s="1507"/>
      <c r="J4" s="1507"/>
      <c r="K4" s="1507"/>
      <c r="L4" s="1507"/>
      <c r="M4" s="1507"/>
      <c r="N4" s="1510" t="str">
        <f>CONCATENATE("Feed Item 2 - ", INPUTS!B61)</f>
        <v>Feed Item 2 - Maize (Zea mays) - whole grain</v>
      </c>
      <c r="O4" s="1511"/>
      <c r="P4" s="1511"/>
      <c r="Q4" s="1511"/>
      <c r="R4" s="1511"/>
      <c r="S4" s="1511"/>
      <c r="T4" s="1512"/>
      <c r="U4" s="1512"/>
      <c r="V4" s="1512"/>
      <c r="W4" s="1512"/>
      <c r="X4" s="1512"/>
      <c r="Y4" s="1513"/>
      <c r="Z4" s="1510" t="str">
        <f>CONCATENATE("Feed Item 3 - ", INPUTS!B62)</f>
        <v>Feed Item 3 - Brachiaria brizantha (forage)</v>
      </c>
      <c r="AA4" s="1511"/>
      <c r="AB4" s="1511"/>
      <c r="AC4" s="1511"/>
      <c r="AD4" s="1511"/>
      <c r="AE4" s="1511"/>
      <c r="AF4" s="1511"/>
      <c r="AG4" s="1512"/>
      <c r="AH4" s="1512"/>
      <c r="AI4" s="1512"/>
      <c r="AJ4" s="1512"/>
      <c r="AK4" s="1513"/>
      <c r="AL4" s="1510" t="str">
        <f>CONCATENATE("Feed Item 4 - ", INPUTS!B63)</f>
        <v>Feed Item 4 - Concentrate (commercial)</v>
      </c>
      <c r="AM4" s="1511"/>
      <c r="AN4" s="1511"/>
      <c r="AO4" s="1511"/>
      <c r="AP4" s="1511"/>
      <c r="AQ4" s="1511"/>
      <c r="AR4" s="1511"/>
      <c r="AS4" s="1512"/>
      <c r="AT4" s="1512"/>
      <c r="AU4" s="1512"/>
      <c r="AV4" s="1512"/>
      <c r="AW4" s="1513"/>
      <c r="AX4" s="1510" t="str">
        <f>CONCATENATE("Feed Item 5 - ", INPUTS!B64)</f>
        <v>Feed Item 5 - Rice (Oryza sativa) - straw</v>
      </c>
      <c r="AY4" s="1511"/>
      <c r="AZ4" s="1511"/>
      <c r="BA4" s="1511"/>
      <c r="BB4" s="1511"/>
      <c r="BC4" s="1511"/>
      <c r="BD4" s="1511"/>
      <c r="BE4" s="1512"/>
      <c r="BF4" s="1512"/>
      <c r="BG4" s="1512"/>
      <c r="BH4" s="1512"/>
      <c r="BI4" s="1513"/>
      <c r="BJ4" s="1514" t="str">
        <f>CONCATENATE("Feed Item 6 - ", INPUTS!B65)</f>
        <v>Feed Item 6 - Naturally occuring pasture - grazing</v>
      </c>
      <c r="BK4" s="1515"/>
      <c r="BL4" s="1515"/>
      <c r="BM4" s="1515"/>
      <c r="BN4" s="1515"/>
      <c r="BO4" s="1515"/>
      <c r="BP4" s="1515"/>
      <c r="BQ4" s="1516"/>
      <c r="BR4" s="1516"/>
      <c r="BS4" s="1516"/>
      <c r="BT4" s="1516"/>
      <c r="BU4" s="1517"/>
      <c r="BV4" s="1510" t="str">
        <f>CONCATENATE("Feed Item 7 - ", INPUTS!B66)</f>
        <v>Feed Item 7 - Pennisetum purpureum - forage</v>
      </c>
      <c r="BW4" s="1511"/>
      <c r="BX4" s="1511"/>
      <c r="BY4" s="1511"/>
      <c r="BZ4" s="1511"/>
      <c r="CA4" s="1511"/>
      <c r="CB4" s="1511"/>
      <c r="CC4" s="1512"/>
      <c r="CD4" s="1512"/>
      <c r="CE4" s="1512"/>
      <c r="CF4" s="1512"/>
      <c r="CG4" s="1513"/>
      <c r="CH4" s="550"/>
      <c r="CI4" s="551"/>
    </row>
    <row r="5" spans="1:87" ht="62.25" customHeight="1">
      <c r="A5" s="542"/>
      <c r="B5" s="727" t="s">
        <v>1086</v>
      </c>
      <c r="C5" s="471" t="s">
        <v>1087</v>
      </c>
      <c r="D5" s="471" t="s">
        <v>1420</v>
      </c>
      <c r="E5" s="471" t="s">
        <v>1421</v>
      </c>
      <c r="F5" s="471" t="s">
        <v>1419</v>
      </c>
      <c r="G5" s="471" t="s">
        <v>1342</v>
      </c>
      <c r="H5" s="471" t="s">
        <v>1424</v>
      </c>
      <c r="I5" s="471" t="s">
        <v>1425</v>
      </c>
      <c r="J5" s="471" t="s">
        <v>1422</v>
      </c>
      <c r="K5" s="471" t="s">
        <v>1423</v>
      </c>
      <c r="L5" s="830" t="s">
        <v>1426</v>
      </c>
      <c r="M5" s="725" t="s">
        <v>1427</v>
      </c>
      <c r="N5" s="727" t="s">
        <v>1086</v>
      </c>
      <c r="O5" s="471" t="s">
        <v>1087</v>
      </c>
      <c r="P5" s="471" t="s">
        <v>1420</v>
      </c>
      <c r="Q5" s="471" t="s">
        <v>1421</v>
      </c>
      <c r="R5" s="471" t="s">
        <v>1419</v>
      </c>
      <c r="S5" s="471" t="s">
        <v>1342</v>
      </c>
      <c r="T5" s="471" t="s">
        <v>1424</v>
      </c>
      <c r="U5" s="471" t="s">
        <v>1425</v>
      </c>
      <c r="V5" s="471" t="s">
        <v>1422</v>
      </c>
      <c r="W5" s="471" t="s">
        <v>1423</v>
      </c>
      <c r="X5" s="830" t="s">
        <v>1426</v>
      </c>
      <c r="Y5" s="725" t="s">
        <v>1427</v>
      </c>
      <c r="Z5" s="544" t="s">
        <v>1086</v>
      </c>
      <c r="AA5" s="471" t="s">
        <v>1087</v>
      </c>
      <c r="AB5" s="471" t="s">
        <v>1420</v>
      </c>
      <c r="AC5" s="471" t="s">
        <v>1421</v>
      </c>
      <c r="AD5" s="471" t="s">
        <v>1419</v>
      </c>
      <c r="AE5" s="471" t="s">
        <v>1342</v>
      </c>
      <c r="AF5" s="471" t="s">
        <v>1424</v>
      </c>
      <c r="AG5" s="471" t="s">
        <v>1425</v>
      </c>
      <c r="AH5" s="471" t="s">
        <v>1422</v>
      </c>
      <c r="AI5" s="471" t="s">
        <v>1423</v>
      </c>
      <c r="AJ5" s="830" t="s">
        <v>1426</v>
      </c>
      <c r="AK5" s="725" t="s">
        <v>1427</v>
      </c>
      <c r="AL5" s="544" t="s">
        <v>1086</v>
      </c>
      <c r="AM5" s="471" t="s">
        <v>1087</v>
      </c>
      <c r="AN5" s="471" t="s">
        <v>1420</v>
      </c>
      <c r="AO5" s="471" t="s">
        <v>1421</v>
      </c>
      <c r="AP5" s="471" t="s">
        <v>1419</v>
      </c>
      <c r="AQ5" s="471" t="s">
        <v>1342</v>
      </c>
      <c r="AR5" s="471" t="s">
        <v>1424</v>
      </c>
      <c r="AS5" s="471" t="s">
        <v>1425</v>
      </c>
      <c r="AT5" s="471" t="s">
        <v>1422</v>
      </c>
      <c r="AU5" s="471" t="s">
        <v>1423</v>
      </c>
      <c r="AV5" s="830" t="s">
        <v>1426</v>
      </c>
      <c r="AW5" s="725" t="s">
        <v>1427</v>
      </c>
      <c r="AX5" s="544" t="s">
        <v>1086</v>
      </c>
      <c r="AY5" s="471" t="s">
        <v>1087</v>
      </c>
      <c r="AZ5" s="471" t="s">
        <v>1420</v>
      </c>
      <c r="BA5" s="471" t="s">
        <v>1421</v>
      </c>
      <c r="BB5" s="471" t="s">
        <v>1419</v>
      </c>
      <c r="BC5" s="471" t="s">
        <v>1342</v>
      </c>
      <c r="BD5" s="471" t="s">
        <v>1424</v>
      </c>
      <c r="BE5" s="471" t="s">
        <v>1425</v>
      </c>
      <c r="BF5" s="471" t="s">
        <v>1422</v>
      </c>
      <c r="BG5" s="471" t="s">
        <v>1423</v>
      </c>
      <c r="BH5" s="830" t="s">
        <v>1426</v>
      </c>
      <c r="BI5" s="725" t="s">
        <v>1427</v>
      </c>
      <c r="BJ5" s="544" t="s">
        <v>1086</v>
      </c>
      <c r="BK5" s="471" t="s">
        <v>1087</v>
      </c>
      <c r="BL5" s="471" t="s">
        <v>1420</v>
      </c>
      <c r="BM5" s="471" t="s">
        <v>1421</v>
      </c>
      <c r="BN5" s="471" t="s">
        <v>1419</v>
      </c>
      <c r="BO5" s="471" t="s">
        <v>1342</v>
      </c>
      <c r="BP5" s="471" t="s">
        <v>1424</v>
      </c>
      <c r="BQ5" s="471" t="s">
        <v>1425</v>
      </c>
      <c r="BR5" s="471" t="s">
        <v>1422</v>
      </c>
      <c r="BS5" s="471" t="s">
        <v>1423</v>
      </c>
      <c r="BT5" s="830" t="s">
        <v>1426</v>
      </c>
      <c r="BU5" s="725" t="s">
        <v>1427</v>
      </c>
      <c r="BV5" s="727" t="s">
        <v>1086</v>
      </c>
      <c r="BW5" s="471" t="s">
        <v>1087</v>
      </c>
      <c r="BX5" s="471" t="s">
        <v>1420</v>
      </c>
      <c r="BY5" s="471" t="s">
        <v>1421</v>
      </c>
      <c r="BZ5" s="471" t="s">
        <v>1419</v>
      </c>
      <c r="CA5" s="471" t="s">
        <v>1342</v>
      </c>
      <c r="CB5" s="471" t="s">
        <v>1424</v>
      </c>
      <c r="CC5" s="471" t="s">
        <v>1425</v>
      </c>
      <c r="CD5" s="471" t="s">
        <v>1422</v>
      </c>
      <c r="CE5" s="471" t="s">
        <v>1423</v>
      </c>
      <c r="CF5" s="830" t="s">
        <v>1426</v>
      </c>
      <c r="CG5" s="725" t="s">
        <v>1427</v>
      </c>
      <c r="CH5" s="545" t="s">
        <v>1310</v>
      </c>
      <c r="CI5" s="545" t="s">
        <v>1311</v>
      </c>
    </row>
    <row r="6" spans="1:87">
      <c r="A6" s="542" t="str">
        <f>'Livestock parameters'!A20</f>
        <v>Cows (local)</v>
      </c>
      <c r="B6" s="724">
        <f>IFERROR(Feed!F143*Feed!E12,0)</f>
        <v>173.22123891753941</v>
      </c>
      <c r="C6" s="552">
        <f>IFERROR(Feed!G143*Feed!N12,0)</f>
        <v>125.01344129426197</v>
      </c>
      <c r="D6" s="242">
        <f>VLOOKUP(INPUTS!$D$73,'Crop parameters'!$A$2:$Z$43,4,FALSE)*1000</f>
        <v>0</v>
      </c>
      <c r="E6" s="472">
        <f>INPUTS!$E$88</f>
        <v>1</v>
      </c>
      <c r="F6" s="242">
        <f>VLOOKUP(INPUTS!$D$73,'Crop parameters'!$A$2:$Z$43,8,FALSE)*1000</f>
        <v>0</v>
      </c>
      <c r="G6" s="472">
        <f>IF(INPUTS!$E$73="Residue",INPUTS!$F$88,0)</f>
        <v>0</v>
      </c>
      <c r="H6" s="472">
        <f>IFERROR(IF(INPUTS!$E$73="Main",B6/(D6*E6),B6/(F6*G6)),0)</f>
        <v>0</v>
      </c>
      <c r="I6" s="472">
        <f>IFERROR(IF(INPUTS!$E$73="Main",C6/(D6*E6),C6/(F6*G6)),0)</f>
        <v>0</v>
      </c>
      <c r="J6" s="825">
        <f t="shared" ref="J6:J14" si="0">IF(G6&gt;0,H6*(D6*E6/(D6*E6+F6*G6)),0)</f>
        <v>0</v>
      </c>
      <c r="K6" s="843">
        <f t="shared" ref="K6:K14" si="1">IF(G6&gt;0,I6*(D6*E6/(D6*E6+F6*G6)),0)</f>
        <v>0</v>
      </c>
      <c r="L6" s="825">
        <f>IFERROR(IF(G6&gt;0,H6*(F6*G6/(D6*E6+F6*G6)),H6*(D6*E6+F6*G6)/(D6*E6+F6*G6)),0)</f>
        <v>0</v>
      </c>
      <c r="M6" s="825">
        <f>IFERROR(IF(G6&gt;0,I6*(F6*G6/(D6*E6+F6*G6)),I6*(D6*E6+F6*G6)/(D6*E6+F6*G6)),0)</f>
        <v>0</v>
      </c>
      <c r="N6" s="724">
        <f>IFERROR(Feed!F143*Feed!F12,0)</f>
        <v>0</v>
      </c>
      <c r="O6" s="552">
        <f>IFERROR(Feed!G143*Feed!O12,0)</f>
        <v>0</v>
      </c>
      <c r="P6" s="242">
        <f>VLOOKUP(INPUTS!$D$74,'Crop parameters'!$A$2:$Z$43,4,FALSE)*1000</f>
        <v>1064</v>
      </c>
      <c r="Q6" s="472">
        <f>INPUTS!$E$89</f>
        <v>1</v>
      </c>
      <c r="R6" s="242">
        <f>VLOOKUP(INPUTS!$D$74,'Crop parameters'!$A$2:$Z$43,8,FALSE)*1000</f>
        <v>3000</v>
      </c>
      <c r="S6" s="472">
        <f>IF(INPUTS!$E$74="Residue",INPUTS!$F$89,0)</f>
        <v>0</v>
      </c>
      <c r="T6" s="472">
        <f>IFERROR(IF(INPUTS!$E$74="Main",N6/(P6*Q6),N6/(R6*S6)),0)</f>
        <v>0</v>
      </c>
      <c r="U6" s="472">
        <f>IFERROR(IF(INPUTS!$E$74="Main",O6/(P6*Q6),O6/(R6*S6)),0)</f>
        <v>0</v>
      </c>
      <c r="V6" s="825">
        <f t="shared" ref="V6:V14" si="2">IF(S6&gt;0,T6*(P6*Q6/(P6*Q6+R6*S6)),0)</f>
        <v>0</v>
      </c>
      <c r="W6" s="843">
        <f t="shared" ref="W6:W14" si="3">IF(S6&gt;0,U6*(P6*Q6/(P6*Q6+R6*S6)),0)</f>
        <v>0</v>
      </c>
      <c r="X6" s="825">
        <f t="shared" ref="X6:X14" si="4">IFERROR(IF(S6&gt;0,T6*(R6*S6/(P6*Q6+R6*S6)),T6*(P6*Q6+R6*S6)/(P6*Q6+R6*S6)),0)</f>
        <v>0</v>
      </c>
      <c r="Y6" s="825">
        <f t="shared" ref="Y6:Y14" si="5">IFERROR(IF(S6&gt;0,U6*(R6*S6/(P6*Q6+R6*S6)),U6*(P6*Q6+R6*S6)/(P6*Q6+R6*S6)),0)</f>
        <v>0</v>
      </c>
      <c r="Z6" s="724">
        <f>IFERROR(Feed!F143*Feed!G12,0)</f>
        <v>366.23919085422619</v>
      </c>
      <c r="AA6" s="552">
        <f>IFERROR(Feed!G143*Feed!P12,0)</f>
        <v>264.31413302215384</v>
      </c>
      <c r="AB6" s="242">
        <f>VLOOKUP(INPUTS!$D$75,'Crop parameters'!$A$2:$Z$43,4,FALSE)*1000</f>
        <v>15646.575342465754</v>
      </c>
      <c r="AC6" s="472">
        <f>INPUTS!$E$90</f>
        <v>0.9</v>
      </c>
      <c r="AD6" s="242">
        <f>VLOOKUP(INPUTS!$D$75,'Crop parameters'!$A$2:$Z$43,8,FALSE)*1000</f>
        <v>0</v>
      </c>
      <c r="AE6" s="472">
        <f>IF(INPUTS!$E$75="Residue",INPUTS!$F$90,0)</f>
        <v>0</v>
      </c>
      <c r="AF6" s="472">
        <f>IFERROR(IF(INPUTS!$E$75="Main",Z6/(AB6*AC6),Z6/(AD6*AE6)),0)</f>
        <v>2.600776370392275E-2</v>
      </c>
      <c r="AG6" s="472">
        <f>IFERROR(IF(INPUTS!$E$75="Main",AA6/(AB6*AC6),AA6/(AD6*AE6)),0)</f>
        <v>1.8769753993868779E-2</v>
      </c>
      <c r="AH6" s="825">
        <f>IF(AE6&gt;0,AF6*(AB6*AC6/(AB6*AC6+AD6*AE6)),0)</f>
        <v>0</v>
      </c>
      <c r="AI6" s="843">
        <f>IF(AE6&gt;0,AG6*(AB6*AC6/(AB6*AC6+AD6*AE6)),0)</f>
        <v>0</v>
      </c>
      <c r="AJ6" s="825">
        <f t="shared" ref="AJ6:AJ14" si="6">IFERROR(IF(AE6&gt;0,AF6*(AD6*AE6/(AB6*AC6+AD6*AE6)),AF6*(AB6*AC6+AD6*AE6)/(AB6*AC6+AD6*AE6)),0)</f>
        <v>2.600776370392275E-2</v>
      </c>
      <c r="AK6" s="825">
        <f t="shared" ref="AK6:AK14" si="7">IFERROR(IF(AE6&gt;0,AG6*(AD6*AE6/(AB6*AC6+AD6*AE6)),AG6*(AB6*AC6+AD6*AE6)/(AB6*AC6+AD6*AE6)),0)</f>
        <v>1.8769753993868779E-2</v>
      </c>
      <c r="AL6" s="829">
        <f>IFERROR(Feed!F143*Feed!H12,0)</f>
        <v>0</v>
      </c>
      <c r="AM6" s="552">
        <f>IFERROR(Feed!G143*Feed!Q12,0)</f>
        <v>0</v>
      </c>
      <c r="AN6" s="242">
        <f>VLOOKUP(INPUTS!$D$76,'Crop parameters'!$A$2:$Z$43,4,FALSE)*1000</f>
        <v>0</v>
      </c>
      <c r="AO6" s="472">
        <f>INPUTS!$E$91</f>
        <v>1</v>
      </c>
      <c r="AP6" s="242">
        <f>VLOOKUP(INPUTS!$D$76,'Crop parameters'!$A$2:$Z$43,8,FALSE)*1000</f>
        <v>0</v>
      </c>
      <c r="AQ6" s="472">
        <f>IF(INPUTS!$E$76="Residue",INPUTS!$F$91,0)</f>
        <v>0</v>
      </c>
      <c r="AR6" s="472">
        <f>IFERROR(IF(INPUTS!$E$76="Main",AL6/(AN6*AO6),AL6/(AP6*AQ6)),0)</f>
        <v>0</v>
      </c>
      <c r="AS6" s="472">
        <f>IFERROR(IF(INPUTS!$E$76="Main",AM6/(AN6*AO6),AM6/(AP6*AQ6)),0)</f>
        <v>0</v>
      </c>
      <c r="AT6" s="825">
        <f t="shared" ref="AT6:AT14" si="8">IF(AQ6&gt;0,AR6*(AN6*AO6/(AN6*AO6+AP6*AQ6)),0)</f>
        <v>0</v>
      </c>
      <c r="AU6" s="843">
        <f t="shared" ref="AU6:AU14" si="9">IF(AQ6&gt;0,AS6*(AN6*AO6/(AN6*AO6+AP6*AQ6)),0)</f>
        <v>0</v>
      </c>
      <c r="AV6" s="825">
        <f t="shared" ref="AV6:AV14" si="10">IFERROR(IF(AQ6&gt;0,AR6*(AP6*AQ6/(AN6*AO6+AP6*AQ6)),AR6*(AN6*AO6+AP6*AQ6)/(AN6*AO6+AP6*AQ6)),0)</f>
        <v>0</v>
      </c>
      <c r="AW6" s="825">
        <f t="shared" ref="AW6:AW14" si="11">IFERROR(IF(AQ6&gt;0,AS6*(AP6*AQ6/(AN6*AO6+AP6*AQ6)),AS6*(AN6*AO6+AP6*AQ6)/(AN6*AO6+AP6*AQ6)),0)</f>
        <v>0</v>
      </c>
      <c r="AX6" s="724">
        <f>IFERROR(Feed!F143*Feed!I12,0)</f>
        <v>349.79269080754995</v>
      </c>
      <c r="AY6" s="552">
        <f>IFERROR(Feed!G143*Feed!R12,0)</f>
        <v>252.44472496959978</v>
      </c>
      <c r="AZ6" s="242">
        <f>VLOOKUP(INPUTS!$D$77,'Crop parameters'!$A$2:$Z$43,4,FALSE)*1000</f>
        <v>1600</v>
      </c>
      <c r="BA6" s="472">
        <f>INPUTS!$E$92</f>
        <v>1</v>
      </c>
      <c r="BB6" s="242">
        <f>VLOOKUP(INPUTS!$D$77,'Crop parameters'!$A$2:$Z$43,8,FALSE)*1000</f>
        <v>2405.8952380952383</v>
      </c>
      <c r="BC6" s="472">
        <f>IF(INPUTS!$E$77="Residue",INPUTS!$F$92,0)</f>
        <v>0.8</v>
      </c>
      <c r="BD6" s="472">
        <f>IFERROR(IF(INPUTS!$E$77="Main",AX6/(AZ6*BA6),AX6/(BB6*BC6)),0)</f>
        <v>0.18173728289832089</v>
      </c>
      <c r="BE6" s="472">
        <f>IFERROR(IF(INPUTS!$E$77="Main",AY6/(AZ6*BA6),AY6/(BB6*BC6)),0)</f>
        <v>0.13115945416718444</v>
      </c>
      <c r="BF6" s="825">
        <f t="shared" ref="BF6:BF14" si="12">IF(BC6&gt;0,BD6*(AZ6*BA6/(AZ6*BA6+BB6*BC6)),0)</f>
        <v>8.2497323734320005E-2</v>
      </c>
      <c r="BG6" s="843">
        <f t="shared" ref="BG6:BG14" si="13">IF(BC6&gt;0,BE6*(AZ6*BA6/(AZ6*BA6+BB6*BC6)),0)</f>
        <v>5.9538162883730955E-2</v>
      </c>
      <c r="BH6" s="825">
        <f t="shared" ref="BH6:BH14" si="14">IFERROR(IF(BC6&gt;0,BD6*(BB6*BC6/(AZ6*BA6+BB6*BC6)),BD6*(AZ6*BA6+BB6*BC6)/(AZ6*BA6+BB6*BC6)),0)</f>
        <v>9.9239959164000885E-2</v>
      </c>
      <c r="BI6" s="825">
        <f t="shared" ref="BI6:BI14" si="15">IFERROR(IF(BC6&gt;0,BE6*(BB6*BC6/(AZ6*BA6+BB6*BC6)),BE6*(AZ6*BA6+BB6*BC6)/(AZ6*BA6+BB6*BC6)),0)</f>
        <v>7.1621291283453473E-2</v>
      </c>
      <c r="BJ6" s="724">
        <f>IFERROR(Feed!F143*Feed!J12,0)</f>
        <v>342.63541763908893</v>
      </c>
      <c r="BK6" s="552">
        <f>IFERROR(Feed!G143*Feed!S12,0)</f>
        <v>247.27933442821046</v>
      </c>
      <c r="BL6" s="242">
        <f>VLOOKUP(INPUTS!$D$78,'Crop parameters'!$A$2:$Z$43,4,FALSE)*1000</f>
        <v>0</v>
      </c>
      <c r="BM6" s="472">
        <f>INPUTS!$E$93</f>
        <v>0.6</v>
      </c>
      <c r="BN6" s="242">
        <f>VLOOKUP(INPUTS!$D$78,'Crop parameters'!$A$2:$Z$43,8,FALSE)*1000</f>
        <v>66.041816870944544</v>
      </c>
      <c r="BO6" s="472">
        <f>IF(INPUTS!$E$78="Residue",INPUTS!$F$93,0)</f>
        <v>0</v>
      </c>
      <c r="BP6" s="472">
        <f>IFERROR(IF(INPUTS!$E$78="Main",BJ6/(BL6*BM6),BJ6/(BN6*BO6)),0)</f>
        <v>0</v>
      </c>
      <c r="BQ6" s="472">
        <f>IFERROR(IF(INPUTS!$E$78="Main",BK6/(BL6*BM6),BK6/(BN6*BO6)),0)</f>
        <v>0</v>
      </c>
      <c r="BR6" s="825">
        <f t="shared" ref="BR6:BR14" si="16">IF(BO6&gt;0,BP6*(BL6*BM6/(BL6*BM6+BN6*BO6)),0)</f>
        <v>0</v>
      </c>
      <c r="BS6" s="843">
        <f t="shared" ref="BS6:BS14" si="17">IF(BO6&gt;0,BQ6*(BL6*BM6/(BL6*BM6+BN6*BO6)),0)</f>
        <v>0</v>
      </c>
      <c r="BT6" s="825">
        <f t="shared" ref="BT6:BT14" si="18">IFERROR(IF(BO6&gt;0,BP6*(BN6*BO6/(BL6*BM6+BN6*BO6)),BP6*(BL6*BM6+BN6*BO6)/(BL6*BM6+BN6*BO6)),0)</f>
        <v>0</v>
      </c>
      <c r="BU6" s="825">
        <f t="shared" ref="BU6:BU14" si="19">IFERROR(IF(BO6&gt;0,BQ6*(BN6*BO6/(BL6*BM6+BN6*BO6)),BQ6*(BL6*BM6+BN6*BO6)/(BL6*BM6+BN6*BO6)),0)</f>
        <v>0</v>
      </c>
      <c r="BV6" s="724">
        <f>IFERROR(Feed!F143*Feed!K12,0)</f>
        <v>188.44947970149894</v>
      </c>
      <c r="BW6" s="552">
        <f>IFERROR(Feed!G143*Feed!T12,0)</f>
        <v>136.00363393551578</v>
      </c>
      <c r="BX6" s="242">
        <f>VLOOKUP(INPUTS!$D$79,'Crop parameters'!$A$2:$Z$43,4,FALSE)*1000</f>
        <v>6000</v>
      </c>
      <c r="BY6" s="472">
        <f>INPUTS!$E$94</f>
        <v>0.9</v>
      </c>
      <c r="BZ6" s="242">
        <f>VLOOKUP(INPUTS!$D$79,'Crop parameters'!$A$2:$Z$43,8,FALSE)*1000</f>
        <v>0</v>
      </c>
      <c r="CA6" s="472">
        <f>IF(INPUTS!$E$79="Residue",INPUTS!$F$94,0)</f>
        <v>0</v>
      </c>
      <c r="CB6" s="472">
        <f>IFERROR(IF(INPUTS!$E$79="Main",BV6/(BX6*BY6),BV6/(BZ6*CA6)),0)</f>
        <v>3.4898051796573876E-2</v>
      </c>
      <c r="CC6" s="472">
        <f>IFERROR(IF(INPUTS!$E$79="Main",BW6/(BX6*BY6),BW6/(BZ6*CA6)),0)</f>
        <v>2.5185858136206624E-2</v>
      </c>
      <c r="CD6" s="825">
        <f t="shared" ref="CD6:CD14" si="20">IF(CA6&gt;0,CB6*(BX6*BY6/(BX6*BY6+BZ6*CA6)),0)</f>
        <v>0</v>
      </c>
      <c r="CE6" s="843">
        <f t="shared" ref="CE6:CE14" si="21">IF(CA6&gt;0,CC6*(BX6*BY6/(BX6*BY6+BZ6*CA6)),0)</f>
        <v>0</v>
      </c>
      <c r="CF6" s="825">
        <f t="shared" ref="CF6:CF14" si="22">IFERROR(IF(CA6&gt;0,CB6*(BZ6*CA6/(BX6*BY6+BZ6*CA6)),CB6*(BX6*BY6+BZ6*CA6)/(BX6*BY6+BZ6*CA6)),0)</f>
        <v>3.4898051796573876E-2</v>
      </c>
      <c r="CG6" s="546">
        <f t="shared" ref="CG6:CG14" si="23">IFERROR(IF(CA6&gt;0,CC6*(BZ6*CA6/(BX6*BY6+BZ6*CA6)),CC6*(BX6*BY6+BZ6*CA6)/(BX6*BY6+BZ6*CA6)),0)</f>
        <v>2.5185858136206624E-2</v>
      </c>
      <c r="CH6" s="726">
        <f t="shared" ref="CH6:CH14" si="24">L6+X6+AJ6+AV6+BH6+BT6+CF6</f>
        <v>0.1601457746644975</v>
      </c>
      <c r="CI6" s="546">
        <f t="shared" ref="CI6:CI14" si="25">M6+Y6+AK6+AW6+BI6+BU6+CG6</f>
        <v>0.11557690341352887</v>
      </c>
    </row>
    <row r="7" spans="1:87">
      <c r="A7" s="542" t="e">
        <f>'Livestock parameters'!#REF!</f>
        <v>#REF!</v>
      </c>
      <c r="B7" s="724">
        <f>IFERROR(Feed!F144*Feed!E19,0)</f>
        <v>206.79706165172624</v>
      </c>
      <c r="C7" s="552">
        <f>IFERROR(Feed!G144*Feed!N19,0)</f>
        <v>149.24504921091568</v>
      </c>
      <c r="D7" s="242">
        <f>VLOOKUP(INPUTS!$D$73,'Crop parameters'!$A$2:$Z$43,4,FALSE)*1000</f>
        <v>0</v>
      </c>
      <c r="E7" s="472">
        <f>INPUTS!$E$88</f>
        <v>1</v>
      </c>
      <c r="F7" s="242">
        <f>VLOOKUP(INPUTS!$D$73,'Crop parameters'!$A$2:$Z$43,8,FALSE)*1000</f>
        <v>0</v>
      </c>
      <c r="G7" s="472">
        <f>IF(INPUTS!$E$73="Residue",INPUTS!$F$88,0)</f>
        <v>0</v>
      </c>
      <c r="H7" s="472">
        <f>IFERROR(IF(INPUTS!$E$73="Main",B7/(D7*E7),B7/(F7*G7)),0)</f>
        <v>0</v>
      </c>
      <c r="I7" s="472">
        <f>IFERROR(IF(INPUTS!$E$73="Main",C7/(D7*E7),C7/(F7*G7)),0)</f>
        <v>0</v>
      </c>
      <c r="J7" s="825">
        <f t="shared" si="0"/>
        <v>0</v>
      </c>
      <c r="K7" s="843">
        <f t="shared" si="1"/>
        <v>0</v>
      </c>
      <c r="L7" s="825">
        <f t="shared" ref="L7:L14" si="26">IFERROR(IF(G7&gt;0,H7*(F7*G7/(D7*E7+F7*G7)),H7*(D7*E7+F7*G7)/(D7*E7+F7*G7)),0)</f>
        <v>0</v>
      </c>
      <c r="M7" s="825">
        <f t="shared" ref="M7:M14" si="27">IFERROR(IF(G7&gt;0,I7*(F7*G7/(D7*E7+F7*G7)),I7*(D7*E7+F7*G7)/(D7*E7+F7*G7)),0)</f>
        <v>0</v>
      </c>
      <c r="N7" s="724">
        <f>IFERROR(Feed!F144*Feed!F19,0)</f>
        <v>0</v>
      </c>
      <c r="O7" s="552">
        <f>IFERROR(Feed!G144*Feed!O19,0)</f>
        <v>0</v>
      </c>
      <c r="P7" s="242">
        <f>VLOOKUP(INPUTS!$D$74,'Crop parameters'!$A$2:$Z$43,4,FALSE)*1000</f>
        <v>1064</v>
      </c>
      <c r="Q7" s="472">
        <f>INPUTS!$E$89</f>
        <v>1</v>
      </c>
      <c r="R7" s="242">
        <f>VLOOKUP(INPUTS!$D$74,'Crop parameters'!$A$2:$Z$43,8,FALSE)*1000</f>
        <v>3000</v>
      </c>
      <c r="S7" s="472">
        <f>IF(INPUTS!$E$74="Residue",INPUTS!$F$89,0)</f>
        <v>0</v>
      </c>
      <c r="T7" s="472">
        <f>IFERROR(IF(INPUTS!$E$74="Main",N7/(P7*Q7),N7/(R7*S7)),0)</f>
        <v>0</v>
      </c>
      <c r="U7" s="472">
        <f>IFERROR(IF(INPUTS!$E$74="Main",O7/(P7*Q7),O7/(R7*S7)),0)</f>
        <v>0</v>
      </c>
      <c r="V7" s="825">
        <f t="shared" si="2"/>
        <v>0</v>
      </c>
      <c r="W7" s="843">
        <f t="shared" si="3"/>
        <v>0</v>
      </c>
      <c r="X7" s="825">
        <f t="shared" si="4"/>
        <v>0</v>
      </c>
      <c r="Y7" s="825">
        <f t="shared" si="5"/>
        <v>0</v>
      </c>
      <c r="Z7" s="724">
        <f>IFERROR(Feed!F144*Feed!G19,0)</f>
        <v>437.22807320650691</v>
      </c>
      <c r="AA7" s="552">
        <f>IFERROR(Feed!G144*Feed!P19,0)</f>
        <v>315.54667547450742</v>
      </c>
      <c r="AB7" s="242">
        <f>VLOOKUP(INPUTS!$D$75,'Crop parameters'!$A$2:$Z$43,4,FALSE)*1000</f>
        <v>15646.575342465754</v>
      </c>
      <c r="AC7" s="472">
        <f>INPUTS!$E$90</f>
        <v>0.9</v>
      </c>
      <c r="AD7" s="242">
        <f>VLOOKUP(INPUTS!$D$75,'Crop parameters'!$A$2:$Z$43,8,FALSE)*1000</f>
        <v>0</v>
      </c>
      <c r="AE7" s="472">
        <f>IF(INPUTS!$E$75="Residue",INPUTS!$F$90,0)</f>
        <v>0</v>
      </c>
      <c r="AF7" s="472">
        <f>IFERROR(IF(INPUTS!$E$75="Main",Z7/(AB7*AC7),Z7/(AD7*AE7)),0)</f>
        <v>3.1048901091533885E-2</v>
      </c>
      <c r="AG7" s="472">
        <f>IFERROR(IF(INPUTS!$E$75="Main",AA7/(AB7*AC7),AA7/(AD7*AE7)),0)</f>
        <v>2.2407933334927761E-2</v>
      </c>
      <c r="AH7" s="825">
        <f t="shared" ref="AH7:AH14" si="28">IF(AE7&gt;0,AF7*(AB7*AC7/(AB7*AC7+AD7*AE7)),0)</f>
        <v>0</v>
      </c>
      <c r="AI7" s="843">
        <f t="shared" ref="AI7:AI14" si="29">IF(AE7&gt;0,AG7*(AB7*AC7/(AB7*AC7+AD7*AE7)),0)</f>
        <v>0</v>
      </c>
      <c r="AJ7" s="825">
        <f t="shared" si="6"/>
        <v>3.1048901091533885E-2</v>
      </c>
      <c r="AK7" s="825">
        <f t="shared" si="7"/>
        <v>2.2407933334927761E-2</v>
      </c>
      <c r="AL7" s="829">
        <f>IFERROR(Feed!F144*Feed!H19,0)</f>
        <v>0</v>
      </c>
      <c r="AM7" s="552">
        <f>IFERROR(Feed!G144*Feed!Q19,0)</f>
        <v>0</v>
      </c>
      <c r="AN7" s="242">
        <f>VLOOKUP(INPUTS!$D$76,'Crop parameters'!$A$2:$Z$43,4,FALSE)*1000</f>
        <v>0</v>
      </c>
      <c r="AO7" s="472">
        <f>INPUTS!$E$91</f>
        <v>1</v>
      </c>
      <c r="AP7" s="242">
        <f>VLOOKUP(INPUTS!$D$76,'Crop parameters'!$A$2:$Z$43,8,FALSE)*1000</f>
        <v>0</v>
      </c>
      <c r="AQ7" s="472">
        <f>IF(INPUTS!$E$76="Residue",INPUTS!$F$91,0)</f>
        <v>0</v>
      </c>
      <c r="AR7" s="472">
        <f>IFERROR(IF(INPUTS!$E$76="Main",AL7/(AN7*AO7),AL7/(AP7*AQ7)),0)</f>
        <v>0</v>
      </c>
      <c r="AS7" s="472">
        <f>IFERROR(IF(INPUTS!$E$76="Main",AM7/(AN7*AO7),AM7/(AP7*AQ7)),0)</f>
        <v>0</v>
      </c>
      <c r="AT7" s="825">
        <f t="shared" si="8"/>
        <v>0</v>
      </c>
      <c r="AU7" s="843">
        <f t="shared" si="9"/>
        <v>0</v>
      </c>
      <c r="AV7" s="825">
        <f t="shared" si="10"/>
        <v>0</v>
      </c>
      <c r="AW7" s="825">
        <f t="shared" si="11"/>
        <v>0</v>
      </c>
      <c r="AX7" s="724">
        <f>IFERROR(Feed!F144*Feed!I19,0)</f>
        <v>417.5937148255079</v>
      </c>
      <c r="AY7" s="552">
        <f>IFERROR(Feed!G144*Feed!R19,0)</f>
        <v>301.37659607689966</v>
      </c>
      <c r="AZ7" s="242">
        <f>VLOOKUP(INPUTS!$D$77,'Crop parameters'!$A$2:$Z$43,4,FALSE)*1000</f>
        <v>1600</v>
      </c>
      <c r="BA7" s="472">
        <f>INPUTS!$E$92</f>
        <v>1</v>
      </c>
      <c r="BB7" s="242">
        <f>VLOOKUP(INPUTS!$D$77,'Crop parameters'!$A$2:$Z$43,8,FALSE)*1000</f>
        <v>2405.8952380952383</v>
      </c>
      <c r="BC7" s="472">
        <f>IF(INPUTS!$E$77="Residue",INPUTS!$F$92,0)</f>
        <v>0.8</v>
      </c>
      <c r="BD7" s="472">
        <f>IFERROR(IF(INPUTS!$E$77="Main",AX7/(AZ7*BA7),AX7/(BB7*BC7)),0)</f>
        <v>0.21696378764403274</v>
      </c>
      <c r="BE7" s="472">
        <f>IFERROR(IF(INPUTS!$E$77="Main",AY7/(AZ7*BA7),AY7/(BB7*BC7)),0)</f>
        <v>0.15658235617706143</v>
      </c>
      <c r="BF7" s="825">
        <f t="shared" si="12"/>
        <v>9.8487946680198765E-2</v>
      </c>
      <c r="BG7" s="843">
        <f t="shared" si="13"/>
        <v>7.1078565292784987E-2</v>
      </c>
      <c r="BH7" s="825">
        <f t="shared" si="14"/>
        <v>0.11847584096383396</v>
      </c>
      <c r="BI7" s="825">
        <f t="shared" si="15"/>
        <v>8.5503790884276426E-2</v>
      </c>
      <c r="BJ7" s="724">
        <f>IFERROR(Feed!F144*Feed!J19,0)</f>
        <v>409.04913293748052</v>
      </c>
      <c r="BK7" s="552">
        <f>IFERROR(Feed!G144*Feed!S19,0)</f>
        <v>295.20998745016288</v>
      </c>
      <c r="BL7" s="242">
        <f>VLOOKUP(INPUTS!$D$78,'Crop parameters'!$A$2:$Z$43,4,FALSE)*1000</f>
        <v>0</v>
      </c>
      <c r="BM7" s="472">
        <f>INPUTS!$E$93</f>
        <v>0.6</v>
      </c>
      <c r="BN7" s="242">
        <f>VLOOKUP(INPUTS!$D$78,'Crop parameters'!$A$2:$Z$43,8,FALSE)*1000</f>
        <v>66.041816870944544</v>
      </c>
      <c r="BO7" s="472">
        <f>IF(INPUTS!$E$78="Residue",INPUTS!$F$93,0)</f>
        <v>0</v>
      </c>
      <c r="BP7" s="472">
        <f>IFERROR(IF(INPUTS!$E$78="Main",BJ7/(BL7*BM7),BJ7/(BN7*BO7)),0)</f>
        <v>0</v>
      </c>
      <c r="BQ7" s="472">
        <f>IFERROR(IF(INPUTS!$E$78="Main",BK7/(BL7*BM7),BK7/(BN7*BO7)),0)</f>
        <v>0</v>
      </c>
      <c r="BR7" s="825">
        <f t="shared" si="16"/>
        <v>0</v>
      </c>
      <c r="BS7" s="843">
        <f t="shared" si="17"/>
        <v>0</v>
      </c>
      <c r="BT7" s="825">
        <f t="shared" si="18"/>
        <v>0</v>
      </c>
      <c r="BU7" s="825">
        <f t="shared" si="19"/>
        <v>0</v>
      </c>
      <c r="BV7" s="724">
        <f>IFERROR(Feed!F144*Feed!K19,0)</f>
        <v>224.97702311561429</v>
      </c>
      <c r="BW7" s="552">
        <f>IFERROR(Feed!G144*Feed!T19,0)</f>
        <v>162.36549309758959</v>
      </c>
      <c r="BX7" s="242">
        <f>VLOOKUP(INPUTS!$D$79,'Crop parameters'!$A$2:$Z$43,4,FALSE)*1000</f>
        <v>6000</v>
      </c>
      <c r="BY7" s="472">
        <f>INPUTS!$E$94</f>
        <v>0.9</v>
      </c>
      <c r="BZ7" s="242">
        <f>VLOOKUP(INPUTS!$D$79,'Crop parameters'!$A$2:$Z$43,8,FALSE)*1000</f>
        <v>0</v>
      </c>
      <c r="CA7" s="472">
        <f>IF(INPUTS!$E$79="Residue",INPUTS!$F$94,0)</f>
        <v>0</v>
      </c>
      <c r="CB7" s="472">
        <f>IFERROR(IF(INPUTS!$E$79="Main",BV7/(BX7*BY7),BV7/(BZ7*CA7)),0)</f>
        <v>4.1662411688076717E-2</v>
      </c>
      <c r="CC7" s="472">
        <f>IFERROR(IF(INPUTS!$E$79="Main",BW7/(BX7*BY7),BW7/(BZ7*CA7)),0)</f>
        <v>3.0067683906961035E-2</v>
      </c>
      <c r="CD7" s="825">
        <f t="shared" si="20"/>
        <v>0</v>
      </c>
      <c r="CE7" s="843">
        <f t="shared" si="21"/>
        <v>0</v>
      </c>
      <c r="CF7" s="825">
        <f t="shared" si="22"/>
        <v>4.1662411688076717E-2</v>
      </c>
      <c r="CG7" s="546">
        <f t="shared" si="23"/>
        <v>3.0067683906961035E-2</v>
      </c>
      <c r="CH7" s="726">
        <f t="shared" si="24"/>
        <v>0.19118715374344455</v>
      </c>
      <c r="CI7" s="546">
        <f t="shared" si="25"/>
        <v>0.13797940812616521</v>
      </c>
    </row>
    <row r="8" spans="1:87">
      <c r="A8" s="542" t="str">
        <f>'Livestock parameters'!A23</f>
        <v>Adult cattle - male</v>
      </c>
      <c r="B8" s="724">
        <f>IFERROR(Feed!F145*Feed!E26,0)</f>
        <v>178.72429206135578</v>
      </c>
      <c r="C8" s="552">
        <f>IFERROR(Feed!G145*Feed!N26,0)</f>
        <v>128.98498436503507</v>
      </c>
      <c r="D8" s="242">
        <f>VLOOKUP(INPUTS!$D$73,'Crop parameters'!$A$2:$Z$43,4,FALSE)*1000</f>
        <v>0</v>
      </c>
      <c r="E8" s="472">
        <f>INPUTS!$E$88</f>
        <v>1</v>
      </c>
      <c r="F8" s="242">
        <f>VLOOKUP(INPUTS!$D$73,'Crop parameters'!$A$2:$Z$43,8,FALSE)*1000</f>
        <v>0</v>
      </c>
      <c r="G8" s="472">
        <f>IF(INPUTS!$E$73="Residue",INPUTS!$F$88,0)</f>
        <v>0</v>
      </c>
      <c r="H8" s="472">
        <f>IFERROR(IF(INPUTS!$E$73="Main",B8/(D8*E8),B8/(F8*G8)),0)</f>
        <v>0</v>
      </c>
      <c r="I8" s="472">
        <f>IFERROR(IF(INPUTS!$E$73="Main",C8/(D8*E8),C8/(F8*G8)),0)</f>
        <v>0</v>
      </c>
      <c r="J8" s="825">
        <f t="shared" si="0"/>
        <v>0</v>
      </c>
      <c r="K8" s="843">
        <f t="shared" si="1"/>
        <v>0</v>
      </c>
      <c r="L8" s="825">
        <f t="shared" si="26"/>
        <v>0</v>
      </c>
      <c r="M8" s="825">
        <f t="shared" si="27"/>
        <v>0</v>
      </c>
      <c r="N8" s="724">
        <f>IFERROR(Feed!F145*Feed!F26,0)</f>
        <v>0</v>
      </c>
      <c r="O8" s="552">
        <f>IFERROR(Feed!G145*Feed!O26,0)</f>
        <v>0</v>
      </c>
      <c r="P8" s="242">
        <f>VLOOKUP(INPUTS!$D$74,'Crop parameters'!$A$2:$Z$43,4,FALSE)*1000</f>
        <v>1064</v>
      </c>
      <c r="Q8" s="472">
        <f>INPUTS!$E$89</f>
        <v>1</v>
      </c>
      <c r="R8" s="242">
        <f>VLOOKUP(INPUTS!$D$74,'Crop parameters'!$A$2:$Z$43,8,FALSE)*1000</f>
        <v>3000</v>
      </c>
      <c r="S8" s="472">
        <f>IF(INPUTS!$E$74="Residue",INPUTS!$F$89,0)</f>
        <v>0</v>
      </c>
      <c r="T8" s="472">
        <f>IFERROR(IF(INPUTS!$E$74="Main",N8/(P8*Q8),N8/(R8*S8)),0)</f>
        <v>0</v>
      </c>
      <c r="U8" s="472">
        <f>IFERROR(IF(INPUTS!$E$74="Main",O8/(P8*Q8),O8/(R8*S8)),0)</f>
        <v>0</v>
      </c>
      <c r="V8" s="825">
        <f t="shared" si="2"/>
        <v>0</v>
      </c>
      <c r="W8" s="843">
        <f t="shared" si="3"/>
        <v>0</v>
      </c>
      <c r="X8" s="825">
        <f t="shared" si="4"/>
        <v>0</v>
      </c>
      <c r="Y8" s="825">
        <f t="shared" si="5"/>
        <v>0</v>
      </c>
      <c r="Z8" s="724">
        <f>IFERROR(Feed!F145*Feed!G26,0)</f>
        <v>377.8742175011522</v>
      </c>
      <c r="AA8" s="552">
        <f>IFERROR(Feed!G145*Feed!P26,0)</f>
        <v>272.71110980035991</v>
      </c>
      <c r="AB8" s="242">
        <f>VLOOKUP(INPUTS!$D$75,'Crop parameters'!$A$2:$Z$43,4,FALSE)*1000</f>
        <v>15646.575342465754</v>
      </c>
      <c r="AC8" s="472">
        <f>INPUTS!$E$90</f>
        <v>0.9</v>
      </c>
      <c r="AD8" s="242">
        <f>VLOOKUP(INPUTS!$D$75,'Crop parameters'!$A$2:$Z$43,8,FALSE)*1000</f>
        <v>0</v>
      </c>
      <c r="AE8" s="472">
        <f>IF(INPUTS!$E$75="Residue",INPUTS!$F$90,0)</f>
        <v>0</v>
      </c>
      <c r="AF8" s="472">
        <f>IFERROR(IF(INPUTS!$E$75="Main",Z8/(AB8*AC8),Z8/(AD8*AE8)),0)</f>
        <v>2.6834002487970687E-2</v>
      </c>
      <c r="AG8" s="472">
        <f>IFERROR(IF(INPUTS!$E$75="Main",AA8/(AB8*AC8),AA8/(AD8*AE8)),0)</f>
        <v>1.9366048965375075E-2</v>
      </c>
      <c r="AH8" s="825">
        <f t="shared" si="28"/>
        <v>0</v>
      </c>
      <c r="AI8" s="843">
        <f t="shared" si="29"/>
        <v>0</v>
      </c>
      <c r="AJ8" s="825">
        <f t="shared" si="6"/>
        <v>2.6834002487970687E-2</v>
      </c>
      <c r="AK8" s="825">
        <f t="shared" si="7"/>
        <v>1.9366048965375075E-2</v>
      </c>
      <c r="AL8" s="829">
        <f>IFERROR(Feed!F145*Feed!H26,0)</f>
        <v>0</v>
      </c>
      <c r="AM8" s="552">
        <f>IFERROR(Feed!G145*Feed!Q26,0)</f>
        <v>0</v>
      </c>
      <c r="AN8" s="242">
        <f>VLOOKUP(INPUTS!$D$76,'Crop parameters'!$A$2:$Z$43,4,FALSE)*1000</f>
        <v>0</v>
      </c>
      <c r="AO8" s="472">
        <f>INPUTS!$E$91</f>
        <v>1</v>
      </c>
      <c r="AP8" s="242">
        <f>VLOOKUP(INPUTS!$D$76,'Crop parameters'!$A$2:$Z$43,8,FALSE)*1000</f>
        <v>0</v>
      </c>
      <c r="AQ8" s="472">
        <f>IF(INPUTS!$E$76="Residue",INPUTS!$F$91,0)</f>
        <v>0</v>
      </c>
      <c r="AR8" s="472">
        <f>IFERROR(IF(INPUTS!$E$76="Main",AL8/(AN8*AO8),AL8/(AP8*AQ8)),0)</f>
        <v>0</v>
      </c>
      <c r="AS8" s="472">
        <f>IFERROR(IF(INPUTS!$E$76="Main",AM8/(AN8*AO8),AM8/(AP8*AQ8)),0)</f>
        <v>0</v>
      </c>
      <c r="AT8" s="825">
        <f t="shared" si="8"/>
        <v>0</v>
      </c>
      <c r="AU8" s="843">
        <f t="shared" si="9"/>
        <v>0</v>
      </c>
      <c r="AV8" s="825">
        <f t="shared" si="10"/>
        <v>0</v>
      </c>
      <c r="AW8" s="825">
        <f t="shared" si="11"/>
        <v>0</v>
      </c>
      <c r="AX8" s="724">
        <f>IFERROR(Feed!F145*Feed!I26,0)</f>
        <v>360.90522977137078</v>
      </c>
      <c r="AY8" s="552">
        <f>IFERROR(Feed!G145*Feed!R26,0)</f>
        <v>260.46462337273459</v>
      </c>
      <c r="AZ8" s="242">
        <f>VLOOKUP(INPUTS!$D$77,'Crop parameters'!$A$2:$Z$43,4,FALSE)*1000</f>
        <v>1600</v>
      </c>
      <c r="BA8" s="472">
        <f>INPUTS!$E$92</f>
        <v>1</v>
      </c>
      <c r="BB8" s="242">
        <f>VLOOKUP(INPUTS!$D$77,'Crop parameters'!$A$2:$Z$43,8,FALSE)*1000</f>
        <v>2405.8952380952383</v>
      </c>
      <c r="BC8" s="472">
        <f>IF(INPUTS!$E$77="Residue",INPUTS!$F$92,0)</f>
        <v>0.8</v>
      </c>
      <c r="BD8" s="472">
        <f>IFERROR(IF(INPUTS!$E$77="Main",AX8/(AZ8*BA8),AX8/(BB8*BC8)),0)</f>
        <v>0.18751088163397217</v>
      </c>
      <c r="BE8" s="472">
        <f>IFERROR(IF(INPUTS!$E$77="Main",AY8/(AZ8*BA8),AY8/(BB8*BC8)),0)</f>
        <v>0.13532624948112143</v>
      </c>
      <c r="BF8" s="825">
        <f t="shared" si="12"/>
        <v>8.5118175308697114E-2</v>
      </c>
      <c r="BG8" s="843">
        <f t="shared" si="13"/>
        <v>6.142962651995594E-2</v>
      </c>
      <c r="BH8" s="825">
        <f t="shared" si="14"/>
        <v>0.10239270632527504</v>
      </c>
      <c r="BI8" s="825">
        <f t="shared" si="15"/>
        <v>7.3896622961165476E-2</v>
      </c>
      <c r="BJ8" s="724">
        <f>IFERROR(Feed!F145*Feed!J26,0)</f>
        <v>353.52057770378065</v>
      </c>
      <c r="BK8" s="552">
        <f>IFERROR(Feed!G145*Feed!S26,0)</f>
        <v>255.13513390886058</v>
      </c>
      <c r="BL8" s="242">
        <f>VLOOKUP(INPUTS!$D$78,'Crop parameters'!$A$2:$Z$43,4,FALSE)*1000</f>
        <v>0</v>
      </c>
      <c r="BM8" s="472">
        <f>INPUTS!$E$93</f>
        <v>0.6</v>
      </c>
      <c r="BN8" s="242">
        <f>VLOOKUP(INPUTS!$D$78,'Crop parameters'!$A$2:$Z$43,8,FALSE)*1000</f>
        <v>66.041816870944544</v>
      </c>
      <c r="BO8" s="472">
        <f>IF(INPUTS!$E$78="Residue",INPUTS!$F$93,0)</f>
        <v>0</v>
      </c>
      <c r="BP8" s="472">
        <f>IFERROR(IF(INPUTS!$E$78="Main",BJ8/(BL8*BM8),BJ8/(BN8*BO8)),0)</f>
        <v>0</v>
      </c>
      <c r="BQ8" s="472">
        <f>IFERROR(IF(INPUTS!$E$78="Main",BK8/(BL8*BM8),BK8/(BN8*BO8)),0)</f>
        <v>0</v>
      </c>
      <c r="BR8" s="825">
        <f t="shared" si="16"/>
        <v>0</v>
      </c>
      <c r="BS8" s="843">
        <f t="shared" si="17"/>
        <v>0</v>
      </c>
      <c r="BT8" s="825">
        <f t="shared" si="18"/>
        <v>0</v>
      </c>
      <c r="BU8" s="825">
        <f t="shared" si="19"/>
        <v>0</v>
      </c>
      <c r="BV8" s="724">
        <f>IFERROR(Feed!F145*Feed!K26,0)</f>
        <v>194.43631773707938</v>
      </c>
      <c r="BW8" s="552">
        <f>IFERROR(Feed!G145*Feed!T26,0)</f>
        <v>140.32432364987335</v>
      </c>
      <c r="BX8" s="242">
        <f>VLOOKUP(INPUTS!$D$79,'Crop parameters'!$A$2:$Z$43,4,FALSE)*1000</f>
        <v>6000</v>
      </c>
      <c r="BY8" s="472">
        <f>INPUTS!$E$94</f>
        <v>0.9</v>
      </c>
      <c r="BZ8" s="242">
        <f>VLOOKUP(INPUTS!$D$79,'Crop parameters'!$A$2:$Z$43,8,FALSE)*1000</f>
        <v>0</v>
      </c>
      <c r="CA8" s="472">
        <f>IF(INPUTS!$E$79="Residue",INPUTS!$F$94,0)</f>
        <v>0</v>
      </c>
      <c r="CB8" s="472">
        <f>IFERROR(IF(INPUTS!$E$79="Main",BV8/(BX8*BY8),BV8/(BZ8*CA8)),0)</f>
        <v>3.6006725506866552E-2</v>
      </c>
      <c r="CC8" s="472">
        <f>IFERROR(IF(INPUTS!$E$79="Main",BW8/(BX8*BY8),BW8/(BZ8*CA8)),0)</f>
        <v>2.5985985861087656E-2</v>
      </c>
      <c r="CD8" s="825">
        <f t="shared" si="20"/>
        <v>0</v>
      </c>
      <c r="CE8" s="843">
        <f t="shared" si="21"/>
        <v>0</v>
      </c>
      <c r="CF8" s="825">
        <f t="shared" si="22"/>
        <v>3.6006725506866552E-2</v>
      </c>
      <c r="CG8" s="546">
        <f t="shared" si="23"/>
        <v>2.5985985861087656E-2</v>
      </c>
      <c r="CH8" s="726">
        <f t="shared" si="24"/>
        <v>0.16523343432011228</v>
      </c>
      <c r="CI8" s="546">
        <f t="shared" si="25"/>
        <v>0.11924865778762822</v>
      </c>
    </row>
    <row r="9" spans="1:87">
      <c r="A9" s="542" t="str">
        <f>'Livestock parameters'!A24</f>
        <v>Steers/heifers</v>
      </c>
      <c r="B9" s="724">
        <f>IFERROR(Feed!F146*Feed!E33,0)</f>
        <v>44.387197052491636</v>
      </c>
      <c r="C9" s="552">
        <f>IFERROR(Feed!G146*Feed!N33,0)</f>
        <v>32.034156363354811</v>
      </c>
      <c r="D9" s="242">
        <f>VLOOKUP(INPUTS!$D$73,'Crop parameters'!$A$2:$Z$43,4,FALSE)*1000</f>
        <v>0</v>
      </c>
      <c r="E9" s="472">
        <f>INPUTS!$E$88</f>
        <v>1</v>
      </c>
      <c r="F9" s="242">
        <f>VLOOKUP(INPUTS!$D$73,'Crop parameters'!$A$2:$Z$43,8,FALSE)*1000</f>
        <v>0</v>
      </c>
      <c r="G9" s="472">
        <f>IF(INPUTS!$E$73="Residue",INPUTS!$F$88,0)</f>
        <v>0</v>
      </c>
      <c r="H9" s="472">
        <f>IFERROR(IF(INPUTS!$E$73="Main",B9/(D9*E9),B9/(F9*G9)),0)</f>
        <v>0</v>
      </c>
      <c r="I9" s="472">
        <f>IFERROR(IF(INPUTS!$E$73="Main",C9/(D9*E9),C9/(F9*G9)),0)</f>
        <v>0</v>
      </c>
      <c r="J9" s="825">
        <f t="shared" si="0"/>
        <v>0</v>
      </c>
      <c r="K9" s="843">
        <f t="shared" si="1"/>
        <v>0</v>
      </c>
      <c r="L9" s="825">
        <f t="shared" si="26"/>
        <v>0</v>
      </c>
      <c r="M9" s="825">
        <f t="shared" si="27"/>
        <v>0</v>
      </c>
      <c r="N9" s="724">
        <f>IFERROR(Feed!F146*Feed!F33,0)</f>
        <v>0</v>
      </c>
      <c r="O9" s="552">
        <f>IFERROR(Feed!G146*Feed!O33,0)</f>
        <v>0</v>
      </c>
      <c r="P9" s="242">
        <f>VLOOKUP(INPUTS!$D$74,'Crop parameters'!$A$2:$Z$43,4,FALSE)*1000</f>
        <v>1064</v>
      </c>
      <c r="Q9" s="472">
        <f>INPUTS!$E$89</f>
        <v>1</v>
      </c>
      <c r="R9" s="242">
        <f>VLOOKUP(INPUTS!$D$74,'Crop parameters'!$A$2:$Z$43,8,FALSE)*1000</f>
        <v>3000</v>
      </c>
      <c r="S9" s="472">
        <f>IF(INPUTS!$E$74="Residue",INPUTS!$F$89,0)</f>
        <v>0</v>
      </c>
      <c r="T9" s="472">
        <f>IFERROR(IF(INPUTS!$E$74="Main",N9/(P9*Q9),N9/(R9*S9)),0)</f>
        <v>0</v>
      </c>
      <c r="U9" s="472">
        <f>IFERROR(IF(INPUTS!$E$74="Main",O9/(P9*Q9),O9/(R9*S9)),0)</f>
        <v>0</v>
      </c>
      <c r="V9" s="825">
        <f t="shared" si="2"/>
        <v>0</v>
      </c>
      <c r="W9" s="843">
        <f t="shared" si="3"/>
        <v>0</v>
      </c>
      <c r="X9" s="825">
        <f t="shared" si="4"/>
        <v>0</v>
      </c>
      <c r="Y9" s="825">
        <f t="shared" si="5"/>
        <v>0</v>
      </c>
      <c r="Z9" s="724">
        <f>IFERROR(Feed!F146*Feed!G33,0)</f>
        <v>93.847216625268032</v>
      </c>
      <c r="AA9" s="552">
        <f>IFERROR(Feed!G146*Feed!P33,0)</f>
        <v>67.729359168235888</v>
      </c>
      <c r="AB9" s="242">
        <f>VLOOKUP(INPUTS!$D$75,'Crop parameters'!$A$2:$Z$43,4,FALSE)*1000</f>
        <v>15646.575342465754</v>
      </c>
      <c r="AC9" s="472">
        <f>INPUTS!$E$90</f>
        <v>0.9</v>
      </c>
      <c r="AD9" s="242">
        <f>VLOOKUP(INPUTS!$D$75,'Crop parameters'!$A$2:$Z$43,8,FALSE)*1000</f>
        <v>0</v>
      </c>
      <c r="AE9" s="472">
        <f>IF(INPUTS!$E$75="Residue",INPUTS!$F$90,0)</f>
        <v>0</v>
      </c>
      <c r="AF9" s="472">
        <f>IFERROR(IF(INPUTS!$E$75="Main",Z9/(AB9*AC9),Z9/(AD9*AE9)),0)</f>
        <v>6.6643775303454984E-3</v>
      </c>
      <c r="AG9" s="472">
        <f>IFERROR(IF(INPUTS!$E$75="Main",AA9/(AB9*AC9),AA9/(AD9*AE9)),0)</f>
        <v>4.8096686893531193E-3</v>
      </c>
      <c r="AH9" s="825">
        <f t="shared" si="28"/>
        <v>0</v>
      </c>
      <c r="AI9" s="843">
        <f t="shared" si="29"/>
        <v>0</v>
      </c>
      <c r="AJ9" s="825">
        <f t="shared" si="6"/>
        <v>6.6643775303454984E-3</v>
      </c>
      <c r="AK9" s="825">
        <f t="shared" si="7"/>
        <v>4.8096686893531193E-3</v>
      </c>
      <c r="AL9" s="829">
        <f>IFERROR(Feed!F146*Feed!H33,0)</f>
        <v>0</v>
      </c>
      <c r="AM9" s="552">
        <f>IFERROR(Feed!G146*Feed!Q33,0)</f>
        <v>0</v>
      </c>
      <c r="AN9" s="242">
        <f>VLOOKUP(INPUTS!$D$76,'Crop parameters'!$A$2:$Z$43,4,FALSE)*1000</f>
        <v>0</v>
      </c>
      <c r="AO9" s="472">
        <f>INPUTS!$E$91</f>
        <v>1</v>
      </c>
      <c r="AP9" s="242">
        <f>VLOOKUP(INPUTS!$D$76,'Crop parameters'!$A$2:$Z$43,8,FALSE)*1000</f>
        <v>0</v>
      </c>
      <c r="AQ9" s="472">
        <f>IF(INPUTS!$E$76="Residue",INPUTS!$F$91,0)</f>
        <v>0</v>
      </c>
      <c r="AR9" s="472">
        <f>IFERROR(IF(INPUTS!$E$76="Main",AL9/(AN9*AO9),AL9/(AP9*AQ9)),0)</f>
        <v>0</v>
      </c>
      <c r="AS9" s="472">
        <f>IFERROR(IF(INPUTS!$E$76="Main",AM9/(AN9*AO9),AM9/(AP9*AQ9)),0)</f>
        <v>0</v>
      </c>
      <c r="AT9" s="825">
        <f t="shared" si="8"/>
        <v>0</v>
      </c>
      <c r="AU9" s="843">
        <f t="shared" si="9"/>
        <v>0</v>
      </c>
      <c r="AV9" s="825">
        <f t="shared" si="10"/>
        <v>0</v>
      </c>
      <c r="AW9" s="825">
        <f t="shared" si="11"/>
        <v>0</v>
      </c>
      <c r="AX9" s="724">
        <f>IFERROR(Feed!F146*Feed!I33,0)</f>
        <v>89.632871762262241</v>
      </c>
      <c r="AY9" s="552">
        <f>IFERROR(Feed!G146*Feed!R33,0)</f>
        <v>64.687874432198697</v>
      </c>
      <c r="AZ9" s="242">
        <f>VLOOKUP(INPUTS!$D$77,'Crop parameters'!$A$2:$Z$43,4,FALSE)*1000</f>
        <v>1600</v>
      </c>
      <c r="BA9" s="472">
        <f>INPUTS!$E$92</f>
        <v>1</v>
      </c>
      <c r="BB9" s="242">
        <f>VLOOKUP(INPUTS!$D$77,'Crop parameters'!$A$2:$Z$43,8,FALSE)*1000</f>
        <v>2405.8952380952383</v>
      </c>
      <c r="BC9" s="472">
        <f>IF(INPUTS!$E$77="Residue",INPUTS!$F$92,0)</f>
        <v>0.8</v>
      </c>
      <c r="BD9" s="472">
        <f>IFERROR(IF(INPUTS!$E$77="Main",AX9/(AZ9*BA9),AX9/(BB9*BC9)),0)</f>
        <v>4.6569396675613939E-2</v>
      </c>
      <c r="BE9" s="472">
        <f>IFERROR(IF(INPUTS!$E$77="Main",AY9/(AZ9*BA9),AY9/(BB9*BC9)),0)</f>
        <v>3.3609045714004401E-2</v>
      </c>
      <c r="BF9" s="825">
        <f t="shared" si="12"/>
        <v>2.1139584197533881E-2</v>
      </c>
      <c r="BG9" s="843">
        <f t="shared" si="13"/>
        <v>1.5256398029352284E-2</v>
      </c>
      <c r="BH9" s="825">
        <f t="shared" si="14"/>
        <v>2.5429812478080054E-2</v>
      </c>
      <c r="BI9" s="825">
        <f t="shared" si="15"/>
        <v>1.8352647684652116E-2</v>
      </c>
      <c r="BJ9" s="724">
        <f>IFERROR(Feed!F146*Feed!J33,0)</f>
        <v>87.798851312620826</v>
      </c>
      <c r="BK9" s="552">
        <f>IFERROR(Feed!G146*Feed!S33,0)</f>
        <v>63.364265334108424</v>
      </c>
      <c r="BL9" s="242">
        <f>VLOOKUP(INPUTS!$D$78,'Crop parameters'!$A$2:$Z$43,4,FALSE)*1000</f>
        <v>0</v>
      </c>
      <c r="BM9" s="472">
        <f>INPUTS!$E$93</f>
        <v>0.6</v>
      </c>
      <c r="BN9" s="242">
        <f>VLOOKUP(INPUTS!$D$78,'Crop parameters'!$A$2:$Z$43,8,FALSE)*1000</f>
        <v>66.041816870944544</v>
      </c>
      <c r="BO9" s="472">
        <f>IF(INPUTS!$E$78="Residue",INPUTS!$F$93,0)</f>
        <v>0</v>
      </c>
      <c r="BP9" s="472">
        <f>IFERROR(IF(INPUTS!$E$78="Main",BJ9/(BL9*BM9),BJ9/(BN9*BO9)),0)</f>
        <v>0</v>
      </c>
      <c r="BQ9" s="472">
        <f>IFERROR(IF(INPUTS!$E$78="Main",BK9/(BL9*BM9),BK9/(BN9*BO9)),0)</f>
        <v>0</v>
      </c>
      <c r="BR9" s="825">
        <f t="shared" si="16"/>
        <v>0</v>
      </c>
      <c r="BS9" s="843">
        <f t="shared" si="17"/>
        <v>0</v>
      </c>
      <c r="BT9" s="825">
        <f t="shared" si="18"/>
        <v>0</v>
      </c>
      <c r="BU9" s="825">
        <f t="shared" si="19"/>
        <v>0</v>
      </c>
      <c r="BV9" s="724">
        <f>IFERROR(Feed!F146*Feed!K33,0)</f>
        <v>48.289368221941459</v>
      </c>
      <c r="BW9" s="552">
        <f>IFERROR(Feed!G146*Feed!T33,0)</f>
        <v>34.850345933759634</v>
      </c>
      <c r="BX9" s="242">
        <f>VLOOKUP(INPUTS!$D$79,'Crop parameters'!$A$2:$Z$43,4,FALSE)*1000</f>
        <v>6000</v>
      </c>
      <c r="BY9" s="472">
        <f>INPUTS!$E$94</f>
        <v>0.9</v>
      </c>
      <c r="BZ9" s="242">
        <f>VLOOKUP(INPUTS!$D$79,'Crop parameters'!$A$2:$Z$43,8,FALSE)*1000</f>
        <v>0</v>
      </c>
      <c r="CA9" s="472">
        <f>IF(INPUTS!$E$79="Residue",INPUTS!$F$94,0)</f>
        <v>0</v>
      </c>
      <c r="CB9" s="472">
        <f>IFERROR(IF(INPUTS!$E$79="Main",BV9/(BX9*BY9),BV9/(BZ9*CA9)),0)</f>
        <v>8.9424755966558255E-3</v>
      </c>
      <c r="CC9" s="472">
        <f>IFERROR(IF(INPUTS!$E$79="Main",BW9/(BX9*BY9),BW9/(BZ9*CA9)),0)</f>
        <v>6.4537677655110435E-3</v>
      </c>
      <c r="CD9" s="825">
        <f t="shared" si="20"/>
        <v>0</v>
      </c>
      <c r="CE9" s="843">
        <f t="shared" si="21"/>
        <v>0</v>
      </c>
      <c r="CF9" s="825">
        <f t="shared" si="22"/>
        <v>8.9424755966558255E-3</v>
      </c>
      <c r="CG9" s="546">
        <f t="shared" si="23"/>
        <v>6.4537677655110435E-3</v>
      </c>
      <c r="CH9" s="726">
        <f t="shared" si="24"/>
        <v>4.1036665605081381E-2</v>
      </c>
      <c r="CI9" s="546">
        <f t="shared" si="25"/>
        <v>2.9616084139516278E-2</v>
      </c>
    </row>
    <row r="10" spans="1:87">
      <c r="A10" s="542" t="str">
        <f>'Livestock parameters'!A25</f>
        <v>Calves</v>
      </c>
      <c r="B10" s="724">
        <f>IFERROR(Feed!F147*Feed!E40,0)</f>
        <v>204.4281043850556</v>
      </c>
      <c r="C10" s="552">
        <f>IFERROR(Feed!G147*Feed!N40,0)</f>
        <v>147.5353772212901</v>
      </c>
      <c r="D10" s="242">
        <f>VLOOKUP(INPUTS!$D$73,'Crop parameters'!$A$2:$Z$43,4,FALSE)*1000</f>
        <v>0</v>
      </c>
      <c r="E10" s="472">
        <f>INPUTS!$E$88</f>
        <v>1</v>
      </c>
      <c r="F10" s="242">
        <f>VLOOKUP(INPUTS!$D$73,'Crop parameters'!$A$2:$Z$43,8,FALSE)*1000</f>
        <v>0</v>
      </c>
      <c r="G10" s="472">
        <f>IF(INPUTS!$E$73="Residue",INPUTS!$F$88,0)</f>
        <v>0</v>
      </c>
      <c r="H10" s="472">
        <f>IFERROR(IF(INPUTS!$E$73="Main",B10/(D10*E10),B10/(F10*G10)),0)</f>
        <v>0</v>
      </c>
      <c r="I10" s="472">
        <f>IFERROR(IF(INPUTS!$E$73="Main",C10/(D10*E10),C10/(F10*G10)),0)</f>
        <v>0</v>
      </c>
      <c r="J10" s="825">
        <f t="shared" si="0"/>
        <v>0</v>
      </c>
      <c r="K10" s="843">
        <f t="shared" si="1"/>
        <v>0</v>
      </c>
      <c r="L10" s="825">
        <f t="shared" si="26"/>
        <v>0</v>
      </c>
      <c r="M10" s="825">
        <f t="shared" si="27"/>
        <v>0</v>
      </c>
      <c r="N10" s="724">
        <f>IFERROR(Feed!F147*Feed!F40,0)</f>
        <v>0</v>
      </c>
      <c r="O10" s="552">
        <f>IFERROR(Feed!G147*Feed!O40,0)</f>
        <v>0</v>
      </c>
      <c r="P10" s="242">
        <f>VLOOKUP(INPUTS!$D$74,'Crop parameters'!$A$2:$Z$43,4,FALSE)*1000</f>
        <v>1064</v>
      </c>
      <c r="Q10" s="472">
        <f>INPUTS!$E$89</f>
        <v>1</v>
      </c>
      <c r="R10" s="242">
        <f>VLOOKUP(INPUTS!$D$74,'Crop parameters'!$A$2:$Z$43,8,FALSE)*1000</f>
        <v>3000</v>
      </c>
      <c r="S10" s="472">
        <f>IF(INPUTS!$E$74="Residue",INPUTS!$F$89,0)</f>
        <v>0</v>
      </c>
      <c r="T10" s="472">
        <f>IFERROR(IF(INPUTS!$E$74="Main",N10/(P10*Q10),N10/(R10*S10)),0)</f>
        <v>0</v>
      </c>
      <c r="U10" s="472">
        <f>IFERROR(IF(INPUTS!$E$74="Main",O10/(P10*Q10),O10/(R10*S10)),0)</f>
        <v>0</v>
      </c>
      <c r="V10" s="825">
        <f t="shared" si="2"/>
        <v>0</v>
      </c>
      <c r="W10" s="843">
        <f t="shared" si="3"/>
        <v>0</v>
      </c>
      <c r="X10" s="825">
        <f t="shared" si="4"/>
        <v>0</v>
      </c>
      <c r="Y10" s="825">
        <f t="shared" si="5"/>
        <v>0</v>
      </c>
      <c r="Z10" s="724">
        <f>IFERROR(Feed!F147*Feed!G40,0)</f>
        <v>432.2194206998318</v>
      </c>
      <c r="AA10" s="552">
        <f>IFERROR(Feed!G147*Feed!P40,0)</f>
        <v>311.93194041072769</v>
      </c>
      <c r="AB10" s="242">
        <f>VLOOKUP(INPUTS!$D$75,'Crop parameters'!$A$2:$Z$43,4,FALSE)*1000</f>
        <v>15646.575342465754</v>
      </c>
      <c r="AC10" s="472">
        <f>INPUTS!$E$90</f>
        <v>0.9</v>
      </c>
      <c r="AD10" s="242">
        <f>VLOOKUP(INPUTS!$D$75,'Crop parameters'!$A$2:$Z$43,8,FALSE)*1000</f>
        <v>0</v>
      </c>
      <c r="AE10" s="472">
        <f>IF(INPUTS!$E$75="Residue",INPUTS!$F$90,0)</f>
        <v>0</v>
      </c>
      <c r="AF10" s="472">
        <f>IFERROR(IF(INPUTS!$E$75="Main",Z10/(AB10*AC10),Z10/(AD10*AE10)),0)</f>
        <v>3.0693221376960369E-2</v>
      </c>
      <c r="AG10" s="472">
        <f>IFERROR(IF(INPUTS!$E$75="Main",AA10/(AB10*AC10),AA10/(AD10*AE10)),0)</f>
        <v>2.2151239956013851E-2</v>
      </c>
      <c r="AH10" s="825">
        <f t="shared" si="28"/>
        <v>0</v>
      </c>
      <c r="AI10" s="843">
        <f t="shared" si="29"/>
        <v>0</v>
      </c>
      <c r="AJ10" s="825">
        <f t="shared" si="6"/>
        <v>3.0693221376960369E-2</v>
      </c>
      <c r="AK10" s="825">
        <f t="shared" si="7"/>
        <v>2.2151239956013851E-2</v>
      </c>
      <c r="AL10" s="829">
        <f>IFERROR(Feed!F147*Feed!H40,0)</f>
        <v>0</v>
      </c>
      <c r="AM10" s="552">
        <f>IFERROR(Feed!G147*Feed!Q40,0)</f>
        <v>0</v>
      </c>
      <c r="AN10" s="242">
        <f>VLOOKUP(INPUTS!$D$76,'Crop parameters'!$A$2:$Z$43,4,FALSE)*1000</f>
        <v>0</v>
      </c>
      <c r="AO10" s="472">
        <f>INPUTS!$E$91</f>
        <v>1</v>
      </c>
      <c r="AP10" s="242">
        <f>VLOOKUP(INPUTS!$D$76,'Crop parameters'!$A$2:$Z$43,8,FALSE)*1000</f>
        <v>0</v>
      </c>
      <c r="AQ10" s="472">
        <f>IF(INPUTS!$E$76="Residue",INPUTS!$F$91,0)</f>
        <v>0</v>
      </c>
      <c r="AR10" s="472">
        <f>IFERROR(IF(INPUTS!$E$76="Main",AL10/(AN10*AO10),AL10/(AP10*AQ10)),0)</f>
        <v>0</v>
      </c>
      <c r="AS10" s="472">
        <f>IFERROR(IF(INPUTS!$E$76="Main",AM10/(AN10*AO10),AM10/(AP10*AQ10)),0)</f>
        <v>0</v>
      </c>
      <c r="AT10" s="825">
        <f t="shared" si="8"/>
        <v>0</v>
      </c>
      <c r="AU10" s="843">
        <f t="shared" si="9"/>
        <v>0</v>
      </c>
      <c r="AV10" s="825">
        <f t="shared" si="10"/>
        <v>0</v>
      </c>
      <c r="AW10" s="825">
        <f t="shared" si="11"/>
        <v>0</v>
      </c>
      <c r="AX10" s="724">
        <f>IFERROR(Feed!F147*Feed!I40,0)</f>
        <v>412.80998309667933</v>
      </c>
      <c r="AY10" s="552">
        <f>IFERROR(Feed!G147*Feed!R40,0)</f>
        <v>297.92418591411291</v>
      </c>
      <c r="AZ10" s="242">
        <f>VLOOKUP(INPUTS!$D$77,'Crop parameters'!$A$2:$Z$43,4,FALSE)*1000</f>
        <v>1600</v>
      </c>
      <c r="BA10" s="472">
        <f>INPUTS!$E$92</f>
        <v>1</v>
      </c>
      <c r="BB10" s="242">
        <f>VLOOKUP(INPUTS!$D$77,'Crop parameters'!$A$2:$Z$43,8,FALSE)*1000</f>
        <v>2405.8952380952383</v>
      </c>
      <c r="BC10" s="472">
        <f>IF(INPUTS!$E$77="Residue",INPUTS!$F$92,0)</f>
        <v>0.8</v>
      </c>
      <c r="BD10" s="472">
        <f>IFERROR(IF(INPUTS!$E$77="Main",AX10/(AZ10*BA10),AX10/(BB10*BC10)),0)</f>
        <v>0.21447836576599211</v>
      </c>
      <c r="BE10" s="472">
        <f>IFERROR(IF(INPUTS!$E$77="Main",AY10/(AZ10*BA10),AY10/(BB10*BC10)),0)</f>
        <v>0.15478863189715467</v>
      </c>
      <c r="BF10" s="825">
        <f t="shared" si="12"/>
        <v>9.7359721089834914E-2</v>
      </c>
      <c r="BG10" s="843">
        <f t="shared" si="13"/>
        <v>7.0264327012946895E-2</v>
      </c>
      <c r="BH10" s="825">
        <f t="shared" si="14"/>
        <v>0.11711864467615718</v>
      </c>
      <c r="BI10" s="825">
        <f t="shared" si="15"/>
        <v>8.4524304884207771E-2</v>
      </c>
      <c r="BJ10" s="724">
        <f>IFERROR(Feed!F147*Feed!J40,0)</f>
        <v>404.36328339901104</v>
      </c>
      <c r="BK10" s="552">
        <f>IFERROR(Feed!G147*Feed!S40,0)</f>
        <v>291.82821867947496</v>
      </c>
      <c r="BL10" s="242">
        <f>VLOOKUP(INPUTS!$D$78,'Crop parameters'!$A$2:$Z$43,4,FALSE)*1000</f>
        <v>0</v>
      </c>
      <c r="BM10" s="472">
        <f>INPUTS!$E$93</f>
        <v>0.6</v>
      </c>
      <c r="BN10" s="242">
        <f>VLOOKUP(INPUTS!$D$78,'Crop parameters'!$A$2:$Z$43,8,FALSE)*1000</f>
        <v>66.041816870944544</v>
      </c>
      <c r="BO10" s="472">
        <f>IF(INPUTS!$E$78="Residue",INPUTS!$F$93,0)</f>
        <v>0</v>
      </c>
      <c r="BP10" s="472">
        <f>IFERROR(IF(INPUTS!$E$78="Main",BJ10/(BL10*BM10),BJ10/(BN10*BO10)),0)</f>
        <v>0</v>
      </c>
      <c r="BQ10" s="472">
        <f>IFERROR(IF(INPUTS!$E$78="Main",BK10/(BL10*BM10),BK10/(BN10*BO10)),0)</f>
        <v>0</v>
      </c>
      <c r="BR10" s="825">
        <f t="shared" si="16"/>
        <v>0</v>
      </c>
      <c r="BS10" s="843">
        <f t="shared" si="17"/>
        <v>0</v>
      </c>
      <c r="BT10" s="825">
        <f t="shared" si="18"/>
        <v>0</v>
      </c>
      <c r="BU10" s="825">
        <f t="shared" si="19"/>
        <v>0</v>
      </c>
      <c r="BV10" s="724">
        <f>IFERROR(Feed!F147*Feed!K40,0)</f>
        <v>222.39980586945612</v>
      </c>
      <c r="BW10" s="552">
        <f>IFERROR(Feed!G147*Feed!T40,0)</f>
        <v>160.50552027371126</v>
      </c>
      <c r="BX10" s="242">
        <f>VLOOKUP(INPUTS!$D$79,'Crop parameters'!$A$2:$Z$43,4,FALSE)*1000</f>
        <v>6000</v>
      </c>
      <c r="BY10" s="472">
        <f>INPUTS!$E$94</f>
        <v>0.9</v>
      </c>
      <c r="BZ10" s="242">
        <f>VLOOKUP(INPUTS!$D$79,'Crop parameters'!$A$2:$Z$43,8,FALSE)*1000</f>
        <v>0</v>
      </c>
      <c r="CA10" s="472">
        <f>IF(INPUTS!$E$79="Residue",INPUTS!$F$94,0)</f>
        <v>0</v>
      </c>
      <c r="CB10" s="472">
        <f>IFERROR(IF(INPUTS!$E$79="Main",BV10/(BX10*BY10),BV10/(BZ10*CA10)),0)</f>
        <v>4.1185149235084463E-2</v>
      </c>
      <c r="CC10" s="472">
        <f>IFERROR(IF(INPUTS!$E$79="Main",BW10/(BX10*BY10),BW10/(BZ10*CA10)),0)</f>
        <v>2.9723244495131713E-2</v>
      </c>
      <c r="CD10" s="825">
        <f t="shared" si="20"/>
        <v>0</v>
      </c>
      <c r="CE10" s="843">
        <f t="shared" si="21"/>
        <v>0</v>
      </c>
      <c r="CF10" s="825">
        <f t="shared" si="22"/>
        <v>4.1185149235084463E-2</v>
      </c>
      <c r="CG10" s="546">
        <f t="shared" si="23"/>
        <v>2.9723244495131713E-2</v>
      </c>
      <c r="CH10" s="726">
        <f t="shared" si="24"/>
        <v>0.18899701528820201</v>
      </c>
      <c r="CI10" s="546">
        <f t="shared" si="25"/>
        <v>0.13639878933535335</v>
      </c>
    </row>
    <row r="11" spans="1:87">
      <c r="A11" s="542" t="str">
        <f>'Livestock parameters'!A27</f>
        <v>Buffalo steers/heifers</v>
      </c>
      <c r="B11" s="724">
        <f>IFERROR(Feed!F148*Feed!E47,0)</f>
        <v>37.695246292085521</v>
      </c>
      <c r="C11" s="552">
        <f>IFERROR(Feed!G148*Feed!N47,0)</f>
        <v>27.20458812589192</v>
      </c>
      <c r="D11" s="242">
        <f>VLOOKUP(INPUTS!$D$73,'Crop parameters'!$A$2:$Z$43,4,FALSE)*1000</f>
        <v>0</v>
      </c>
      <c r="E11" s="472">
        <f>INPUTS!$E$88</f>
        <v>1</v>
      </c>
      <c r="F11" s="242">
        <f>VLOOKUP(INPUTS!$D$73,'Crop parameters'!$A$2:$Z$43,8,FALSE)*1000</f>
        <v>0</v>
      </c>
      <c r="G11" s="472">
        <f>IF(INPUTS!$E$73="Residue",INPUTS!$F$88,0)</f>
        <v>0</v>
      </c>
      <c r="H11" s="472">
        <f>IFERROR(IF(INPUTS!$E$73="Main",B11/(D11*E11),B11/(F11*G11)),0)</f>
        <v>0</v>
      </c>
      <c r="I11" s="472">
        <f>IFERROR(IF(INPUTS!$E$73="Main",C11/(D11*E11),C11/(F11*G11)),0)</f>
        <v>0</v>
      </c>
      <c r="J11" s="825">
        <f t="shared" si="0"/>
        <v>0</v>
      </c>
      <c r="K11" s="843">
        <f t="shared" si="1"/>
        <v>0</v>
      </c>
      <c r="L11" s="825">
        <f t="shared" si="26"/>
        <v>0</v>
      </c>
      <c r="M11" s="825">
        <f t="shared" si="27"/>
        <v>0</v>
      </c>
      <c r="N11" s="724">
        <f>IFERROR(Feed!F148*Feed!F47,0)</f>
        <v>0</v>
      </c>
      <c r="O11" s="552">
        <f>IFERROR(Feed!G148*Feed!O47,0)</f>
        <v>0</v>
      </c>
      <c r="P11" s="242">
        <f>VLOOKUP(INPUTS!$D$74,'Crop parameters'!$A$2:$Z$43,4,FALSE)*1000</f>
        <v>1064</v>
      </c>
      <c r="Q11" s="472">
        <f>INPUTS!$E$89</f>
        <v>1</v>
      </c>
      <c r="R11" s="242">
        <f>VLOOKUP(INPUTS!$D$74,'Crop parameters'!$A$2:$Z$43,8,FALSE)*1000</f>
        <v>3000</v>
      </c>
      <c r="S11" s="472">
        <f>IF(INPUTS!$E$74="Residue",INPUTS!$F$89,0)</f>
        <v>0</v>
      </c>
      <c r="T11" s="472">
        <f>IFERROR(IF(INPUTS!$E$74="Main",N11/(P11*Q11),N11/(R11*S11)),0)</f>
        <v>0</v>
      </c>
      <c r="U11" s="472">
        <f>IFERROR(IF(INPUTS!$E$74="Main",O11/(P11*Q11),O11/(R11*S11)),0)</f>
        <v>0</v>
      </c>
      <c r="V11" s="825">
        <f t="shared" si="2"/>
        <v>0</v>
      </c>
      <c r="W11" s="843">
        <f t="shared" si="3"/>
        <v>0</v>
      </c>
      <c r="X11" s="825">
        <f t="shared" si="4"/>
        <v>0</v>
      </c>
      <c r="Y11" s="825">
        <f t="shared" si="5"/>
        <v>0</v>
      </c>
      <c r="Z11" s="724">
        <f>IFERROR(Feed!F148*Feed!G47,0)</f>
        <v>79.698520731837959</v>
      </c>
      <c r="AA11" s="552">
        <f>IFERROR(Feed!G148*Feed!P47,0)</f>
        <v>57.518272037600063</v>
      </c>
      <c r="AB11" s="242">
        <f>VLOOKUP(INPUTS!$D$75,'Crop parameters'!$A$2:$Z$43,4,FALSE)*1000</f>
        <v>15646.575342465754</v>
      </c>
      <c r="AC11" s="472">
        <f>INPUTS!$E$90</f>
        <v>0.9</v>
      </c>
      <c r="AD11" s="242">
        <f>VLOOKUP(INPUTS!$D$75,'Crop parameters'!$A$2:$Z$43,8,FALSE)*1000</f>
        <v>0</v>
      </c>
      <c r="AE11" s="472">
        <f>IF(INPUTS!$E$75="Residue",INPUTS!$F$90,0)</f>
        <v>0</v>
      </c>
      <c r="AF11" s="472">
        <f>IFERROR(IF(INPUTS!$E$75="Main",Z11/(AB11*AC11),Z11/(AD11*AE11)),0)</f>
        <v>5.6596354145257407E-3</v>
      </c>
      <c r="AG11" s="472">
        <f>IFERROR(IF(INPUTS!$E$75="Main",AA11/(AB11*AC11),AA11/(AD11*AE11)),0)</f>
        <v>4.0845482001058428E-3</v>
      </c>
      <c r="AH11" s="825">
        <f t="shared" si="28"/>
        <v>0</v>
      </c>
      <c r="AI11" s="843">
        <f t="shared" si="29"/>
        <v>0</v>
      </c>
      <c r="AJ11" s="825">
        <f t="shared" si="6"/>
        <v>5.6596354145257407E-3</v>
      </c>
      <c r="AK11" s="825">
        <f t="shared" si="7"/>
        <v>4.0845482001058428E-3</v>
      </c>
      <c r="AL11" s="829">
        <f>IFERROR(Feed!F148*Feed!H47,0)</f>
        <v>0</v>
      </c>
      <c r="AM11" s="552">
        <f>IFERROR(Feed!G148*Feed!Q47,0)</f>
        <v>0</v>
      </c>
      <c r="AN11" s="242">
        <f>VLOOKUP(INPUTS!$D$76,'Crop parameters'!$A$2:$Z$43,4,FALSE)*1000</f>
        <v>0</v>
      </c>
      <c r="AO11" s="472">
        <f>INPUTS!$E$91</f>
        <v>1</v>
      </c>
      <c r="AP11" s="242">
        <f>VLOOKUP(INPUTS!$D$76,'Crop parameters'!$A$2:$Z$43,8,FALSE)*1000</f>
        <v>0</v>
      </c>
      <c r="AQ11" s="472">
        <f>IF(INPUTS!$E$76="Residue",INPUTS!$F$91,0)</f>
        <v>0</v>
      </c>
      <c r="AR11" s="472">
        <f>IFERROR(IF(INPUTS!$E$76="Main",AL11/(AN11*AO11),AL11/(AP11*AQ11)),0)</f>
        <v>0</v>
      </c>
      <c r="AS11" s="472">
        <f>IFERROR(IF(INPUTS!$E$76="Main",AM11/(AN11*AO11),AM11/(AP11*AQ11)),0)</f>
        <v>0</v>
      </c>
      <c r="AT11" s="825">
        <f t="shared" si="8"/>
        <v>0</v>
      </c>
      <c r="AU11" s="843">
        <f t="shared" si="9"/>
        <v>0</v>
      </c>
      <c r="AV11" s="825">
        <f t="shared" si="10"/>
        <v>0</v>
      </c>
      <c r="AW11" s="825">
        <f t="shared" si="11"/>
        <v>0</v>
      </c>
      <c r="AX11" s="724">
        <f>IFERROR(Feed!F148*Feed!I47,0)</f>
        <v>76.119543501468527</v>
      </c>
      <c r="AY11" s="552">
        <f>IFERROR(Feed!G148*Feed!R47,0)</f>
        <v>54.935330923229671</v>
      </c>
      <c r="AZ11" s="242">
        <f>VLOOKUP(INPUTS!$D$77,'Crop parameters'!$A$2:$Z$43,4,FALSE)*1000</f>
        <v>1600</v>
      </c>
      <c r="BA11" s="472">
        <f>INPUTS!$E$92</f>
        <v>1</v>
      </c>
      <c r="BB11" s="242">
        <f>VLOOKUP(INPUTS!$D$77,'Crop parameters'!$A$2:$Z$43,8,FALSE)*1000</f>
        <v>2405.8952380952383</v>
      </c>
      <c r="BC11" s="472">
        <f>IF(INPUTS!$E$77="Residue",INPUTS!$F$92,0)</f>
        <v>0.8</v>
      </c>
      <c r="BD11" s="472">
        <f>IFERROR(IF(INPUTS!$E$77="Main",AX11/(AZ11*BA11),AX11/(BB11*BC11)),0)</f>
        <v>3.9548450768025142E-2</v>
      </c>
      <c r="BE11" s="472">
        <f>IFERROR(IF(INPUTS!$E$77="Main",AY11/(AZ11*BA11),AY11/(BB11*BC11)),0)</f>
        <v>2.8542042299565328E-2</v>
      </c>
      <c r="BF11" s="825">
        <f t="shared" si="12"/>
        <v>1.7952515269120548E-2</v>
      </c>
      <c r="BG11" s="843">
        <f t="shared" si="13"/>
        <v>1.2956296397053988E-2</v>
      </c>
      <c r="BH11" s="825">
        <f t="shared" si="14"/>
        <v>2.1595935498904591E-2</v>
      </c>
      <c r="BI11" s="825">
        <f t="shared" si="15"/>
        <v>1.558574590251134E-2</v>
      </c>
      <c r="BJ11" s="724">
        <f>IFERROR(Feed!F148*Feed!J47,0)</f>
        <v>74.562025632696646</v>
      </c>
      <c r="BK11" s="552">
        <f>IFERROR(Feed!G148*Feed!S47,0)</f>
        <v>53.811273216049955</v>
      </c>
      <c r="BL11" s="242">
        <f>VLOOKUP(INPUTS!$D$78,'Crop parameters'!$A$2:$Z$43,4,FALSE)*1000</f>
        <v>0</v>
      </c>
      <c r="BM11" s="472">
        <f>INPUTS!$E$93</f>
        <v>0.6</v>
      </c>
      <c r="BN11" s="242">
        <f>VLOOKUP(INPUTS!$D$78,'Crop parameters'!$A$2:$Z$43,8,FALSE)*1000</f>
        <v>66.041816870944544</v>
      </c>
      <c r="BO11" s="472">
        <f>IF(INPUTS!$E$78="Residue",INPUTS!$F$93,0)</f>
        <v>0</v>
      </c>
      <c r="BP11" s="472">
        <f>IFERROR(IF(INPUTS!$E$78="Main",BJ11/(BL11*BM11),BJ11/(BN11*BO11)),0)</f>
        <v>0</v>
      </c>
      <c r="BQ11" s="472">
        <f>IFERROR(IF(INPUTS!$E$78="Main",BK11/(BL11*BM11),BK11/(BN11*BO11)),0)</f>
        <v>0</v>
      </c>
      <c r="BR11" s="825">
        <f t="shared" si="16"/>
        <v>0</v>
      </c>
      <c r="BS11" s="843">
        <f t="shared" si="17"/>
        <v>0</v>
      </c>
      <c r="BT11" s="825">
        <f t="shared" si="18"/>
        <v>0</v>
      </c>
      <c r="BU11" s="825">
        <f t="shared" si="19"/>
        <v>0</v>
      </c>
      <c r="BV11" s="724">
        <f>IFERROR(Feed!F148*Feed!K47,0)</f>
        <v>41.009114097983158</v>
      </c>
      <c r="BW11" s="552">
        <f>IFERROR(Feed!G148*Feed!T47,0)</f>
        <v>29.596200268827477</v>
      </c>
      <c r="BX11" s="242">
        <f>VLOOKUP(INPUTS!$D$79,'Crop parameters'!$A$2:$Z$43,4,FALSE)*1000</f>
        <v>6000</v>
      </c>
      <c r="BY11" s="472">
        <f>INPUTS!$E$94</f>
        <v>0.9</v>
      </c>
      <c r="BZ11" s="242">
        <f>VLOOKUP(INPUTS!$D$79,'Crop parameters'!$A$2:$Z$43,8,FALSE)*1000</f>
        <v>0</v>
      </c>
      <c r="CA11" s="472">
        <f>IF(INPUTS!$E$79="Residue",INPUTS!$F$94,0)</f>
        <v>0</v>
      </c>
      <c r="CB11" s="472">
        <f>IFERROR(IF(INPUTS!$E$79="Main",BV11/(BX11*BY11),BV11/(BZ11*CA11)),0)</f>
        <v>7.5942803885153997E-3</v>
      </c>
      <c r="CC11" s="472">
        <f>IFERROR(IF(INPUTS!$E$79="Main",BW11/(BX11*BY11),BW11/(BZ11*CA11)),0)</f>
        <v>5.4807778275606442E-3</v>
      </c>
      <c r="CD11" s="825">
        <f t="shared" si="20"/>
        <v>0</v>
      </c>
      <c r="CE11" s="843">
        <f t="shared" si="21"/>
        <v>0</v>
      </c>
      <c r="CF11" s="825">
        <f t="shared" si="22"/>
        <v>7.5942803885153997E-3</v>
      </c>
      <c r="CG11" s="546">
        <f t="shared" si="23"/>
        <v>5.4807778275606442E-3</v>
      </c>
      <c r="CH11" s="726">
        <f t="shared" si="24"/>
        <v>3.4849851301945733E-2</v>
      </c>
      <c r="CI11" s="546">
        <f t="shared" si="25"/>
        <v>2.5151071930177828E-2</v>
      </c>
    </row>
    <row r="12" spans="1:87">
      <c r="A12" s="542" t="str">
        <f>'Livestock parameters'!A28</f>
        <v>Buffalo calves</v>
      </c>
      <c r="B12" s="724">
        <f>IFERROR(Feed!F149*Feed!E54,0)</f>
        <v>102.45755005647884</v>
      </c>
      <c r="C12" s="552">
        <f>IFERROR(Feed!G149*Feed!N54,0)</f>
        <v>73.94342055962862</v>
      </c>
      <c r="D12" s="242">
        <f>VLOOKUP(INPUTS!$D$73,'Crop parameters'!$A$2:$Z$43,4,FALSE)*1000</f>
        <v>0</v>
      </c>
      <c r="E12" s="472">
        <f>INPUTS!$E$88</f>
        <v>1</v>
      </c>
      <c r="F12" s="242">
        <f>VLOOKUP(INPUTS!$D$73,'Crop parameters'!$A$2:$Z$43,8,FALSE)*1000</f>
        <v>0</v>
      </c>
      <c r="G12" s="472">
        <f>IF(INPUTS!$E$73="Residue",INPUTS!$F$88,0)</f>
        <v>0</v>
      </c>
      <c r="H12" s="472">
        <f>IFERROR(IF(INPUTS!$E$73="Main",B12/(D12*E12),B12/(F12*G12)),0)</f>
        <v>0</v>
      </c>
      <c r="I12" s="472">
        <f>IFERROR(IF(INPUTS!$E$73="Main",C12/(D12*E12),C12/(F12*G12)),0)</f>
        <v>0</v>
      </c>
      <c r="J12" s="825">
        <f t="shared" si="0"/>
        <v>0</v>
      </c>
      <c r="K12" s="843">
        <f t="shared" si="1"/>
        <v>0</v>
      </c>
      <c r="L12" s="825">
        <f t="shared" si="26"/>
        <v>0</v>
      </c>
      <c r="M12" s="825">
        <f t="shared" si="27"/>
        <v>0</v>
      </c>
      <c r="N12" s="724">
        <f>IFERROR(Feed!F149*Feed!F54,0)</f>
        <v>0</v>
      </c>
      <c r="O12" s="552">
        <f>IFERROR(Feed!G149*Feed!O54,0)</f>
        <v>0</v>
      </c>
      <c r="P12" s="242">
        <f>VLOOKUP(INPUTS!$D$74,'Crop parameters'!$A$2:$Z$43,4,FALSE)*1000</f>
        <v>1064</v>
      </c>
      <c r="Q12" s="472">
        <f>INPUTS!$E$89</f>
        <v>1</v>
      </c>
      <c r="R12" s="242">
        <f>VLOOKUP(INPUTS!$D$74,'Crop parameters'!$A$2:$Z$43,8,FALSE)*1000</f>
        <v>3000</v>
      </c>
      <c r="S12" s="472">
        <f>IF(INPUTS!$E$74="Residue",INPUTS!$F$89,0)</f>
        <v>0</v>
      </c>
      <c r="T12" s="472">
        <f>IFERROR(IF(INPUTS!$E$74="Main",N12/(P12*Q12),N12/(R12*S12)),0)</f>
        <v>0</v>
      </c>
      <c r="U12" s="472">
        <f>IFERROR(IF(INPUTS!$E$74="Main",O12/(P12*Q12),O12/(R12*S12)),0)</f>
        <v>0</v>
      </c>
      <c r="V12" s="825">
        <f t="shared" si="2"/>
        <v>0</v>
      </c>
      <c r="W12" s="843">
        <f t="shared" si="3"/>
        <v>0</v>
      </c>
      <c r="X12" s="825">
        <f t="shared" si="4"/>
        <v>0</v>
      </c>
      <c r="Y12" s="825">
        <f t="shared" si="5"/>
        <v>0</v>
      </c>
      <c r="Z12" s="724">
        <f>IFERROR(Feed!F149*Feed!G54,0)</f>
        <v>216.62453440512667</v>
      </c>
      <c r="AA12" s="552">
        <f>IFERROR(Feed!G149*Feed!P54,0)</f>
        <v>156.33751775464339</v>
      </c>
      <c r="AB12" s="242">
        <f>VLOOKUP(INPUTS!$D$75,'Crop parameters'!$A$2:$Z$43,4,FALSE)*1000</f>
        <v>15646.575342465754</v>
      </c>
      <c r="AC12" s="472">
        <f>INPUTS!$E$90</f>
        <v>0.9</v>
      </c>
      <c r="AD12" s="242">
        <f>VLOOKUP(INPUTS!$D$75,'Crop parameters'!$A$2:$Z$43,8,FALSE)*1000</f>
        <v>0</v>
      </c>
      <c r="AE12" s="472">
        <f>IF(INPUTS!$E$75="Residue",INPUTS!$F$90,0)</f>
        <v>0</v>
      </c>
      <c r="AF12" s="472">
        <f>IFERROR(IF(INPUTS!$E$75="Main",Z12/(AB12*AC12),Z12/(AD12*AE12)),0)</f>
        <v>1.5383169917288513E-2</v>
      </c>
      <c r="AG12" s="472">
        <f>IFERROR(IF(INPUTS!$E$75="Main",AA12/(AB12*AC12),AA12/(AD12*AE12)),0)</f>
        <v>1.1102004704458225E-2</v>
      </c>
      <c r="AH12" s="825">
        <f t="shared" si="28"/>
        <v>0</v>
      </c>
      <c r="AI12" s="843">
        <f t="shared" si="29"/>
        <v>0</v>
      </c>
      <c r="AJ12" s="825">
        <f t="shared" si="6"/>
        <v>1.5383169917288513E-2</v>
      </c>
      <c r="AK12" s="825">
        <f t="shared" si="7"/>
        <v>1.1102004704458225E-2</v>
      </c>
      <c r="AL12" s="829">
        <f>IFERROR(Feed!F149*Feed!H54,0)</f>
        <v>0</v>
      </c>
      <c r="AM12" s="552">
        <f>IFERROR(Feed!G149*Feed!Q54,0)</f>
        <v>0</v>
      </c>
      <c r="AN12" s="242">
        <f>VLOOKUP(INPUTS!$D$76,'Crop parameters'!$A$2:$Z$43,4,FALSE)*1000</f>
        <v>0</v>
      </c>
      <c r="AO12" s="472">
        <f>INPUTS!$E$91</f>
        <v>1</v>
      </c>
      <c r="AP12" s="242">
        <f>VLOOKUP(INPUTS!$D$76,'Crop parameters'!$A$2:$Z$43,8,FALSE)*1000</f>
        <v>0</v>
      </c>
      <c r="AQ12" s="472">
        <f>IF(INPUTS!$E$76="Residue",INPUTS!$F$91,0)</f>
        <v>0</v>
      </c>
      <c r="AR12" s="472">
        <f>IFERROR(IF(INPUTS!$E$76="Main",AL12/(AN12*AO12),AL12/(AP12*AQ12)),0)</f>
        <v>0</v>
      </c>
      <c r="AS12" s="472">
        <f>IFERROR(IF(INPUTS!$E$76="Main",AM12/(AN12*AO12),AM12/(AP12*AQ12)),0)</f>
        <v>0</v>
      </c>
      <c r="AT12" s="825">
        <f t="shared" si="8"/>
        <v>0</v>
      </c>
      <c r="AU12" s="843">
        <f t="shared" si="9"/>
        <v>0</v>
      </c>
      <c r="AV12" s="825">
        <f t="shared" si="10"/>
        <v>0</v>
      </c>
      <c r="AW12" s="825">
        <f t="shared" si="11"/>
        <v>0</v>
      </c>
      <c r="AX12" s="724">
        <f>IFERROR(Feed!F149*Feed!I54,0)</f>
        <v>206.89669668547859</v>
      </c>
      <c r="AY12" s="552">
        <f>IFERROR(Feed!G149*Feed!R54,0)</f>
        <v>149.31695562678414</v>
      </c>
      <c r="AZ12" s="242">
        <f>VLOOKUP(INPUTS!$D$77,'Crop parameters'!$A$2:$Z$43,4,FALSE)*1000</f>
        <v>1600</v>
      </c>
      <c r="BA12" s="472">
        <f>INPUTS!$E$92</f>
        <v>1</v>
      </c>
      <c r="BB12" s="242">
        <f>VLOOKUP(INPUTS!$D$77,'Crop parameters'!$A$2:$Z$43,8,FALSE)*1000</f>
        <v>2405.8952380952383</v>
      </c>
      <c r="BC12" s="472">
        <f>IF(INPUTS!$E$77="Residue",INPUTS!$F$92,0)</f>
        <v>0.8</v>
      </c>
      <c r="BD12" s="472">
        <f>IFERROR(IF(INPUTS!$E$77="Main",AX12/(AZ12*BA12),AX12/(BB12*BC12)),0)</f>
        <v>0.10749465178774781</v>
      </c>
      <c r="BE12" s="472">
        <f>IFERROR(IF(INPUTS!$E$77="Main",AY12/(AZ12*BA12),AY12/(BB12*BC12)),0)</f>
        <v>7.7578687375119915E-2</v>
      </c>
      <c r="BF12" s="825">
        <f t="shared" si="12"/>
        <v>4.879582739884665E-2</v>
      </c>
      <c r="BG12" s="843">
        <f t="shared" si="13"/>
        <v>3.5215856566148777E-2</v>
      </c>
      <c r="BH12" s="825">
        <f t="shared" si="14"/>
        <v>5.8698824388901151E-2</v>
      </c>
      <c r="BI12" s="825">
        <f t="shared" si="15"/>
        <v>4.236283080897113E-2</v>
      </c>
      <c r="BJ12" s="724">
        <f>IFERROR(Feed!F149*Feed!J54,0)</f>
        <v>202.6632858260021</v>
      </c>
      <c r="BK12" s="552">
        <f>IFERROR(Feed!G149*Feed!S54,0)</f>
        <v>146.26171099706761</v>
      </c>
      <c r="BL12" s="242">
        <f>VLOOKUP(INPUTS!$D$78,'Crop parameters'!$A$2:$Z$43,4,FALSE)*1000</f>
        <v>0</v>
      </c>
      <c r="BM12" s="472">
        <f>INPUTS!$E$93</f>
        <v>0.6</v>
      </c>
      <c r="BN12" s="242">
        <f>VLOOKUP(INPUTS!$D$78,'Crop parameters'!$A$2:$Z$43,8,FALSE)*1000</f>
        <v>66.041816870944544</v>
      </c>
      <c r="BO12" s="472">
        <f>IF(INPUTS!$E$78="Residue",INPUTS!$F$93,0)</f>
        <v>0</v>
      </c>
      <c r="BP12" s="472">
        <f>IFERROR(IF(INPUTS!$E$78="Main",BJ12/(BL12*BM12),BJ12/(BN12*BO12)),0)</f>
        <v>0</v>
      </c>
      <c r="BQ12" s="472">
        <f>IFERROR(IF(INPUTS!$E$78="Main",BK12/(BL12*BM12),BK12/(BN12*BO12)),0)</f>
        <v>0</v>
      </c>
      <c r="BR12" s="825">
        <f t="shared" si="16"/>
        <v>0</v>
      </c>
      <c r="BS12" s="843">
        <f t="shared" si="17"/>
        <v>0</v>
      </c>
      <c r="BT12" s="825">
        <f t="shared" si="18"/>
        <v>0</v>
      </c>
      <c r="BU12" s="825">
        <f t="shared" si="19"/>
        <v>0</v>
      </c>
      <c r="BV12" s="724">
        <f>IFERROR(Feed!F149*Feed!K54,0)</f>
        <v>111.46480720430115</v>
      </c>
      <c r="BW12" s="552">
        <f>IFERROR(Feed!G149*Feed!T54,0)</f>
        <v>80.443941048387188</v>
      </c>
      <c r="BX12" s="242">
        <f>VLOOKUP(INPUTS!$D$79,'Crop parameters'!$A$2:$Z$43,4,FALSE)*1000</f>
        <v>6000</v>
      </c>
      <c r="BY12" s="472">
        <f>INPUTS!$E$94</f>
        <v>0.9</v>
      </c>
      <c r="BZ12" s="242">
        <f>VLOOKUP(INPUTS!$D$79,'Crop parameters'!$A$2:$Z$43,8,FALSE)*1000</f>
        <v>0</v>
      </c>
      <c r="CA12" s="472">
        <f>IF(INPUTS!$E$79="Residue",INPUTS!$F$94,0)</f>
        <v>0</v>
      </c>
      <c r="CB12" s="472">
        <f>IFERROR(IF(INPUTS!$E$79="Main",BV12/(BX12*BY12),BV12/(BZ12*CA12)),0)</f>
        <v>2.0641630963759473E-2</v>
      </c>
      <c r="CC12" s="472">
        <f>IFERROR(IF(INPUTS!$E$79="Main",BW12/(BX12*BY12),BW12/(BZ12*CA12)),0)</f>
        <v>1.4897026120071702E-2</v>
      </c>
      <c r="CD12" s="825">
        <f t="shared" si="20"/>
        <v>0</v>
      </c>
      <c r="CE12" s="843">
        <f t="shared" si="21"/>
        <v>0</v>
      </c>
      <c r="CF12" s="825">
        <f t="shared" si="22"/>
        <v>2.0641630963759473E-2</v>
      </c>
      <c r="CG12" s="546">
        <f t="shared" si="23"/>
        <v>1.4897026120071702E-2</v>
      </c>
      <c r="CH12" s="726">
        <f t="shared" si="24"/>
        <v>9.4723625269949138E-2</v>
      </c>
      <c r="CI12" s="546">
        <f t="shared" si="25"/>
        <v>6.8361861633501053E-2</v>
      </c>
    </row>
    <row r="13" spans="1:87">
      <c r="A13" s="542" t="str">
        <f>'Livestock parameters'!A29</f>
        <v>Sheep/Goats - Ewes/Does</v>
      </c>
      <c r="B13" s="724">
        <f>IFERROR(Feed!F150*Feed!E61,0)</f>
        <v>126.26669281179082</v>
      </c>
      <c r="C13" s="552">
        <f>IFERROR(Feed!G150*Feed!N61,0)</f>
        <v>91.12643396322639</v>
      </c>
      <c r="D13" s="242">
        <f>VLOOKUP(INPUTS!$D$73,'Crop parameters'!$A$2:$Z$43,4,FALSE)*1000</f>
        <v>0</v>
      </c>
      <c r="E13" s="472">
        <f>INPUTS!$E$88</f>
        <v>1</v>
      </c>
      <c r="F13" s="242">
        <f>VLOOKUP(INPUTS!$D$73,'Crop parameters'!$A$2:$Z$43,8,FALSE)*1000</f>
        <v>0</v>
      </c>
      <c r="G13" s="472">
        <f>IF(INPUTS!$E$73="Residue",INPUTS!$F$88,0)</f>
        <v>0</v>
      </c>
      <c r="H13" s="472">
        <f>IFERROR(IF(INPUTS!$E$73="Main",B13/(D13*E13),B13/(F13*G13)),0)</f>
        <v>0</v>
      </c>
      <c r="I13" s="472">
        <f>IFERROR(IF(INPUTS!$E$73="Main",C13/(D13*E13),C13/(F13*G13)),0)</f>
        <v>0</v>
      </c>
      <c r="J13" s="825">
        <f t="shared" si="0"/>
        <v>0</v>
      </c>
      <c r="K13" s="843">
        <f t="shared" si="1"/>
        <v>0</v>
      </c>
      <c r="L13" s="825">
        <f t="shared" si="26"/>
        <v>0</v>
      </c>
      <c r="M13" s="825">
        <f t="shared" si="27"/>
        <v>0</v>
      </c>
      <c r="N13" s="724">
        <f>IFERROR(Feed!F150*Feed!F61,0)</f>
        <v>0</v>
      </c>
      <c r="O13" s="552">
        <f>IFERROR(Feed!G150*Feed!O61,0)</f>
        <v>0</v>
      </c>
      <c r="P13" s="242">
        <f>VLOOKUP(INPUTS!$D$74,'Crop parameters'!$A$2:$Z$43,4,FALSE)*1000</f>
        <v>1064</v>
      </c>
      <c r="Q13" s="472">
        <f>INPUTS!$E$89</f>
        <v>1</v>
      </c>
      <c r="R13" s="242">
        <f>VLOOKUP(INPUTS!$D$74,'Crop parameters'!$A$2:$Z$43,8,FALSE)*1000</f>
        <v>3000</v>
      </c>
      <c r="S13" s="472">
        <f>IF(INPUTS!$E$74="Residue",INPUTS!$F$89,0)</f>
        <v>0</v>
      </c>
      <c r="T13" s="472">
        <f>IFERROR(IF(INPUTS!$E$74="Main",N13/(P13*Q13),N13/(R13*S13)),0)</f>
        <v>0</v>
      </c>
      <c r="U13" s="472">
        <f>IFERROR(IF(INPUTS!$E$74="Main",O13/(P13*Q13),O13/(R13*S13)),0)</f>
        <v>0</v>
      </c>
      <c r="V13" s="825">
        <f t="shared" si="2"/>
        <v>0</v>
      </c>
      <c r="W13" s="843">
        <f t="shared" si="3"/>
        <v>0</v>
      </c>
      <c r="X13" s="825">
        <f t="shared" si="4"/>
        <v>0</v>
      </c>
      <c r="Y13" s="825">
        <f t="shared" si="5"/>
        <v>0</v>
      </c>
      <c r="Z13" s="724">
        <f>IFERROR(Feed!F150*Feed!G61,0)</f>
        <v>266.96386480207201</v>
      </c>
      <c r="AA13" s="552">
        <f>IFERROR(Feed!G150*Feed!P61,0)</f>
        <v>192.66731752225007</v>
      </c>
      <c r="AB13" s="242">
        <f>VLOOKUP(INPUTS!$D$75,'Crop parameters'!$A$2:$Z$43,4,FALSE)*1000</f>
        <v>15646.575342465754</v>
      </c>
      <c r="AC13" s="472">
        <f>INPUTS!$E$90</f>
        <v>0.9</v>
      </c>
      <c r="AD13" s="242">
        <f>VLOOKUP(INPUTS!$D$75,'Crop parameters'!$A$2:$Z$43,8,FALSE)*1000</f>
        <v>0</v>
      </c>
      <c r="AE13" s="472">
        <f>IF(INPUTS!$E$75="Residue",INPUTS!$F$90,0)</f>
        <v>0</v>
      </c>
      <c r="AF13" s="472">
        <f>IFERROR(IF(INPUTS!$E$75="Main",Z13/(AB13*AC13),Z13/(AD13*AE13)),0)</f>
        <v>1.895791954177246E-2</v>
      </c>
      <c r="AG13" s="472">
        <f>IFERROR(IF(INPUTS!$E$75="Main",AA13/(AB13*AC13),AA13/(AD13*AE13)),0)</f>
        <v>1.3681894763637672E-2</v>
      </c>
      <c r="AH13" s="825">
        <f t="shared" si="28"/>
        <v>0</v>
      </c>
      <c r="AI13" s="843">
        <f t="shared" si="29"/>
        <v>0</v>
      </c>
      <c r="AJ13" s="825">
        <f t="shared" si="6"/>
        <v>1.895791954177246E-2</v>
      </c>
      <c r="AK13" s="825">
        <f t="shared" si="7"/>
        <v>1.3681894763637672E-2</v>
      </c>
      <c r="AL13" s="829">
        <f>IFERROR(Feed!F150*Feed!H61,0)</f>
        <v>0</v>
      </c>
      <c r="AM13" s="552">
        <f>IFERROR(Feed!G150*Feed!Q61,0)</f>
        <v>0</v>
      </c>
      <c r="AN13" s="242">
        <f>VLOOKUP(INPUTS!$D$76,'Crop parameters'!$A$2:$Z$43,4,FALSE)*1000</f>
        <v>0</v>
      </c>
      <c r="AO13" s="472">
        <f>INPUTS!$E$91</f>
        <v>1</v>
      </c>
      <c r="AP13" s="242">
        <f>VLOOKUP(INPUTS!$D$76,'Crop parameters'!$A$2:$Z$43,8,FALSE)*1000</f>
        <v>0</v>
      </c>
      <c r="AQ13" s="472">
        <f>IF(INPUTS!$E$76="Residue",INPUTS!$F$91,0)</f>
        <v>0</v>
      </c>
      <c r="AR13" s="472">
        <f>IFERROR(IF(INPUTS!$E$76="Main",AL13/(AN13*AO13),AL13/(AP13*AQ13)),0)</f>
        <v>0</v>
      </c>
      <c r="AS13" s="472">
        <f>IFERROR(IF(INPUTS!$E$76="Main",AM13/(AN13*AO13),AM13/(AP13*AQ13)),0)</f>
        <v>0</v>
      </c>
      <c r="AT13" s="825">
        <f t="shared" si="8"/>
        <v>0</v>
      </c>
      <c r="AU13" s="843">
        <f t="shared" si="9"/>
        <v>0</v>
      </c>
      <c r="AV13" s="825">
        <f t="shared" si="10"/>
        <v>0</v>
      </c>
      <c r="AW13" s="825">
        <f t="shared" si="11"/>
        <v>0</v>
      </c>
      <c r="AX13" s="724">
        <f>IFERROR(Feed!F150*Feed!I61,0)</f>
        <v>254.97546671532618</v>
      </c>
      <c r="AY13" s="552">
        <f>IFERROR(Feed!G150*Feed!R61,0)</f>
        <v>184.01531324266466</v>
      </c>
      <c r="AZ13" s="242">
        <f>VLOOKUP(INPUTS!$D$77,'Crop parameters'!$A$2:$Z$43,4,FALSE)*1000</f>
        <v>1600</v>
      </c>
      <c r="BA13" s="472">
        <f>INPUTS!$E$92</f>
        <v>1</v>
      </c>
      <c r="BB13" s="242">
        <f>VLOOKUP(INPUTS!$D$77,'Crop parameters'!$A$2:$Z$43,8,FALSE)*1000</f>
        <v>2405.8952380952383</v>
      </c>
      <c r="BC13" s="472">
        <f>IF(INPUTS!$E$77="Residue",INPUTS!$F$92,0)</f>
        <v>0.8</v>
      </c>
      <c r="BD13" s="472">
        <f>IFERROR(IF(INPUTS!$E$77="Main",AX13/(AZ13*BA13),AX13/(BB13*BC13)),0)</f>
        <v>0.13247431905908327</v>
      </c>
      <c r="BE13" s="472">
        <f>IFERROR(IF(INPUTS!$E$77="Main",AY13/(AZ13*BA13),AY13/(BB13*BC13)),0)</f>
        <v>9.5606466113395017E-2</v>
      </c>
      <c r="BF13" s="825">
        <f t="shared" si="12"/>
        <v>6.0135029046380468E-2</v>
      </c>
      <c r="BG13" s="843">
        <f t="shared" si="13"/>
        <v>4.3399337000453835E-2</v>
      </c>
      <c r="BH13" s="825">
        <f t="shared" si="14"/>
        <v>7.2339290012702798E-2</v>
      </c>
      <c r="BI13" s="825">
        <f t="shared" si="15"/>
        <v>5.2207129112941175E-2</v>
      </c>
      <c r="BJ13" s="724">
        <f>IFERROR(Feed!F150*Feed!J61,0)</f>
        <v>249.75829347387196</v>
      </c>
      <c r="BK13" s="552">
        <f>IFERROR(Feed!G150*Feed!S61,0)</f>
        <v>180.25008915803022</v>
      </c>
      <c r="BL13" s="242">
        <f>VLOOKUP(INPUTS!$D$78,'Crop parameters'!$A$2:$Z$43,4,FALSE)*1000</f>
        <v>0</v>
      </c>
      <c r="BM13" s="472">
        <f>INPUTS!$E$93</f>
        <v>0.6</v>
      </c>
      <c r="BN13" s="242">
        <f>VLOOKUP(INPUTS!$D$78,'Crop parameters'!$A$2:$Z$43,8,FALSE)*1000</f>
        <v>66.041816870944544</v>
      </c>
      <c r="BO13" s="472">
        <f>IF(INPUTS!$E$78="Residue",INPUTS!$F$93,0)</f>
        <v>0</v>
      </c>
      <c r="BP13" s="472">
        <f>IFERROR(IF(INPUTS!$E$78="Main",BJ13/(BL13*BM13),BJ13/(BN13*BO13)),0)</f>
        <v>0</v>
      </c>
      <c r="BQ13" s="472">
        <f>IFERROR(IF(INPUTS!$E$78="Main",BK13/(BL13*BM13),BK13/(BN13*BO13)),0)</f>
        <v>0</v>
      </c>
      <c r="BR13" s="825">
        <f t="shared" si="16"/>
        <v>0</v>
      </c>
      <c r="BS13" s="843">
        <f t="shared" si="17"/>
        <v>0</v>
      </c>
      <c r="BT13" s="825">
        <f t="shared" si="18"/>
        <v>0</v>
      </c>
      <c r="BU13" s="825">
        <f t="shared" si="19"/>
        <v>0</v>
      </c>
      <c r="BV13" s="724">
        <f>IFERROR(Feed!F150*Feed!K61,0)</f>
        <v>137.36706141062959</v>
      </c>
      <c r="BW13" s="552">
        <f>IFERROR(Feed!G150*Feed!T61,0)</f>
        <v>99.137549036916624</v>
      </c>
      <c r="BX13" s="242">
        <f>VLOOKUP(INPUTS!$D$79,'Crop parameters'!$A$2:$Z$43,4,FALSE)*1000</f>
        <v>6000</v>
      </c>
      <c r="BY13" s="472">
        <f>INPUTS!$E$94</f>
        <v>0.9</v>
      </c>
      <c r="BZ13" s="242">
        <f>VLOOKUP(INPUTS!$D$79,'Crop parameters'!$A$2:$Z$43,8,FALSE)*1000</f>
        <v>0</v>
      </c>
      <c r="CA13" s="472">
        <f>IF(INPUTS!$E$79="Residue",INPUTS!$F$94,0)</f>
        <v>0</v>
      </c>
      <c r="CB13" s="472">
        <f>IFERROR(IF(INPUTS!$E$79="Main",BV13/(BX13*BY13),BV13/(BZ13*CA13)),0)</f>
        <v>2.5438344705672147E-2</v>
      </c>
      <c r="CC13" s="472">
        <f>IFERROR(IF(INPUTS!$E$79="Main",BW13/(BX13*BY13),BW13/(BZ13*CA13)),0)</f>
        <v>1.8358805377206782E-2</v>
      </c>
      <c r="CD13" s="825">
        <f t="shared" si="20"/>
        <v>0</v>
      </c>
      <c r="CE13" s="843">
        <f t="shared" si="21"/>
        <v>0</v>
      </c>
      <c r="CF13" s="825">
        <f t="shared" si="22"/>
        <v>2.5438344705672147E-2</v>
      </c>
      <c r="CG13" s="546">
        <f t="shared" si="23"/>
        <v>1.8358805377206782E-2</v>
      </c>
      <c r="CH13" s="726">
        <f t="shared" si="24"/>
        <v>0.11673555426014741</v>
      </c>
      <c r="CI13" s="546">
        <f t="shared" si="25"/>
        <v>8.4247829253785628E-2</v>
      </c>
    </row>
    <row r="14" spans="1:87">
      <c r="A14" s="542" t="str">
        <f>'Livestock parameters'!A30</f>
        <v>Sheep/Goats - Breeding Rams/Bucks</v>
      </c>
      <c r="B14" s="724">
        <f>IFERROR(Feed!F151*Feed!E68,0)</f>
        <v>487.63013778561282</v>
      </c>
      <c r="C14" s="552">
        <f>IFERROR(Feed!G151*Feed!N68,0)</f>
        <v>351.92175038301298</v>
      </c>
      <c r="D14" s="242">
        <f>VLOOKUP(INPUTS!$D$73,'Crop parameters'!$A$2:$Z$43,4,FALSE)*1000</f>
        <v>0</v>
      </c>
      <c r="E14" s="472">
        <f>INPUTS!$E$88</f>
        <v>1</v>
      </c>
      <c r="F14" s="242">
        <f>VLOOKUP(INPUTS!$D$73,'Crop parameters'!$A$2:$Z$43,8,FALSE)*1000</f>
        <v>0</v>
      </c>
      <c r="G14" s="472">
        <f>IF(INPUTS!$E$73="Residue",INPUTS!$F$88,0)</f>
        <v>0</v>
      </c>
      <c r="H14" s="472">
        <f>IFERROR(IF(INPUTS!$E$73="Main",B14/(D14*E14),B14/(F14*G14)),0)</f>
        <v>0</v>
      </c>
      <c r="I14" s="472">
        <f>IFERROR(IF(INPUTS!$E$73="Main",C14/(D14*E14),C14/(F14*G14)),0)</f>
        <v>0</v>
      </c>
      <c r="J14" s="825">
        <f t="shared" si="0"/>
        <v>0</v>
      </c>
      <c r="K14" s="843">
        <f t="shared" si="1"/>
        <v>0</v>
      </c>
      <c r="L14" s="825">
        <f t="shared" si="26"/>
        <v>0</v>
      </c>
      <c r="M14" s="825">
        <f t="shared" si="27"/>
        <v>0</v>
      </c>
      <c r="N14" s="724">
        <f>IFERROR(Feed!F151*Feed!F68,0)</f>
        <v>0</v>
      </c>
      <c r="O14" s="552">
        <f>IFERROR(Feed!G151*Feed!O68,0)</f>
        <v>0</v>
      </c>
      <c r="P14" s="242">
        <f>VLOOKUP(INPUTS!$D$74,'Crop parameters'!$A$2:$Z$43,4,FALSE)*1000</f>
        <v>1064</v>
      </c>
      <c r="Q14" s="472">
        <f>INPUTS!$E$89</f>
        <v>1</v>
      </c>
      <c r="R14" s="242">
        <f>VLOOKUP(INPUTS!$D$74,'Crop parameters'!$A$2:$Z$43,8,FALSE)*1000</f>
        <v>3000</v>
      </c>
      <c r="S14" s="472">
        <f>IF(INPUTS!$E$74="Residue",INPUTS!$F$89,0)</f>
        <v>0</v>
      </c>
      <c r="T14" s="472">
        <f>IFERROR(IF(INPUTS!$E$74="Main",N14/(P14*Q14),N14/(R14*S14)),0)</f>
        <v>0</v>
      </c>
      <c r="U14" s="472">
        <f>IFERROR(IF(INPUTS!$E$74="Main",O14/(P14*Q14),O14/(R14*S14)),0)</f>
        <v>0</v>
      </c>
      <c r="V14" s="825">
        <f t="shared" si="2"/>
        <v>0</v>
      </c>
      <c r="W14" s="843">
        <f t="shared" si="3"/>
        <v>0</v>
      </c>
      <c r="X14" s="825">
        <f t="shared" si="4"/>
        <v>0</v>
      </c>
      <c r="Y14" s="825">
        <f t="shared" si="5"/>
        <v>0</v>
      </c>
      <c r="Z14" s="724">
        <f>IFERROR(Feed!F151*Feed!G68,0)</f>
        <v>1030.9894341752956</v>
      </c>
      <c r="AA14" s="552">
        <f>IFERROR(Feed!G151*Feed!P68,0)</f>
        <v>744.06312938122744</v>
      </c>
      <c r="AB14" s="242">
        <f>VLOOKUP(INPUTS!$D$75,'Crop parameters'!$A$2:$Z$43,4,FALSE)*1000</f>
        <v>15646.575342465754</v>
      </c>
      <c r="AC14" s="472">
        <f>INPUTS!$E$90</f>
        <v>0.9</v>
      </c>
      <c r="AD14" s="242">
        <f>VLOOKUP(INPUTS!$D$75,'Crop parameters'!$A$2:$Z$43,8,FALSE)*1000</f>
        <v>0</v>
      </c>
      <c r="AE14" s="472">
        <f>IF(INPUTS!$E$75="Residue",INPUTS!$F$90,0)</f>
        <v>0</v>
      </c>
      <c r="AF14" s="472">
        <f>IFERROR(IF(INPUTS!$E$75="Main",Z14/(AB14*AC14),Z14/(AD14*AE14)),0)</f>
        <v>7.3213709113792658E-2</v>
      </c>
      <c r="AG14" s="472">
        <f>IFERROR(IF(INPUTS!$E$75="Main",AA14/(AB14*AC14),AA14/(AD14*AE14)),0)</f>
        <v>5.2838195728350357E-2</v>
      </c>
      <c r="AH14" s="825">
        <f t="shared" si="28"/>
        <v>0</v>
      </c>
      <c r="AI14" s="843">
        <f t="shared" si="29"/>
        <v>0</v>
      </c>
      <c r="AJ14" s="825">
        <f t="shared" si="6"/>
        <v>7.3213709113792658E-2</v>
      </c>
      <c r="AK14" s="825">
        <f t="shared" si="7"/>
        <v>5.2838195728350357E-2</v>
      </c>
      <c r="AL14" s="829">
        <f>IFERROR(Feed!F151*Feed!H68,0)</f>
        <v>0</v>
      </c>
      <c r="AM14" s="552">
        <f>IFERROR(Feed!G151*Feed!Q68,0)</f>
        <v>0</v>
      </c>
      <c r="AN14" s="242">
        <f>VLOOKUP(INPUTS!$D$76,'Crop parameters'!$A$2:$Z$43,4,FALSE)*1000</f>
        <v>0</v>
      </c>
      <c r="AO14" s="472">
        <f>INPUTS!$E$91</f>
        <v>1</v>
      </c>
      <c r="AP14" s="242">
        <f>VLOOKUP(INPUTS!$D$76,'Crop parameters'!$A$2:$Z$43,8,FALSE)*1000</f>
        <v>0</v>
      </c>
      <c r="AQ14" s="472">
        <f>IF(INPUTS!$E$76="Residue",INPUTS!$F$91,0)</f>
        <v>0</v>
      </c>
      <c r="AR14" s="472">
        <f>IFERROR(IF(INPUTS!$E$76="Main",AL14/(AN14*AO14),AL14/(AP14*AQ14)),0)</f>
        <v>0</v>
      </c>
      <c r="AS14" s="472">
        <f>IFERROR(IF(INPUTS!$E$76="Main",AM14/(AN14*AO14),AM14/(AP14*AQ14)),0)</f>
        <v>0</v>
      </c>
      <c r="AT14" s="825">
        <f t="shared" si="8"/>
        <v>0</v>
      </c>
      <c r="AU14" s="843">
        <f t="shared" si="9"/>
        <v>0</v>
      </c>
      <c r="AV14" s="825">
        <f t="shared" si="10"/>
        <v>0</v>
      </c>
      <c r="AW14" s="825">
        <f t="shared" si="11"/>
        <v>0</v>
      </c>
      <c r="AX14" s="724">
        <f>IFERROR(Feed!F151*Feed!I68,0)</f>
        <v>984.69136395037606</v>
      </c>
      <c r="AY14" s="552">
        <f>IFERROR(Feed!G151*Feed!R68,0)</f>
        <v>710.64989945475247</v>
      </c>
      <c r="AZ14" s="242">
        <f>VLOOKUP(INPUTS!$D$77,'Crop parameters'!$A$2:$Z$43,4,FALSE)*1000</f>
        <v>1600</v>
      </c>
      <c r="BA14" s="472">
        <f>INPUTS!$E$92</f>
        <v>1</v>
      </c>
      <c r="BB14" s="242">
        <f>VLOOKUP(INPUTS!$D$77,'Crop parameters'!$A$2:$Z$43,8,FALSE)*1000</f>
        <v>2405.8952380952383</v>
      </c>
      <c r="BC14" s="472">
        <f>IF(INPUTS!$E$77="Residue",INPUTS!$F$92,0)</f>
        <v>0.8</v>
      </c>
      <c r="BD14" s="472">
        <f>IFERROR(IF(INPUTS!$E$77="Main",AX14/(AZ14*BA14),AX14/(BB14*BC14)),0)</f>
        <v>0.51160340876373844</v>
      </c>
      <c r="BE14" s="472">
        <f>IFERROR(IF(INPUTS!$E$77="Main",AY14/(AZ14*BA14),AY14/(BB14*BC14)),0)</f>
        <v>0.36922321481533954</v>
      </c>
      <c r="BF14" s="825">
        <f t="shared" si="12"/>
        <v>0.23223584816098142</v>
      </c>
      <c r="BG14" s="843">
        <f t="shared" si="13"/>
        <v>0.16760417343693471</v>
      </c>
      <c r="BH14" s="825">
        <f t="shared" si="14"/>
        <v>0.27936756060275697</v>
      </c>
      <c r="BI14" s="825">
        <f t="shared" si="15"/>
        <v>0.20161904137840481</v>
      </c>
      <c r="BJ14" s="724">
        <f>IFERROR(Feed!F151*Feed!J68,0)</f>
        <v>964.54312968582758</v>
      </c>
      <c r="BK14" s="552">
        <f>IFERROR(Feed!G151*Feed!S68,0)</f>
        <v>696.1089568015642</v>
      </c>
      <c r="BL14" s="242">
        <f>VLOOKUP(INPUTS!$D$78,'Crop parameters'!$A$2:$Z$43,4,FALSE)*1000</f>
        <v>0</v>
      </c>
      <c r="BM14" s="472">
        <f>INPUTS!$E$93</f>
        <v>0.6</v>
      </c>
      <c r="BN14" s="242">
        <f>VLOOKUP(INPUTS!$D$78,'Crop parameters'!$A$2:$Z$43,8,FALSE)*1000</f>
        <v>66.041816870944544</v>
      </c>
      <c r="BO14" s="472">
        <f>IF(INPUTS!$E$78="Residue",INPUTS!$F$93,0)</f>
        <v>0</v>
      </c>
      <c r="BP14" s="472">
        <f>IFERROR(IF(INPUTS!$E$78="Main",BJ14/(BL14*BM14),BJ14/(BN14*BO14)),0)</f>
        <v>0</v>
      </c>
      <c r="BQ14" s="472">
        <f>IFERROR(IF(INPUTS!$E$78="Main",BK14/(BL14*BM14),BK14/(BN14*BO14)),0)</f>
        <v>0</v>
      </c>
      <c r="BR14" s="825">
        <f t="shared" si="16"/>
        <v>0</v>
      </c>
      <c r="BS14" s="843">
        <f t="shared" si="17"/>
        <v>0</v>
      </c>
      <c r="BT14" s="825">
        <f t="shared" si="18"/>
        <v>0</v>
      </c>
      <c r="BU14" s="825">
        <f t="shared" si="19"/>
        <v>0</v>
      </c>
      <c r="BV14" s="724">
        <f>IFERROR(Feed!F151*Feed!K68,0)</f>
        <v>530.4987213272052</v>
      </c>
      <c r="BW14" s="552">
        <f>IFERROR(Feed!G151*Feed!T68,0)</f>
        <v>382.85992624086032</v>
      </c>
      <c r="BX14" s="242">
        <f>VLOOKUP(INPUTS!$D$79,'Crop parameters'!$A$2:$Z$43,4,FALSE)*1000</f>
        <v>6000</v>
      </c>
      <c r="BY14" s="472">
        <f>INPUTS!$E$94</f>
        <v>0.9</v>
      </c>
      <c r="BZ14" s="242">
        <f>VLOOKUP(INPUTS!$D$79,'Crop parameters'!$A$2:$Z$43,8,FALSE)*1000</f>
        <v>0</v>
      </c>
      <c r="CA14" s="472">
        <f>IF(INPUTS!$E$79="Residue",INPUTS!$F$94,0)</f>
        <v>0</v>
      </c>
      <c r="CB14" s="472">
        <f>IFERROR(IF(INPUTS!$E$79="Main",BV14/(BX14*BY14),BV14/(BZ14*CA14)),0)</f>
        <v>9.8240503949482444E-2</v>
      </c>
      <c r="CC14" s="472">
        <f>IFERROR(IF(INPUTS!$E$79="Main",BW14/(BX14*BY14),BW14/(BZ14*CA14)),0)</f>
        <v>7.0899986340900056E-2</v>
      </c>
      <c r="CD14" s="825">
        <f t="shared" si="20"/>
        <v>0</v>
      </c>
      <c r="CE14" s="843">
        <f t="shared" si="21"/>
        <v>0</v>
      </c>
      <c r="CF14" s="825">
        <f t="shared" si="22"/>
        <v>9.8240503949482444E-2</v>
      </c>
      <c r="CG14" s="546">
        <f t="shared" si="23"/>
        <v>7.0899986340900056E-2</v>
      </c>
      <c r="CH14" s="726">
        <f t="shared" si="24"/>
        <v>0.45082177366603204</v>
      </c>
      <c r="CI14" s="546">
        <f t="shared" si="25"/>
        <v>0.32535722344765522</v>
      </c>
    </row>
    <row r="15" spans="1:87" s="1237" customFormat="1">
      <c r="A15" s="542" t="str">
        <f>'Livestock parameters'!A31</f>
        <v>Sheep/Goats - Fattening Rams/Bucks</v>
      </c>
      <c r="B15" s="724">
        <f>IFERROR(Feed!F152*Feed!E75,0)</f>
        <v>0</v>
      </c>
      <c r="C15" s="724">
        <f>IFERROR(Feed!G152*Feed!N75,0)</f>
        <v>0</v>
      </c>
      <c r="D15" s="242">
        <f>VLOOKUP(INPUTS!$D$73,'Crop parameters'!$A$2:$Z$43,4,FALSE)*1000</f>
        <v>0</v>
      </c>
      <c r="E15" s="472">
        <f>INPUTS!$E$88</f>
        <v>1</v>
      </c>
      <c r="F15" s="242">
        <f>VLOOKUP(INPUTS!$D$73,'Crop parameters'!$A$2:$Z$43,8,FALSE)*1000</f>
        <v>0</v>
      </c>
      <c r="G15" s="472">
        <f>IF(INPUTS!$E$73="Residue",INPUTS!$F$88,0)</f>
        <v>0</v>
      </c>
      <c r="H15" s="472">
        <f>IFERROR(IF(INPUTS!$E$73="Main",B15/(D15*E15),B15/(F15*G15)),0)</f>
        <v>0</v>
      </c>
      <c r="I15" s="472">
        <f>IFERROR(IF(INPUTS!$E$73="Main",C15/(D15*E15),C15/(F15*G15)),0)</f>
        <v>0</v>
      </c>
      <c r="J15" s="825">
        <f t="shared" ref="J15:J16" si="30">IF(G15&gt;0,H15*(D15*E15/(D15*E15+F15*G15)),0)</f>
        <v>0</v>
      </c>
      <c r="K15" s="843">
        <f t="shared" ref="K15:K16" si="31">IF(G15&gt;0,I15*(D15*E15/(D15*E15+F15*G15)),0)</f>
        <v>0</v>
      </c>
      <c r="L15" s="825">
        <f t="shared" ref="L15:L16" si="32">IFERROR(IF(G15&gt;0,H15*(F15*G15/(D15*E15+F15*G15)),H15*(D15*E15+F15*G15)/(D15*E15+F15*G15)),0)</f>
        <v>0</v>
      </c>
      <c r="M15" s="825">
        <f t="shared" ref="M15:M16" si="33">IFERROR(IF(G15&gt;0,I15*(F15*G15/(D15*E15+F15*G15)),I15*(D15*E15+F15*G15)/(D15*E15+F15*G15)),0)</f>
        <v>0</v>
      </c>
      <c r="N15" s="724">
        <f>IFERROR(Feed!F152*Feed!F69,0)</f>
        <v>0</v>
      </c>
      <c r="O15" s="552">
        <f>IFERROR(Feed!G152*Feed!O69,0)</f>
        <v>0</v>
      </c>
      <c r="P15" s="242">
        <f>VLOOKUP(INPUTS!$D$74,'Crop parameters'!$A$2:$Z$43,4,FALSE)*1000</f>
        <v>1064</v>
      </c>
      <c r="Q15" s="472">
        <f>INPUTS!$E$89</f>
        <v>1</v>
      </c>
      <c r="R15" s="242">
        <f>VLOOKUP(INPUTS!$D$74,'Crop parameters'!$A$2:$Z$43,8,FALSE)*1000</f>
        <v>3000</v>
      </c>
      <c r="S15" s="472">
        <f>IF(INPUTS!$E$74="Residue",INPUTS!$F$89,0)</f>
        <v>0</v>
      </c>
      <c r="T15" s="472">
        <f>IFERROR(IF(INPUTS!$E$74="Main",N15/(P15*Q15),N15/(R15*S15)),0)</f>
        <v>0</v>
      </c>
      <c r="U15" s="472">
        <f>IFERROR(IF(INPUTS!$E$74="Main",O15/(P15*Q15),O15/(R15*S15)),0)</f>
        <v>0</v>
      </c>
      <c r="V15" s="825">
        <f t="shared" ref="V15:V16" si="34">IF(S15&gt;0,T15*(P15*Q15/(P15*Q15+R15*S15)),0)</f>
        <v>0</v>
      </c>
      <c r="W15" s="843">
        <f t="shared" ref="W15:W16" si="35">IF(S15&gt;0,U15*(P15*Q15/(P15*Q15+R15*S15)),0)</f>
        <v>0</v>
      </c>
      <c r="X15" s="825">
        <f t="shared" ref="X15:X16" si="36">IFERROR(IF(S15&gt;0,T15*(R15*S15/(P15*Q15+R15*S15)),T15*(P15*Q15+R15*S15)/(P15*Q15+R15*S15)),0)</f>
        <v>0</v>
      </c>
      <c r="Y15" s="825">
        <f t="shared" ref="Y15:Y16" si="37">IFERROR(IF(S15&gt;0,U15*(R15*S15/(P15*Q15+R15*S15)),U15*(P15*Q15+R15*S15)/(P15*Q15+R15*S15)),0)</f>
        <v>0</v>
      </c>
      <c r="Z15" s="724">
        <f>IFERROR(Feed!F152*Feed!G75,0)</f>
        <v>0</v>
      </c>
      <c r="AA15" s="724">
        <f>IFERROR(Feed!G152*Feed!P75,0)</f>
        <v>0</v>
      </c>
      <c r="AB15" s="242">
        <f>VLOOKUP(INPUTS!$D$75,'Crop parameters'!$A$2:$Z$43,4,FALSE)*1000</f>
        <v>15646.575342465754</v>
      </c>
      <c r="AC15" s="472">
        <f>INPUTS!$E$90</f>
        <v>0.9</v>
      </c>
      <c r="AD15" s="242">
        <f>VLOOKUP(INPUTS!$D$75,'Crop parameters'!$A$2:$Z$43,8,FALSE)*1000</f>
        <v>0</v>
      </c>
      <c r="AE15" s="472">
        <f>IF(INPUTS!$E$75="Residue",INPUTS!$F$90,0)</f>
        <v>0</v>
      </c>
      <c r="AF15" s="472">
        <f>IFERROR(IF(INPUTS!$E$75="Main",Z15/(AB15*AC15),Z15/(AD15*AE15)),0)</f>
        <v>0</v>
      </c>
      <c r="AG15" s="472">
        <f>IFERROR(IF(INPUTS!$E$75="Main",AA15/(AB15*AC15),AA15/(AD15*AE15)),0)</f>
        <v>0</v>
      </c>
      <c r="AH15" s="825">
        <f t="shared" ref="AH15:AH16" si="38">IF(AE15&gt;0,AF15*(AB15*AC15/(AB15*AC15+AD15*AE15)),0)</f>
        <v>0</v>
      </c>
      <c r="AI15" s="843">
        <f t="shared" ref="AI15:AI16" si="39">IF(AE15&gt;0,AG15*(AB15*AC15/(AB15*AC15+AD15*AE15)),0)</f>
        <v>0</v>
      </c>
      <c r="AJ15" s="825">
        <f t="shared" ref="AJ15:AJ16" si="40">IFERROR(IF(AE15&gt;0,AF15*(AD15*AE15/(AB15*AC15+AD15*AE15)),AF15*(AB15*AC15+AD15*AE15)/(AB15*AC15+AD15*AE15)),0)</f>
        <v>0</v>
      </c>
      <c r="AK15" s="825">
        <f t="shared" ref="AK15:AK16" si="41">IFERROR(IF(AE15&gt;0,AG15*(AD15*AE15/(AB15*AC15+AD15*AE15)),AG15*(AB15*AC15+AD15*AE15)/(AB15*AC15+AD15*AE15)),0)</f>
        <v>0</v>
      </c>
      <c r="AL15" s="829">
        <f>IFERROR(Feed!F152*Feed!H75,0)</f>
        <v>0</v>
      </c>
      <c r="AM15" s="829">
        <f>IFERROR(Feed!G152*Feed!Q75,0)</f>
        <v>0</v>
      </c>
      <c r="AN15" s="242">
        <f>VLOOKUP(INPUTS!$D$76,'Crop parameters'!$A$2:$Z$43,4,FALSE)*1000</f>
        <v>0</v>
      </c>
      <c r="AO15" s="472">
        <f>INPUTS!$E$91</f>
        <v>1</v>
      </c>
      <c r="AP15" s="242">
        <f>VLOOKUP(INPUTS!$D$76,'Crop parameters'!$A$2:$Z$43,8,FALSE)*1000</f>
        <v>0</v>
      </c>
      <c r="AQ15" s="472">
        <f>IF(INPUTS!$E$76="Residue",INPUTS!$F$91,0)</f>
        <v>0</v>
      </c>
      <c r="AR15" s="472">
        <f>IFERROR(IF(INPUTS!$E$76="Main",AL15/(AN15*AO15),AL15/(AP15*AQ15)),0)</f>
        <v>0</v>
      </c>
      <c r="AS15" s="472">
        <f>IFERROR(IF(INPUTS!$E$76="Main",AM15/(AN15*AO15),AM15/(AP15*AQ15)),0)</f>
        <v>0</v>
      </c>
      <c r="AT15" s="825">
        <f t="shared" ref="AT15:AT16" si="42">IF(AQ15&gt;0,AR15*(AN15*AO15/(AN15*AO15+AP15*AQ15)),0)</f>
        <v>0</v>
      </c>
      <c r="AU15" s="843">
        <f t="shared" ref="AU15:AU16" si="43">IF(AQ15&gt;0,AS15*(AN15*AO15/(AN15*AO15+AP15*AQ15)),0)</f>
        <v>0</v>
      </c>
      <c r="AV15" s="825">
        <f t="shared" ref="AV15:AV16" si="44">IFERROR(IF(AQ15&gt;0,AR15*(AP15*AQ15/(AN15*AO15+AP15*AQ15)),AR15*(AN15*AO15+AP15*AQ15)/(AN15*AO15+AP15*AQ15)),0)</f>
        <v>0</v>
      </c>
      <c r="AW15" s="825">
        <f t="shared" ref="AW15:AW16" si="45">IFERROR(IF(AQ15&gt;0,AS15*(AP15*AQ15/(AN15*AO15+AP15*AQ15)),AS15*(AN15*AO15+AP15*AQ15)/(AN15*AO15+AP15*AQ15)),0)</f>
        <v>0</v>
      </c>
      <c r="AX15" s="724">
        <f>IFERROR(Feed!F152*Feed!I75,0)</f>
        <v>0</v>
      </c>
      <c r="AY15" s="724">
        <f>IFERROR(Feed!G152*Feed!R75,0)</f>
        <v>0</v>
      </c>
      <c r="AZ15" s="242">
        <f>VLOOKUP(INPUTS!$D$77,'Crop parameters'!$A$2:$Z$43,4,FALSE)*1000</f>
        <v>1600</v>
      </c>
      <c r="BA15" s="472">
        <f>INPUTS!$E$92</f>
        <v>1</v>
      </c>
      <c r="BB15" s="242">
        <f>VLOOKUP(INPUTS!$D$77,'Crop parameters'!$A$2:$Z$43,8,FALSE)*1000</f>
        <v>2405.8952380952383</v>
      </c>
      <c r="BC15" s="472">
        <f>IF(INPUTS!$E$77="Residue",INPUTS!$F$92,0)</f>
        <v>0.8</v>
      </c>
      <c r="BD15" s="472">
        <f>IFERROR(IF(INPUTS!$E$77="Main",AX15/(AZ15*BA15),AX15/(BB15*BC15)),0)</f>
        <v>0</v>
      </c>
      <c r="BE15" s="472">
        <f>IFERROR(IF(INPUTS!$E$77="Main",AY15/(AZ15*BA15),AY15/(BB15*BC15)),0)</f>
        <v>0</v>
      </c>
      <c r="BF15" s="825">
        <f t="shared" ref="BF15:BF16" si="46">IF(BC15&gt;0,BD15*(AZ15*BA15/(AZ15*BA15+BB15*BC15)),0)</f>
        <v>0</v>
      </c>
      <c r="BG15" s="843">
        <f t="shared" ref="BG15:BG16" si="47">IF(BC15&gt;0,BE15*(AZ15*BA15/(AZ15*BA15+BB15*BC15)),0)</f>
        <v>0</v>
      </c>
      <c r="BH15" s="825">
        <f t="shared" ref="BH15:BH16" si="48">IFERROR(IF(BC15&gt;0,BD15*(BB15*BC15/(AZ15*BA15+BB15*BC15)),BD15*(AZ15*BA15+BB15*BC15)/(AZ15*BA15+BB15*BC15)),0)</f>
        <v>0</v>
      </c>
      <c r="BI15" s="825">
        <f t="shared" ref="BI15:BI16" si="49">IFERROR(IF(BC15&gt;0,BE15*(BB15*BC15/(AZ15*BA15+BB15*BC15)),BE15*(AZ15*BA15+BB15*BC15)/(AZ15*BA15+BB15*BC15)),0)</f>
        <v>0</v>
      </c>
      <c r="BJ15" s="724">
        <f>IFERROR(Feed!F152*Feed!J75,0)</f>
        <v>0</v>
      </c>
      <c r="BK15" s="724">
        <f>IFERROR(Feed!G152*Feed!S75,0)</f>
        <v>0</v>
      </c>
      <c r="BL15" s="242">
        <f>VLOOKUP(INPUTS!$D$78,'Crop parameters'!$A$2:$Z$43,4,FALSE)*1000</f>
        <v>0</v>
      </c>
      <c r="BM15" s="472">
        <f>INPUTS!$E$93</f>
        <v>0.6</v>
      </c>
      <c r="BN15" s="242">
        <f>VLOOKUP(INPUTS!$D$78,'Crop parameters'!$A$2:$Z$43,8,FALSE)*1000</f>
        <v>66.041816870944544</v>
      </c>
      <c r="BO15" s="472">
        <f>IF(INPUTS!$E$78="Residue",INPUTS!$F$93,0)</f>
        <v>0</v>
      </c>
      <c r="BP15" s="472">
        <f>IFERROR(IF(INPUTS!$E$78="Main",BJ15/(BL15*BM15),BJ15/(BN15*BO15)),0)</f>
        <v>0</v>
      </c>
      <c r="BQ15" s="472">
        <f>IFERROR(IF(INPUTS!$E$78="Main",BK15/(BL15*BM15),BK15/(BN15*BO15)),0)</f>
        <v>0</v>
      </c>
      <c r="BR15" s="825">
        <f t="shared" ref="BR15:BR16" si="50">IF(BO15&gt;0,BP15*(BL15*BM15/(BL15*BM15+BN15*BO15)),0)</f>
        <v>0</v>
      </c>
      <c r="BS15" s="843">
        <f t="shared" ref="BS15:BS16" si="51">IF(BO15&gt;0,BQ15*(BL15*BM15/(BL15*BM15+BN15*BO15)),0)</f>
        <v>0</v>
      </c>
      <c r="BT15" s="825">
        <f t="shared" ref="BT15:BT16" si="52">IFERROR(IF(BO15&gt;0,BP15*(BN15*BO15/(BL15*BM15+BN15*BO15)),BP15*(BL15*BM15+BN15*BO15)/(BL15*BM15+BN15*BO15)),0)</f>
        <v>0</v>
      </c>
      <c r="BU15" s="825">
        <f t="shared" ref="BU15:BU16" si="53">IFERROR(IF(BO15&gt;0,BQ15*(BN15*BO15/(BL15*BM15+BN15*BO15)),BQ15*(BL15*BM15+BN15*BO15)/(BL15*BM15+BN15*BO15)),0)</f>
        <v>0</v>
      </c>
      <c r="BV15" s="724">
        <f>IFERROR(Feed!F152*Feed!K75,0)</f>
        <v>0</v>
      </c>
      <c r="BW15" s="724">
        <f>IFERROR(Feed!G152*Feed!T75,0)</f>
        <v>0</v>
      </c>
      <c r="BX15" s="242">
        <f>VLOOKUP(INPUTS!$D$79,'Crop parameters'!$A$2:$Z$43,4,FALSE)*1000</f>
        <v>6000</v>
      </c>
      <c r="BY15" s="472">
        <f>INPUTS!$E$94</f>
        <v>0.9</v>
      </c>
      <c r="BZ15" s="242">
        <f>VLOOKUP(INPUTS!$D$79,'Crop parameters'!$A$2:$Z$43,8,FALSE)*1000</f>
        <v>0</v>
      </c>
      <c r="CA15" s="472">
        <f>IF(INPUTS!$E$79="Residue",INPUTS!$F$94,0)</f>
        <v>0</v>
      </c>
      <c r="CB15" s="472">
        <f>IFERROR(IF(INPUTS!$E$79="Main",BV15/(BX15*BY15),BV15/(BZ15*CA15)),0)</f>
        <v>0</v>
      </c>
      <c r="CC15" s="472">
        <f>IFERROR(IF(INPUTS!$E$79="Main",BW15/(BX15*BY15),BW15/(BZ15*CA15)),0)</f>
        <v>0</v>
      </c>
      <c r="CD15" s="825">
        <f t="shared" ref="CD15:CD16" si="54">IF(CA15&gt;0,CB15*(BX15*BY15/(BX15*BY15+BZ15*CA15)),0)</f>
        <v>0</v>
      </c>
      <c r="CE15" s="843">
        <f t="shared" ref="CE15:CE16" si="55">IF(CA15&gt;0,CC15*(BX15*BY15/(BX15*BY15+BZ15*CA15)),0)</f>
        <v>0</v>
      </c>
      <c r="CF15" s="825">
        <f t="shared" ref="CF15:CF16" si="56">IFERROR(IF(CA15&gt;0,CB15*(BZ15*CA15/(BX15*BY15+BZ15*CA15)),CB15*(BX15*BY15+BZ15*CA15)/(BX15*BY15+BZ15*CA15)),0)</f>
        <v>0</v>
      </c>
      <c r="CG15" s="546">
        <f t="shared" ref="CG15:CG16" si="57">IFERROR(IF(CA15&gt;0,CC15*(BZ15*CA15/(BX15*BY15+BZ15*CA15)),CC15*(BX15*BY15+BZ15*CA15)/(BX15*BY15+BZ15*CA15)),0)</f>
        <v>0</v>
      </c>
      <c r="CH15" s="726">
        <f t="shared" ref="CH15:CH16" si="58">L15+X15+AJ15+AV15+BH15+BT15+CF15</f>
        <v>0</v>
      </c>
      <c r="CI15" s="546">
        <f t="shared" ref="CI15:CI16" si="59">M15+Y15+AK15+AW15+BI15+BU15+CG15</f>
        <v>0</v>
      </c>
    </row>
    <row r="16" spans="1:87" s="1237" customFormat="1">
      <c r="A16" s="542" t="str">
        <f>'Livestock parameters'!A32</f>
        <v>Sheep/Goats - Lambs/Kids</v>
      </c>
      <c r="B16" s="724">
        <f>IFERROR(Feed!F153*Feed!E82,0)</f>
        <v>0</v>
      </c>
      <c r="C16" s="724">
        <f>IFERROR(Feed!G153*Feed!N82,0)</f>
        <v>0</v>
      </c>
      <c r="D16" s="242">
        <f>VLOOKUP(INPUTS!$D$73,'Crop parameters'!$A$2:$Z$43,4,FALSE)*1000</f>
        <v>0</v>
      </c>
      <c r="E16" s="472">
        <f>INPUTS!$E$88</f>
        <v>1</v>
      </c>
      <c r="F16" s="242">
        <f>VLOOKUP(INPUTS!$D$73,'Crop parameters'!$A$2:$Z$43,8,FALSE)*1000</f>
        <v>0</v>
      </c>
      <c r="G16" s="472">
        <f>IF(INPUTS!$E$73="Residue",INPUTS!$F$88,0)</f>
        <v>0</v>
      </c>
      <c r="H16" s="472">
        <f>IFERROR(IF(INPUTS!$E$73="Main",B16/(D16*E16),B16/(F16*G16)),0)</f>
        <v>0</v>
      </c>
      <c r="I16" s="472">
        <f>IFERROR(IF(INPUTS!$E$73="Main",C16/(D16*E16),C16/(F16*G16)),0)</f>
        <v>0</v>
      </c>
      <c r="J16" s="825">
        <f t="shared" si="30"/>
        <v>0</v>
      </c>
      <c r="K16" s="843">
        <f t="shared" si="31"/>
        <v>0</v>
      </c>
      <c r="L16" s="825">
        <f t="shared" si="32"/>
        <v>0</v>
      </c>
      <c r="M16" s="825">
        <f t="shared" si="33"/>
        <v>0</v>
      </c>
      <c r="N16" s="724">
        <f>IFERROR(Feed!F153*Feed!F70,0)</f>
        <v>0</v>
      </c>
      <c r="O16" s="552">
        <f>IFERROR(Feed!G153*Feed!O70,0)</f>
        <v>0</v>
      </c>
      <c r="P16" s="242">
        <f>VLOOKUP(INPUTS!$D$74,'Crop parameters'!$A$2:$Z$43,4,FALSE)*1000</f>
        <v>1064</v>
      </c>
      <c r="Q16" s="472">
        <f>INPUTS!$E$89</f>
        <v>1</v>
      </c>
      <c r="R16" s="242">
        <f>VLOOKUP(INPUTS!$D$74,'Crop parameters'!$A$2:$Z$43,8,FALSE)*1000</f>
        <v>3000</v>
      </c>
      <c r="S16" s="472">
        <f>IF(INPUTS!$E$74="Residue",INPUTS!$F$89,0)</f>
        <v>0</v>
      </c>
      <c r="T16" s="472">
        <f>IFERROR(IF(INPUTS!$E$74="Main",N16/(P16*Q16),N16/(R16*S16)),0)</f>
        <v>0</v>
      </c>
      <c r="U16" s="472">
        <f>IFERROR(IF(INPUTS!$E$74="Main",O16/(P16*Q16),O16/(R16*S16)),0)</f>
        <v>0</v>
      </c>
      <c r="V16" s="825">
        <f t="shared" si="34"/>
        <v>0</v>
      </c>
      <c r="W16" s="843">
        <f t="shared" si="35"/>
        <v>0</v>
      </c>
      <c r="X16" s="825">
        <f t="shared" si="36"/>
        <v>0</v>
      </c>
      <c r="Y16" s="825">
        <f t="shared" si="37"/>
        <v>0</v>
      </c>
      <c r="Z16" s="724">
        <f>IFERROR(Feed!F153*Feed!G82,0)</f>
        <v>0</v>
      </c>
      <c r="AA16" s="724">
        <f>IFERROR(Feed!G153*Feed!H82,0)</f>
        <v>0</v>
      </c>
      <c r="AB16" s="242">
        <f>VLOOKUP(INPUTS!$D$75,'Crop parameters'!$A$2:$Z$43,4,FALSE)*1000</f>
        <v>15646.575342465754</v>
      </c>
      <c r="AC16" s="472">
        <f>INPUTS!$E$90</f>
        <v>0.9</v>
      </c>
      <c r="AD16" s="242">
        <f>VLOOKUP(INPUTS!$D$75,'Crop parameters'!$A$2:$Z$43,8,FALSE)*1000</f>
        <v>0</v>
      </c>
      <c r="AE16" s="472">
        <f>IF(INPUTS!$E$75="Residue",INPUTS!$F$90,0)</f>
        <v>0</v>
      </c>
      <c r="AF16" s="472">
        <f>IFERROR(IF(INPUTS!$E$75="Main",Z16/(AB16*AC16),Z16/(AD16*AE16)),0)</f>
        <v>0</v>
      </c>
      <c r="AG16" s="472">
        <f>IFERROR(IF(INPUTS!$E$75="Main",AA16/(AB16*AC16),AA16/(AD16*AE16)),0)</f>
        <v>0</v>
      </c>
      <c r="AH16" s="825">
        <f t="shared" si="38"/>
        <v>0</v>
      </c>
      <c r="AI16" s="843">
        <f t="shared" si="39"/>
        <v>0</v>
      </c>
      <c r="AJ16" s="825">
        <f t="shared" si="40"/>
        <v>0</v>
      </c>
      <c r="AK16" s="825">
        <f t="shared" si="41"/>
        <v>0</v>
      </c>
      <c r="AL16" s="829">
        <f>IFERROR(Feed!F153*Feed!H82,0)</f>
        <v>0</v>
      </c>
      <c r="AM16" s="829">
        <f>IFERROR(Feed!G153*Feed!Q82,0)</f>
        <v>0</v>
      </c>
      <c r="AN16" s="242">
        <f>VLOOKUP(INPUTS!$D$76,'Crop parameters'!$A$2:$Z$43,4,FALSE)*1000</f>
        <v>0</v>
      </c>
      <c r="AO16" s="472">
        <f>INPUTS!$E$91</f>
        <v>1</v>
      </c>
      <c r="AP16" s="242">
        <f>VLOOKUP(INPUTS!$D$76,'Crop parameters'!$A$2:$Z$43,8,FALSE)*1000</f>
        <v>0</v>
      </c>
      <c r="AQ16" s="472">
        <f>IF(INPUTS!$E$76="Residue",INPUTS!$F$91,0)</f>
        <v>0</v>
      </c>
      <c r="AR16" s="472">
        <f>IFERROR(IF(INPUTS!$E$76="Main",AL16/(AN16*AO16),AL16/(AP16*AQ16)),0)</f>
        <v>0</v>
      </c>
      <c r="AS16" s="472">
        <f>IFERROR(IF(INPUTS!$E$76="Main",AM16/(AN16*AO16),AM16/(AP16*AQ16)),0)</f>
        <v>0</v>
      </c>
      <c r="AT16" s="825">
        <f t="shared" si="42"/>
        <v>0</v>
      </c>
      <c r="AU16" s="843">
        <f t="shared" si="43"/>
        <v>0</v>
      </c>
      <c r="AV16" s="825">
        <f t="shared" si="44"/>
        <v>0</v>
      </c>
      <c r="AW16" s="825">
        <f t="shared" si="45"/>
        <v>0</v>
      </c>
      <c r="AX16" s="724">
        <f>IFERROR(Feed!F153*Feed!I82,0)</f>
        <v>0</v>
      </c>
      <c r="AY16" s="724">
        <f>IFERROR(Feed!G153*Feed!R82,0)</f>
        <v>0</v>
      </c>
      <c r="AZ16" s="242">
        <f>VLOOKUP(INPUTS!$D$77,'Crop parameters'!$A$2:$Z$43,4,FALSE)*1000</f>
        <v>1600</v>
      </c>
      <c r="BA16" s="472">
        <f>INPUTS!$E$92</f>
        <v>1</v>
      </c>
      <c r="BB16" s="242">
        <f>VLOOKUP(INPUTS!$D$77,'Crop parameters'!$A$2:$Z$43,8,FALSE)*1000</f>
        <v>2405.8952380952383</v>
      </c>
      <c r="BC16" s="472">
        <f>IF(INPUTS!$E$77="Residue",INPUTS!$F$92,0)</f>
        <v>0.8</v>
      </c>
      <c r="BD16" s="472">
        <f>IFERROR(IF(INPUTS!$E$77="Main",AX16/(AZ16*BA16),AX16/(BB16*BC16)),0)</f>
        <v>0</v>
      </c>
      <c r="BE16" s="472">
        <f>IFERROR(IF(INPUTS!$E$77="Main",AY16/(AZ16*BA16),AY16/(BB16*BC16)),0)</f>
        <v>0</v>
      </c>
      <c r="BF16" s="825">
        <f t="shared" si="46"/>
        <v>0</v>
      </c>
      <c r="BG16" s="843">
        <f t="shared" si="47"/>
        <v>0</v>
      </c>
      <c r="BH16" s="825">
        <f t="shared" si="48"/>
        <v>0</v>
      </c>
      <c r="BI16" s="825">
        <f t="shared" si="49"/>
        <v>0</v>
      </c>
      <c r="BJ16" s="724">
        <f>IFERROR(Feed!F153*Feed!J82,0)</f>
        <v>0</v>
      </c>
      <c r="BK16" s="724">
        <f>IFERROR(Feed!G153*Feed!S82,0)</f>
        <v>0</v>
      </c>
      <c r="BL16" s="242">
        <f>VLOOKUP(INPUTS!$D$78,'Crop parameters'!$A$2:$Z$43,4,FALSE)*1000</f>
        <v>0</v>
      </c>
      <c r="BM16" s="472">
        <f>INPUTS!$E$93</f>
        <v>0.6</v>
      </c>
      <c r="BN16" s="242">
        <f>VLOOKUP(INPUTS!$D$78,'Crop parameters'!$A$2:$Z$43,8,FALSE)*1000</f>
        <v>66.041816870944544</v>
      </c>
      <c r="BO16" s="472">
        <f>IF(INPUTS!$E$78="Residue",INPUTS!$F$93,0)</f>
        <v>0</v>
      </c>
      <c r="BP16" s="472">
        <f>IFERROR(IF(INPUTS!$E$78="Main",BJ16/(BL16*BM16),BJ16/(BN16*BO16)),0)</f>
        <v>0</v>
      </c>
      <c r="BQ16" s="472">
        <f>IFERROR(IF(INPUTS!$E$78="Main",BK16/(BL16*BM16),BK16/(BN16*BO16)),0)</f>
        <v>0</v>
      </c>
      <c r="BR16" s="825">
        <f t="shared" si="50"/>
        <v>0</v>
      </c>
      <c r="BS16" s="843">
        <f t="shared" si="51"/>
        <v>0</v>
      </c>
      <c r="BT16" s="825">
        <f t="shared" si="52"/>
        <v>0</v>
      </c>
      <c r="BU16" s="825">
        <f t="shared" si="53"/>
        <v>0</v>
      </c>
      <c r="BV16" s="724">
        <f>IFERROR(Feed!F153*Feed!K82,0)</f>
        <v>0</v>
      </c>
      <c r="BW16" s="724">
        <f>IFERROR(Feed!G153*Feed!T82,0)</f>
        <v>0</v>
      </c>
      <c r="BX16" s="242">
        <f>VLOOKUP(INPUTS!$D$79,'Crop parameters'!$A$2:$Z$43,4,FALSE)*1000</f>
        <v>6000</v>
      </c>
      <c r="BY16" s="472">
        <f>INPUTS!$E$94</f>
        <v>0.9</v>
      </c>
      <c r="BZ16" s="242">
        <f>VLOOKUP(INPUTS!$D$79,'Crop parameters'!$A$2:$Z$43,8,FALSE)*1000</f>
        <v>0</v>
      </c>
      <c r="CA16" s="472">
        <f>IF(INPUTS!$E$79="Residue",INPUTS!$F$94,0)</f>
        <v>0</v>
      </c>
      <c r="CB16" s="472">
        <f>IFERROR(IF(INPUTS!$E$79="Main",BV16/(BX16*BY16),BV16/(BZ16*CA16)),0)</f>
        <v>0</v>
      </c>
      <c r="CC16" s="472">
        <f>IFERROR(IF(INPUTS!$E$79="Main",BW16/(BX16*BY16),BW16/(BZ16*CA16)),0)</f>
        <v>0</v>
      </c>
      <c r="CD16" s="825">
        <f t="shared" si="54"/>
        <v>0</v>
      </c>
      <c r="CE16" s="843">
        <f t="shared" si="55"/>
        <v>0</v>
      </c>
      <c r="CF16" s="825">
        <f t="shared" si="56"/>
        <v>0</v>
      </c>
      <c r="CG16" s="546">
        <f t="shared" si="57"/>
        <v>0</v>
      </c>
      <c r="CH16" s="726">
        <f t="shared" si="58"/>
        <v>0</v>
      </c>
      <c r="CI16" s="546">
        <f t="shared" si="59"/>
        <v>0</v>
      </c>
    </row>
    <row r="17" spans="1:91" s="1153" customFormat="1">
      <c r="A17" s="542" t="str">
        <f>'Livestock parameters'!A33</f>
        <v>Pigs - lactating/pregnant sows</v>
      </c>
      <c r="B17" s="829">
        <f>IFERROR(Feed!F154*Feed!E89,0)</f>
        <v>0</v>
      </c>
      <c r="C17" s="1160">
        <f>IFERROR(Feed!G154*Feed!N89,0)</f>
        <v>0</v>
      </c>
      <c r="D17" s="242">
        <f>VLOOKUP(INPUTS!$D$73,'Crop parameters'!$A$2:$Z$43,4,FALSE)*1000</f>
        <v>0</v>
      </c>
      <c r="E17" s="472">
        <f>INPUTS!$E$88</f>
        <v>1</v>
      </c>
      <c r="F17" s="242">
        <f>VLOOKUP(INPUTS!$D$73,'Crop parameters'!$A$2:$Z$43,8,FALSE)*1000</f>
        <v>0</v>
      </c>
      <c r="G17" s="472">
        <f>IF(INPUTS!$E$73="Residue",INPUTS!$F$88,0)</f>
        <v>0</v>
      </c>
      <c r="H17" s="472">
        <f>IFERROR(IF(INPUTS!$E$73="Main",B17/(D17*E17),B17/(F17*G17)),0)</f>
        <v>0</v>
      </c>
      <c r="I17" s="472">
        <f>IFERROR(IF(INPUTS!$E$73="Main",C17/(D17*E17),C17/(F17*G17)),0)</f>
        <v>0</v>
      </c>
      <c r="J17" s="825">
        <f t="shared" ref="J17:J18" si="60">IF(G17&gt;0,H17*(D17*E17/(D17*E17+F17*G17)),0)</f>
        <v>0</v>
      </c>
      <c r="K17" s="843">
        <f t="shared" ref="K17:K18" si="61">IF(G17&gt;0,I17*(D17*E17/(D17*E17+F17*G17)),0)</f>
        <v>0</v>
      </c>
      <c r="L17" s="825">
        <f t="shared" ref="L17:L18" si="62">IFERROR(IF(G17&gt;0,H17*(F17*G17/(D17*E17+F17*G17)),H17*(D17*E17+F17*G17)/(D17*E17+F17*G17)),0)</f>
        <v>0</v>
      </c>
      <c r="M17" s="825">
        <f t="shared" ref="M17:M18" si="63">IFERROR(IF(G17&gt;0,I17*(F17*G17/(D17*E17+F17*G17)),I17*(D17*E17+F17*G17)/(D17*E17+F17*G17)),0)</f>
        <v>0</v>
      </c>
      <c r="N17" s="724">
        <f>IFERROR(Feed!F154*Feed!F89,0)</f>
        <v>0</v>
      </c>
      <c r="O17" s="552">
        <f>IFERROR(Feed!G154*Feed!O89,0)</f>
        <v>0</v>
      </c>
      <c r="P17" s="242">
        <f>VLOOKUP(INPUTS!$D$74,'Crop parameters'!$A$2:$Z$43,4,FALSE)*1000</f>
        <v>1064</v>
      </c>
      <c r="Q17" s="472">
        <f>INPUTS!$E$89</f>
        <v>1</v>
      </c>
      <c r="R17" s="242">
        <f>VLOOKUP(INPUTS!$D$74,'Crop parameters'!$A$2:$Z$43,8,FALSE)*1000</f>
        <v>3000</v>
      </c>
      <c r="S17" s="472">
        <f>IF(INPUTS!$E$74="Residue",INPUTS!$F$89,0)</f>
        <v>0</v>
      </c>
      <c r="T17" s="472">
        <f>IFERROR(IF(INPUTS!$E$74="Main",N17/(P17*Q17),N17/(R17*S17)),0)</f>
        <v>0</v>
      </c>
      <c r="U17" s="472">
        <f>IFERROR(IF(INPUTS!$E$74="Main",O17/(P17*Q17),O17/(R17*S17)),0)</f>
        <v>0</v>
      </c>
      <c r="V17" s="825">
        <f t="shared" ref="V17:V18" si="64">IF(S17&gt;0,T17*(P17*Q17/(P17*Q17+R17*S17)),0)</f>
        <v>0</v>
      </c>
      <c r="W17" s="843">
        <f t="shared" ref="W17:W18" si="65">IF(S17&gt;0,U17*(P17*Q17/(P17*Q17+R17*S17)),0)</f>
        <v>0</v>
      </c>
      <c r="X17" s="825">
        <f t="shared" ref="X17:X18" si="66">IFERROR(IF(S17&gt;0,T17*(R17*S17/(P17*Q17+R17*S17)),T17*(P17*Q17+R17*S17)/(P17*Q17+R17*S17)),0)</f>
        <v>0</v>
      </c>
      <c r="Y17" s="825">
        <f t="shared" ref="Y17:Y18" si="67">IFERROR(IF(S17&gt;0,U17*(R17*S17/(P17*Q17+R17*S17)),U17*(P17*Q17+R17*S17)/(P17*Q17+R17*S17)),0)</f>
        <v>0</v>
      </c>
      <c r="Z17" s="724">
        <f>IFERROR(Feed!F154*Feed!G89,0)</f>
        <v>0</v>
      </c>
      <c r="AA17" s="552">
        <f>IFERROR(Feed!G154*Feed!P89,0)</f>
        <v>0</v>
      </c>
      <c r="AB17" s="242">
        <f>VLOOKUP(INPUTS!$D$75,'Crop parameters'!$A$2:$Z$43,4,FALSE)*1000</f>
        <v>15646.575342465754</v>
      </c>
      <c r="AC17" s="472">
        <f>INPUTS!$E$90</f>
        <v>0.9</v>
      </c>
      <c r="AD17" s="242">
        <f>VLOOKUP(INPUTS!$D$75,'Crop parameters'!$A$2:$Z$43,8,FALSE)*1000</f>
        <v>0</v>
      </c>
      <c r="AE17" s="472">
        <f>IF(INPUTS!$E$75="Residue",INPUTS!$F$90,0)</f>
        <v>0</v>
      </c>
      <c r="AF17" s="472">
        <f>IFERROR(IF(INPUTS!$E$75="Main",Z17/(AB17*AC17),Z17/(AD17*AE17)),0)</f>
        <v>0</v>
      </c>
      <c r="AG17" s="472">
        <f>IFERROR(IF(INPUTS!$E$75="Main",AA17/(AB17*AC17),AA17/(AD17*AE17)),0)</f>
        <v>0</v>
      </c>
      <c r="AH17" s="825">
        <f t="shared" ref="AH17:AH18" si="68">IF(AE17&gt;0,AF17*(AB17*AC17/(AB17*AC17+AD17*AE17)),0)</f>
        <v>0</v>
      </c>
      <c r="AI17" s="843">
        <f t="shared" ref="AI17:AI18" si="69">IF(AE17&gt;0,AG17*(AB17*AC17/(AB17*AC17+AD17*AE17)),0)</f>
        <v>0</v>
      </c>
      <c r="AJ17" s="825">
        <f t="shared" ref="AJ17:AJ18" si="70">IFERROR(IF(AE17&gt;0,AF17*(AD17*AE17/(AB17*AC17+AD17*AE17)),AF17*(AB17*AC17+AD17*AE17)/(AB17*AC17+AD17*AE17)),0)</f>
        <v>0</v>
      </c>
      <c r="AK17" s="825">
        <f t="shared" ref="AK17:AK18" si="71">IFERROR(IF(AE17&gt;0,AG17*(AD17*AE17/(AB17*AC17+AD17*AE17)),AG17*(AB17*AC17+AD17*AE17)/(AB17*AC17+AD17*AE17)),0)</f>
        <v>0</v>
      </c>
      <c r="AL17" s="829">
        <f>IFERROR(Feed!F154*Feed!H89,0)</f>
        <v>0</v>
      </c>
      <c r="AM17" s="552">
        <f>IFERROR(Feed!G154*Feed!Q89,0)</f>
        <v>0</v>
      </c>
      <c r="AN17" s="242">
        <f>VLOOKUP(INPUTS!$D$76,'Crop parameters'!$A$2:$Z$43,4,FALSE)*1000</f>
        <v>0</v>
      </c>
      <c r="AO17" s="472">
        <f>INPUTS!$E$91</f>
        <v>1</v>
      </c>
      <c r="AP17" s="242">
        <f>VLOOKUP(INPUTS!$D$76,'Crop parameters'!$A$2:$Z$43,8,FALSE)*1000</f>
        <v>0</v>
      </c>
      <c r="AQ17" s="472">
        <f>IF(INPUTS!$E$76="Residue",INPUTS!$F$91,0)</f>
        <v>0</v>
      </c>
      <c r="AR17" s="472">
        <f>IFERROR(IF(INPUTS!$E$76="Main",AL17/(AN17*AO17),AL17/(AP17*AQ17)),0)</f>
        <v>0</v>
      </c>
      <c r="AS17" s="472">
        <f>IFERROR(IF(INPUTS!$E$76="Main",AM17/(AN17*AO17),AM17/(AP17*AQ17)),0)</f>
        <v>0</v>
      </c>
      <c r="AT17" s="472">
        <f t="shared" ref="AT17:AT18" si="72">IF(AQ17&gt;0,AR17*(AN17*AO17/(AN17*AO17+AP17*AQ17)),0)</f>
        <v>0</v>
      </c>
      <c r="AU17" s="1161">
        <f t="shared" ref="AU17:AU18" si="73">IF(AQ17&gt;0,AS17*(AN17*AO17/(AN17*AO17+AP17*AQ17)),0)</f>
        <v>0</v>
      </c>
      <c r="AV17" s="472">
        <f t="shared" ref="AV17:AV18" si="74">IFERROR(IF(AQ17&gt;0,AR17*(AP17*AQ17/(AN17*AO17+AP17*AQ17)),AR17*(AN17*AO17+AP17*AQ17)/(AN17*AO17+AP17*AQ17)),0)</f>
        <v>0</v>
      </c>
      <c r="AW17" s="472">
        <f t="shared" ref="AW17:AW18" si="75">IFERROR(IF(AQ17&gt;0,AS17*(AP17*AQ17/(AN17*AO17+AP17*AQ17)),AS17*(AN17*AO17+AP17*AQ17)/(AN17*AO17+AP17*AQ17)),0)</f>
        <v>0</v>
      </c>
      <c r="AX17" s="1160">
        <f>IFERROR(Feed!F154*Feed!I89,0)</f>
        <v>0</v>
      </c>
      <c r="AY17" s="552">
        <f>IFERROR(Feed!G154*Feed!R89,0)</f>
        <v>0</v>
      </c>
      <c r="AZ17" s="242">
        <f>VLOOKUP(INPUTS!$D$77,'Crop parameters'!$A$2:$Z$43,4,FALSE)*1000</f>
        <v>1600</v>
      </c>
      <c r="BA17" s="472">
        <f>INPUTS!$E$92</f>
        <v>1</v>
      </c>
      <c r="BB17" s="242">
        <f>VLOOKUP(INPUTS!$D$77,'Crop parameters'!$A$2:$Z$43,8,FALSE)*1000</f>
        <v>2405.8952380952383</v>
      </c>
      <c r="BC17" s="472">
        <f>IF(INPUTS!$E$77="Residue",INPUTS!$F$92,0)</f>
        <v>0.8</v>
      </c>
      <c r="BD17" s="472">
        <f>IFERROR(IF(INPUTS!$E$77="Main",AX17/(AZ17*BA17),AX17/(BB17*BC17)),0)</f>
        <v>0</v>
      </c>
      <c r="BE17" s="472">
        <f>IFERROR(IF(INPUTS!$E$77="Main",AY17/(AZ17*BA17),AY17/(BB17*BC17)),0)</f>
        <v>0</v>
      </c>
      <c r="BF17" s="472">
        <f t="shared" ref="BF17:BF18" si="76">IF(BC17&gt;0,BD17*(AZ17*BA17/(AZ17*BA17+BB17*BC17)),0)</f>
        <v>0</v>
      </c>
      <c r="BG17" s="1161">
        <f t="shared" ref="BG17:BG18" si="77">IF(BC17&gt;0,BE17*(AZ17*BA17/(AZ17*BA17+BB17*BC17)),0)</f>
        <v>0</v>
      </c>
      <c r="BH17" s="472">
        <f t="shared" ref="BH17:BH18" si="78">IFERROR(IF(BC17&gt;0,BD17*(BB17*BC17/(AZ17*BA17+BB17*BC17)),BD17*(AZ17*BA17+BB17*BC17)/(AZ17*BA17+BB17*BC17)),0)</f>
        <v>0</v>
      </c>
      <c r="BI17" s="472">
        <f t="shared" ref="BI17:BI18" si="79">IFERROR(IF(BC17&gt;0,BE17*(BB17*BC17/(AZ17*BA17+BB17*BC17)),BE17*(AZ17*BA17+BB17*BC17)/(AZ17*BA17+BB17*BC17)),0)</f>
        <v>0</v>
      </c>
      <c r="BJ17" s="1160">
        <f>IFERROR(Feed!F154*Feed!J89,0)</f>
        <v>0</v>
      </c>
      <c r="BK17" s="552">
        <f>IFERROR(Feed!G154*Feed!S89,0)</f>
        <v>0</v>
      </c>
      <c r="BL17" s="242">
        <f>VLOOKUP(INPUTS!$D$78,'Crop parameters'!$A$2:$Z$43,4,FALSE)*1000</f>
        <v>0</v>
      </c>
      <c r="BM17" s="472">
        <f>INPUTS!$E$93</f>
        <v>0.6</v>
      </c>
      <c r="BN17" s="242">
        <f>VLOOKUP(INPUTS!$D$78,'Crop parameters'!$A$2:$Z$43,8,FALSE)*1000</f>
        <v>66.041816870944544</v>
      </c>
      <c r="BO17" s="472">
        <f>IF(INPUTS!$E$78="Residue",INPUTS!$F$93,0)</f>
        <v>0</v>
      </c>
      <c r="BP17" s="472">
        <f>IFERROR(IF(INPUTS!$E$78="Main",BJ17/(BL17*BM17),BJ17/(BN17*BO17)),0)</f>
        <v>0</v>
      </c>
      <c r="BQ17" s="472">
        <f>IFERROR(IF(INPUTS!$E$78="Main",BK17/(BL17*BM17),BK17/(BN17*BO17)),0)</f>
        <v>0</v>
      </c>
      <c r="BR17" s="472">
        <f t="shared" ref="BR17:BR18" si="80">IF(BO17&gt;0,BP17*(BL17*BM17/(BL17*BM17+BN17*BO17)),0)</f>
        <v>0</v>
      </c>
      <c r="BS17" s="1161">
        <f t="shared" ref="BS17:BS18" si="81">IF(BO17&gt;0,BQ17*(BL17*BM17/(BL17*BM17+BN17*BO17)),0)</f>
        <v>0</v>
      </c>
      <c r="BT17" s="472">
        <f t="shared" ref="BT17:BT18" si="82">IFERROR(IF(BO17&gt;0,BP17*(BN17*BO17/(BL17*BM17+BN17*BO17)),BP17*(BL17*BM17+BN17*BO17)/(BL17*BM17+BN17*BO17)),0)</f>
        <v>0</v>
      </c>
      <c r="BU17" s="472">
        <f t="shared" ref="BU17:BU18" si="83">IFERROR(IF(BO17&gt;0,BQ17*(BN17*BO17/(BL17*BM17+BN17*BO17)),BQ17*(BL17*BM17+BN17*BO17)/(BL17*BM17+BN17*BO17)),0)</f>
        <v>0</v>
      </c>
      <c r="BV17" s="1160">
        <f>IFERROR(Feed!F154*Feed!K89,0)</f>
        <v>0</v>
      </c>
      <c r="BW17" s="552">
        <f>IFERROR(Feed!G154*Feed!T89,0)</f>
        <v>0</v>
      </c>
      <c r="BX17" s="242">
        <f>VLOOKUP(INPUTS!$D$79,'Crop parameters'!$A$2:$Z$43,4,FALSE)*1000</f>
        <v>6000</v>
      </c>
      <c r="BY17" s="472">
        <f>INPUTS!$E$94</f>
        <v>0.9</v>
      </c>
      <c r="BZ17" s="242">
        <f>VLOOKUP(INPUTS!$D$79,'Crop parameters'!$A$2:$Z$43,8,FALSE)*1000</f>
        <v>0</v>
      </c>
      <c r="CA17" s="472">
        <f>IF(INPUTS!$E$79="Residue",INPUTS!$F$94,0)</f>
        <v>0</v>
      </c>
      <c r="CB17" s="472">
        <f>IFERROR(IF(INPUTS!$E$79="Main",BV17/(BX17*BY17),BV17/(BZ17*CA17)),0)</f>
        <v>0</v>
      </c>
      <c r="CC17" s="831">
        <f>IFERROR(IF(INPUTS!$E$79="Main",BW17/(BX17*BY17),BW17/(BZ17*CA17)),0)</f>
        <v>0</v>
      </c>
      <c r="CD17" s="472">
        <f t="shared" ref="CD17:CD18" si="84">IF(CA17&gt;0,CB17*(BX17*BY17/(BX17*BY17+BZ17*CA17)),0)</f>
        <v>0</v>
      </c>
      <c r="CE17" s="1161">
        <f t="shared" ref="CE17:CE18" si="85">IF(CA17&gt;0,CC17*(BX17*BY17/(BX17*BY17+BZ17*CA17)),0)</f>
        <v>0</v>
      </c>
      <c r="CF17" s="472">
        <f t="shared" ref="CF17:CF18" si="86">IFERROR(IF(CA17&gt;0,CB17*(BZ17*CA17/(BX17*BY17+BZ17*CA17)),CB17*(BX17*BY17+BZ17*CA17)/(BX17*BY17+BZ17*CA17)),0)</f>
        <v>0</v>
      </c>
      <c r="CG17" s="472">
        <f t="shared" ref="CG17:CG18" si="87">IFERROR(IF(CA17&gt;0,CC17*(BZ17*CA17/(BX17*BY17+BZ17*CA17)),CC17*(BX17*BY17+BZ17*CA17)/(BX17*BY17+BZ17*CA17)),0)</f>
        <v>0</v>
      </c>
      <c r="CH17" s="726">
        <f t="shared" ref="CH17:CH18" si="88">L17+X17+AJ17+AV17+BH17+BT17+CF17</f>
        <v>0</v>
      </c>
      <c r="CI17" s="546">
        <f t="shared" ref="CI17:CI18" si="89">M17+Y17+AK17+AW17+BI17+BU17+CG17</f>
        <v>0</v>
      </c>
    </row>
    <row r="18" spans="1:91" s="1153" customFormat="1">
      <c r="A18" s="542" t="str">
        <f>'Livestock parameters'!A34</f>
        <v>Pigs - dry sows/boars</v>
      </c>
      <c r="B18" s="829">
        <f>IFERROR(Feed!F155*Feed!E96,0)</f>
        <v>0</v>
      </c>
      <c r="C18" s="1160">
        <f>IFERROR(Feed!G155*Feed!N96,0)</f>
        <v>0</v>
      </c>
      <c r="D18" s="242">
        <f>VLOOKUP(INPUTS!$D$73,'Crop parameters'!$A$2:$Z$43,4,FALSE)*1000</f>
        <v>0</v>
      </c>
      <c r="E18" s="472">
        <f>INPUTS!$E$88</f>
        <v>1</v>
      </c>
      <c r="F18" s="242">
        <f>VLOOKUP(INPUTS!$D$73,'Crop parameters'!$A$2:$Z$43,8,FALSE)*1000</f>
        <v>0</v>
      </c>
      <c r="G18" s="472">
        <f>IF(INPUTS!$E$73="Residue",INPUTS!$F$88,0)</f>
        <v>0</v>
      </c>
      <c r="H18" s="472">
        <f>IFERROR(IF(INPUTS!$E$73="Main",B18/(D18*E18),B18/(F18*G18)),0)</f>
        <v>0</v>
      </c>
      <c r="I18" s="472">
        <f>IFERROR(IF(INPUTS!$E$73="Main",C18/(D18*E18),C18/(F18*G18)),0)</f>
        <v>0</v>
      </c>
      <c r="J18" s="825">
        <f t="shared" si="60"/>
        <v>0</v>
      </c>
      <c r="K18" s="843">
        <f t="shared" si="61"/>
        <v>0</v>
      </c>
      <c r="L18" s="825">
        <f t="shared" si="62"/>
        <v>0</v>
      </c>
      <c r="M18" s="825">
        <f t="shared" si="63"/>
        <v>0</v>
      </c>
      <c r="N18" s="724">
        <f>IFERROR(Feed!F155*Feed!F96,0)</f>
        <v>0</v>
      </c>
      <c r="O18" s="552">
        <f>IFERROR(Feed!G155*Feed!O96,0)</f>
        <v>0</v>
      </c>
      <c r="P18" s="242">
        <f>VLOOKUP(INPUTS!$D$74,'Crop parameters'!$A$2:$Z$43,4,FALSE)*1000</f>
        <v>1064</v>
      </c>
      <c r="Q18" s="472">
        <f>INPUTS!$E$89</f>
        <v>1</v>
      </c>
      <c r="R18" s="242">
        <f>VLOOKUP(INPUTS!$D$74,'Crop parameters'!$A$2:$Z$43,8,FALSE)*1000</f>
        <v>3000</v>
      </c>
      <c r="S18" s="472">
        <f>IF(INPUTS!$E$74="Residue",INPUTS!$F$89,0)</f>
        <v>0</v>
      </c>
      <c r="T18" s="472">
        <f>IFERROR(IF(INPUTS!$E$74="Main",N18/(P18*Q18),N18/(R18*S18)),0)</f>
        <v>0</v>
      </c>
      <c r="U18" s="472">
        <f>IFERROR(IF(INPUTS!$E$74="Main",O18/(P18*Q18),O18/(R18*S18)),0)</f>
        <v>0</v>
      </c>
      <c r="V18" s="825">
        <f t="shared" si="64"/>
        <v>0</v>
      </c>
      <c r="W18" s="843">
        <f t="shared" si="65"/>
        <v>0</v>
      </c>
      <c r="X18" s="825">
        <f t="shared" si="66"/>
        <v>0</v>
      </c>
      <c r="Y18" s="825">
        <f t="shared" si="67"/>
        <v>0</v>
      </c>
      <c r="Z18" s="724">
        <f>IFERROR(Feed!F155*Feed!G96,0)</f>
        <v>0</v>
      </c>
      <c r="AA18" s="552">
        <f>IFERROR(Feed!G155*Feed!P96,0)</f>
        <v>0</v>
      </c>
      <c r="AB18" s="242">
        <f>VLOOKUP(INPUTS!$D$75,'Crop parameters'!$A$2:$Z$43,4,FALSE)*1000</f>
        <v>15646.575342465754</v>
      </c>
      <c r="AC18" s="472">
        <f>INPUTS!$E$90</f>
        <v>0.9</v>
      </c>
      <c r="AD18" s="242">
        <f>VLOOKUP(INPUTS!$D$75,'Crop parameters'!$A$2:$Z$43,8,FALSE)*1000</f>
        <v>0</v>
      </c>
      <c r="AE18" s="472">
        <f>IF(INPUTS!$E$75="Residue",INPUTS!$F$90,0)</f>
        <v>0</v>
      </c>
      <c r="AF18" s="472">
        <f>IFERROR(IF(INPUTS!$E$75="Main",Z18/(AB18*AC18),Z18/(AD18*AE18)),0)</f>
        <v>0</v>
      </c>
      <c r="AG18" s="472">
        <f>IFERROR(IF(INPUTS!$E$75="Main",AA18/(AB18*AC18),AA18/(AD18*AE18)),0)</f>
        <v>0</v>
      </c>
      <c r="AH18" s="825">
        <f t="shared" si="68"/>
        <v>0</v>
      </c>
      <c r="AI18" s="843">
        <f t="shared" si="69"/>
        <v>0</v>
      </c>
      <c r="AJ18" s="825">
        <f t="shared" si="70"/>
        <v>0</v>
      </c>
      <c r="AK18" s="825">
        <f t="shared" si="71"/>
        <v>0</v>
      </c>
      <c r="AL18" s="829">
        <f>IFERROR(Feed!F155*Feed!H96,0)</f>
        <v>0</v>
      </c>
      <c r="AM18" s="552">
        <f>IFERROR(Feed!G155*Feed!Q96,0)</f>
        <v>0</v>
      </c>
      <c r="AN18" s="242">
        <f>VLOOKUP(INPUTS!$D$76,'Crop parameters'!$A$2:$Z$43,4,FALSE)*1000</f>
        <v>0</v>
      </c>
      <c r="AO18" s="472">
        <f>INPUTS!$E$91</f>
        <v>1</v>
      </c>
      <c r="AP18" s="242">
        <f>VLOOKUP(INPUTS!$D$76,'Crop parameters'!$A$2:$Z$43,8,FALSE)*1000</f>
        <v>0</v>
      </c>
      <c r="AQ18" s="472">
        <f>IF(INPUTS!$E$76="Residue",INPUTS!$F$91,0)</f>
        <v>0</v>
      </c>
      <c r="AR18" s="472">
        <f>IFERROR(IF(INPUTS!$E$76="Main",AL18/(AN18*AO18),AL18/(AP18*AQ18)),0)</f>
        <v>0</v>
      </c>
      <c r="AS18" s="472">
        <f>IFERROR(IF(INPUTS!$E$76="Main",AM18/(AN18*AO18),AM18/(AP18*AQ18)),0)</f>
        <v>0</v>
      </c>
      <c r="AT18" s="472">
        <f t="shared" si="72"/>
        <v>0</v>
      </c>
      <c r="AU18" s="1161">
        <f t="shared" si="73"/>
        <v>0</v>
      </c>
      <c r="AV18" s="472">
        <f t="shared" si="74"/>
        <v>0</v>
      </c>
      <c r="AW18" s="472">
        <f t="shared" si="75"/>
        <v>0</v>
      </c>
      <c r="AX18" s="1160">
        <f>IFERROR(Feed!F155*Feed!I96,0)</f>
        <v>0</v>
      </c>
      <c r="AY18" s="552">
        <f>IFERROR(Feed!G155*Feed!R96,0)</f>
        <v>0</v>
      </c>
      <c r="AZ18" s="242">
        <f>VLOOKUP(INPUTS!$D$77,'Crop parameters'!$A$2:$Z$43,4,FALSE)*1000</f>
        <v>1600</v>
      </c>
      <c r="BA18" s="472">
        <f>INPUTS!$E$92</f>
        <v>1</v>
      </c>
      <c r="BB18" s="242">
        <f>VLOOKUP(INPUTS!$D$77,'Crop parameters'!$A$2:$Z$43,8,FALSE)*1000</f>
        <v>2405.8952380952383</v>
      </c>
      <c r="BC18" s="472">
        <f>IF(INPUTS!$E$77="Residue",INPUTS!$F$92,0)</f>
        <v>0.8</v>
      </c>
      <c r="BD18" s="472">
        <f>IFERROR(IF(INPUTS!$E$77="Main",AX18/(AZ18*BA18),AX18/(BB18*BC18)),0)</f>
        <v>0</v>
      </c>
      <c r="BE18" s="472">
        <f>IFERROR(IF(INPUTS!$E$77="Main",AY18/(AZ18*BA18),AY18/(BB18*BC18)),0)</f>
        <v>0</v>
      </c>
      <c r="BF18" s="472">
        <f t="shared" si="76"/>
        <v>0</v>
      </c>
      <c r="BG18" s="1161">
        <f t="shared" si="77"/>
        <v>0</v>
      </c>
      <c r="BH18" s="472">
        <f t="shared" si="78"/>
        <v>0</v>
      </c>
      <c r="BI18" s="472">
        <f t="shared" si="79"/>
        <v>0</v>
      </c>
      <c r="BJ18" s="1160">
        <f>IFERROR(Feed!F155*Feed!J96,0)</f>
        <v>0</v>
      </c>
      <c r="BK18" s="552">
        <f>IFERROR(Feed!G155*Feed!S96,0)</f>
        <v>0</v>
      </c>
      <c r="BL18" s="242">
        <f>VLOOKUP(INPUTS!$D$78,'Crop parameters'!$A$2:$Z$43,4,FALSE)*1000</f>
        <v>0</v>
      </c>
      <c r="BM18" s="472">
        <f>INPUTS!$E$93</f>
        <v>0.6</v>
      </c>
      <c r="BN18" s="242">
        <f>VLOOKUP(INPUTS!$D$78,'Crop parameters'!$A$2:$Z$43,8,FALSE)*1000</f>
        <v>66.041816870944544</v>
      </c>
      <c r="BO18" s="472">
        <f>IF(INPUTS!$E$78="Residue",INPUTS!$F$93,0)</f>
        <v>0</v>
      </c>
      <c r="BP18" s="472">
        <f>IFERROR(IF(INPUTS!$E$78="Main",BJ18/(BL18*BM18),BJ18/(BN18*BO18)),0)</f>
        <v>0</v>
      </c>
      <c r="BQ18" s="472">
        <f>IFERROR(IF(INPUTS!$E$78="Main",BK18/(BL18*BM18),BK18/(BN18*BO18)),0)</f>
        <v>0</v>
      </c>
      <c r="BR18" s="472">
        <f t="shared" si="80"/>
        <v>0</v>
      </c>
      <c r="BS18" s="1161">
        <f t="shared" si="81"/>
        <v>0</v>
      </c>
      <c r="BT18" s="472">
        <f t="shared" si="82"/>
        <v>0</v>
      </c>
      <c r="BU18" s="472">
        <f t="shared" si="83"/>
        <v>0</v>
      </c>
      <c r="BV18" s="1160">
        <f>IFERROR(Feed!F155*Feed!K96,0)</f>
        <v>0</v>
      </c>
      <c r="BW18" s="552">
        <f>IFERROR(Feed!G155*Feed!T96,0)</f>
        <v>0</v>
      </c>
      <c r="BX18" s="242">
        <f>VLOOKUP(INPUTS!$D$79,'Crop parameters'!$A$2:$Z$43,4,FALSE)*1000</f>
        <v>6000</v>
      </c>
      <c r="BY18" s="472">
        <f>INPUTS!$E$94</f>
        <v>0.9</v>
      </c>
      <c r="BZ18" s="242">
        <f>VLOOKUP(INPUTS!$D$79,'Crop parameters'!$A$2:$Z$43,8,FALSE)*1000</f>
        <v>0</v>
      </c>
      <c r="CA18" s="472">
        <f>IF(INPUTS!$E$79="Residue",INPUTS!$F$94,0)</f>
        <v>0</v>
      </c>
      <c r="CB18" s="472">
        <f>IFERROR(IF(INPUTS!$E$79="Main",BV18/(BX18*BY18),BV18/(BZ18*CA18)),0)</f>
        <v>0</v>
      </c>
      <c r="CC18" s="831">
        <f>IFERROR(IF(INPUTS!$E$79="Main",BW18/(BX18*BY18),BW18/(BZ18*CA18)),0)</f>
        <v>0</v>
      </c>
      <c r="CD18" s="472">
        <f t="shared" si="84"/>
        <v>0</v>
      </c>
      <c r="CE18" s="1161">
        <f t="shared" si="85"/>
        <v>0</v>
      </c>
      <c r="CF18" s="472">
        <f t="shared" si="86"/>
        <v>0</v>
      </c>
      <c r="CG18" s="472">
        <f t="shared" si="87"/>
        <v>0</v>
      </c>
      <c r="CH18" s="726">
        <f t="shared" si="88"/>
        <v>0</v>
      </c>
      <c r="CI18" s="546">
        <f t="shared" si="89"/>
        <v>0</v>
      </c>
    </row>
    <row r="19" spans="1:91" s="1126" customFormat="1">
      <c r="A19" s="542" t="str">
        <f>'Livestock parameters'!A35</f>
        <v>Pigs - growers</v>
      </c>
      <c r="B19" s="724">
        <f>IFERROR(Feed!F156*Feed!E103,0)</f>
        <v>0</v>
      </c>
      <c r="C19" s="724">
        <f>IFERROR(Feed!G156*Feed!N103,0)</f>
        <v>0</v>
      </c>
      <c r="D19" s="242">
        <f>VLOOKUP(INPUTS!$D$73,'Crop parameters'!$A$2:$Z$43,4,FALSE)*1000</f>
        <v>0</v>
      </c>
      <c r="E19" s="472">
        <f>INPUTS!$E$88</f>
        <v>1</v>
      </c>
      <c r="F19" s="242">
        <f>VLOOKUP(INPUTS!$D$73,'Crop parameters'!$A$2:$Z$43,8,FALSE)*1000</f>
        <v>0</v>
      </c>
      <c r="G19" s="472">
        <f>IF(INPUTS!$E$73="Residue",INPUTS!$F$88,0)</f>
        <v>0</v>
      </c>
      <c r="H19" s="472">
        <f>IFERROR(IF(INPUTS!$E$73="Main",B19/(D19*E19),B19/(F19*G19)),0)</f>
        <v>0</v>
      </c>
      <c r="I19" s="472">
        <f>IFERROR(IF(INPUTS!$E$73="Main",C19/(D19*E19),C19/(F19*G19)),0)</f>
        <v>0</v>
      </c>
      <c r="J19" s="825">
        <f t="shared" ref="J19" si="90">IF(G19&gt;0,H19*(D19*E19/(D19*E19+F19*G19)),0)</f>
        <v>0</v>
      </c>
      <c r="K19" s="843">
        <f t="shared" ref="K19" si="91">IF(G19&gt;0,I19*(D19*E19/(D19*E19+F19*G19)),0)</f>
        <v>0</v>
      </c>
      <c r="L19" s="825">
        <f t="shared" ref="L19" si="92">IFERROR(IF(G19&gt;0,H19*(F19*G19/(D19*E19+F19*G19)),H19*(D19*E19+F19*G19)/(D19*E19+F19*G19)),0)</f>
        <v>0</v>
      </c>
      <c r="M19" s="825">
        <f t="shared" ref="M19" si="93">IFERROR(IF(G19&gt;0,I19*(F19*G19/(D19*E19+F19*G19)),I19*(D19*E19+F19*G19)/(D19*E19+F19*G19)),0)</f>
        <v>0</v>
      </c>
      <c r="N19" s="724">
        <f>IFERROR(Feed!F156*Feed!F103,0)</f>
        <v>0</v>
      </c>
      <c r="O19" s="552">
        <f>IFERROR(Feed!G156*Feed!O103,0)</f>
        <v>0</v>
      </c>
      <c r="P19" s="242">
        <f>VLOOKUP(INPUTS!$D$74,'Crop parameters'!$A$2:$Z$43,4,FALSE)*1000</f>
        <v>1064</v>
      </c>
      <c r="Q19" s="472">
        <f>INPUTS!$E$89</f>
        <v>1</v>
      </c>
      <c r="R19" s="242">
        <f>VLOOKUP(INPUTS!$D$74,'Crop parameters'!$A$2:$Z$43,8,FALSE)*1000</f>
        <v>3000</v>
      </c>
      <c r="S19" s="472">
        <f>IF(INPUTS!$E$74="Residue",INPUTS!$F$89,0)</f>
        <v>0</v>
      </c>
      <c r="T19" s="472">
        <f>IFERROR(IF(INPUTS!$E$74="Main",N19/(P19*Q19),N19/(R19*S19)),0)</f>
        <v>0</v>
      </c>
      <c r="U19" s="472">
        <f>IFERROR(IF(INPUTS!$E$74="Main",O19/(P19*Q19),O19/(R19*S19)),0)</f>
        <v>0</v>
      </c>
      <c r="V19" s="825">
        <f t="shared" ref="V19" si="94">IF(S19&gt;0,T19*(P19*Q19/(P19*Q19+R19*S19)),0)</f>
        <v>0</v>
      </c>
      <c r="W19" s="843">
        <f t="shared" ref="W19" si="95">IF(S19&gt;0,U19*(P19*Q19/(P19*Q19+R19*S19)),0)</f>
        <v>0</v>
      </c>
      <c r="X19" s="825">
        <f t="shared" ref="X19" si="96">IFERROR(IF(S19&gt;0,T19*(R19*S19/(P19*Q19+R19*S19)),T19*(P19*Q19+R19*S19)/(P19*Q19+R19*S19)),0)</f>
        <v>0</v>
      </c>
      <c r="Y19" s="825">
        <f t="shared" ref="Y19" si="97">IFERROR(IF(S19&gt;0,U19*(R19*S19/(P19*Q19+R19*S19)),U19*(P19*Q19+R19*S19)/(P19*Q19+R19*S19)),0)</f>
        <v>0</v>
      </c>
      <c r="Z19" s="724">
        <f>IFERROR(Feed!F156*Feed!G103,0)</f>
        <v>0</v>
      </c>
      <c r="AA19" s="552">
        <f>IFERROR(Feed!G156*Feed!P103,0)</f>
        <v>0</v>
      </c>
      <c r="AB19" s="242">
        <f>VLOOKUP(INPUTS!$D$75,'Crop parameters'!$A$2:$Z$43,4,FALSE)*1000</f>
        <v>15646.575342465754</v>
      </c>
      <c r="AC19" s="472">
        <f>INPUTS!$E$90</f>
        <v>0.9</v>
      </c>
      <c r="AD19" s="242">
        <f>VLOOKUP(INPUTS!$D$75,'Crop parameters'!$A$2:$Z$43,8,FALSE)*1000</f>
        <v>0</v>
      </c>
      <c r="AE19" s="472">
        <f>IF(INPUTS!$E$75="Residue",INPUTS!$F$90,0)</f>
        <v>0</v>
      </c>
      <c r="AF19" s="472">
        <f>IFERROR(IF(INPUTS!$E$75="Main",Z19/(AB19*AC19),Z19/(AD19*AE19)),0)</f>
        <v>0</v>
      </c>
      <c r="AG19" s="472">
        <f>IFERROR(IF(INPUTS!$E$75="Main",AA19/(AB19*AC19),AA19/(AD19*AE19)),0)</f>
        <v>0</v>
      </c>
      <c r="AH19" s="825">
        <f t="shared" ref="AH19" si="98">IF(AE19&gt;0,AF19*(AB19*AC19/(AB19*AC19+AD19*AE19)),0)</f>
        <v>0</v>
      </c>
      <c r="AI19" s="843">
        <f t="shared" ref="AI19" si="99">IF(AE19&gt;0,AG19*(AB19*AC19/(AB19*AC19+AD19*AE19)),0)</f>
        <v>0</v>
      </c>
      <c r="AJ19" s="825">
        <f t="shared" ref="AJ19" si="100">IFERROR(IF(AE19&gt;0,AF19*(AD19*AE19/(AB19*AC19+AD19*AE19)),AF19*(AB19*AC19+AD19*AE19)/(AB19*AC19+AD19*AE19)),0)</f>
        <v>0</v>
      </c>
      <c r="AK19" s="825">
        <f t="shared" ref="AK19" si="101">IFERROR(IF(AE19&gt;0,AG19*(AD19*AE19/(AB19*AC19+AD19*AE19)),AG19*(AB19*AC19+AD19*AE19)/(AB19*AC19+AD19*AE19)),0)</f>
        <v>0</v>
      </c>
      <c r="AL19" s="829">
        <f>IFERROR(Feed!F156*Feed!H103,0)</f>
        <v>0</v>
      </c>
      <c r="AM19" s="552">
        <f>IFERROR(Feed!G156*Feed!Q103,0)</f>
        <v>0</v>
      </c>
      <c r="AN19" s="242">
        <f>VLOOKUP(INPUTS!$D$76,'Crop parameters'!$A$2:$Z$43,4,FALSE)*1000</f>
        <v>0</v>
      </c>
      <c r="AO19" s="472">
        <f>INPUTS!$E$91</f>
        <v>1</v>
      </c>
      <c r="AP19" s="242">
        <f>VLOOKUP(INPUTS!$D$76,'Crop parameters'!$A$2:$Z$43,8,FALSE)*1000</f>
        <v>0</v>
      </c>
      <c r="AQ19" s="472">
        <f>IF(INPUTS!$E$76="Residue",INPUTS!$F$91,0)</f>
        <v>0</v>
      </c>
      <c r="AR19" s="472">
        <f>IFERROR(IF(INPUTS!$E$76="Main",AL19/(AN19*AO19),AL19/(AP19*AQ19)),0)</f>
        <v>0</v>
      </c>
      <c r="AS19" s="472">
        <f>IFERROR(IF(INPUTS!$E$76="Main",AM19/(AN19*AO19),AM19/(AP19*AQ19)),0)</f>
        <v>0</v>
      </c>
      <c r="AT19" s="472">
        <f t="shared" ref="AT19" si="102">IF(AQ19&gt;0,AR19*(AN19*AO19/(AN19*AO19+AP19*AQ19)),0)</f>
        <v>0</v>
      </c>
      <c r="AU19" s="1161">
        <f t="shared" ref="AU19" si="103">IF(AQ19&gt;0,AS19*(AN19*AO19/(AN19*AO19+AP19*AQ19)),0)</f>
        <v>0</v>
      </c>
      <c r="AV19" s="472">
        <f t="shared" ref="AV19" si="104">IFERROR(IF(AQ19&gt;0,AR19*(AP19*AQ19/(AN19*AO19+AP19*AQ19)),AR19*(AN19*AO19+AP19*AQ19)/(AN19*AO19+AP19*AQ19)),0)</f>
        <v>0</v>
      </c>
      <c r="AW19" s="472">
        <f t="shared" ref="AW19" si="105">IFERROR(IF(AQ19&gt;0,AS19*(AP19*AQ19/(AN19*AO19+AP19*AQ19)),AS19*(AN19*AO19+AP19*AQ19)/(AN19*AO19+AP19*AQ19)),0)</f>
        <v>0</v>
      </c>
      <c r="AX19" s="1160">
        <f>IFERROR(Feed!F156*Feed!I103,0)</f>
        <v>0</v>
      </c>
      <c r="AY19" s="552">
        <f>IFERROR(Feed!G156*Feed!R103,0)</f>
        <v>0</v>
      </c>
      <c r="AZ19" s="242">
        <f>VLOOKUP(INPUTS!$D$77,'Crop parameters'!$A$2:$Z$43,4,FALSE)*1000</f>
        <v>1600</v>
      </c>
      <c r="BA19" s="472">
        <f>INPUTS!$E$92</f>
        <v>1</v>
      </c>
      <c r="BB19" s="242">
        <f>VLOOKUP(INPUTS!$D$77,'Crop parameters'!$A$2:$Z$43,8,FALSE)*1000</f>
        <v>2405.8952380952383</v>
      </c>
      <c r="BC19" s="472">
        <f>IF(INPUTS!$E$77="Residue",INPUTS!$F$92,0)</f>
        <v>0.8</v>
      </c>
      <c r="BD19" s="472">
        <f>IFERROR(IF(INPUTS!$E$77="Main",AX19/(AZ19*BA19),AX19/(BB19*BC19)),0)</f>
        <v>0</v>
      </c>
      <c r="BE19" s="472">
        <f>IFERROR(IF(INPUTS!$E$77="Main",AY19/(AZ19*BA19),AY19/(BB19*BC19)),0)</f>
        <v>0</v>
      </c>
      <c r="BF19" s="472">
        <f t="shared" ref="BF19" si="106">IF(BC19&gt;0,BD19*(AZ19*BA19/(AZ19*BA19+BB19*BC19)),0)</f>
        <v>0</v>
      </c>
      <c r="BG19" s="1161">
        <f t="shared" ref="BG19" si="107">IF(BC19&gt;0,BE19*(AZ19*BA19/(AZ19*BA19+BB19*BC19)),0)</f>
        <v>0</v>
      </c>
      <c r="BH19" s="472">
        <f t="shared" ref="BH19" si="108">IFERROR(IF(BC19&gt;0,BD19*(BB19*BC19/(AZ19*BA19+BB19*BC19)),BD19*(AZ19*BA19+BB19*BC19)/(AZ19*BA19+BB19*BC19)),0)</f>
        <v>0</v>
      </c>
      <c r="BI19" s="472">
        <f t="shared" ref="BI19" si="109">IFERROR(IF(BC19&gt;0,BE19*(BB19*BC19/(AZ19*BA19+BB19*BC19)),BE19*(AZ19*BA19+BB19*BC19)/(AZ19*BA19+BB19*BC19)),0)</f>
        <v>0</v>
      </c>
      <c r="BJ19" s="1160">
        <f>IFERROR(Feed!F156*Feed!J103,0)</f>
        <v>0</v>
      </c>
      <c r="BK19" s="552">
        <f>IFERROR(Feed!G156*Feed!S103,0)</f>
        <v>0</v>
      </c>
      <c r="BL19" s="242">
        <f>VLOOKUP(INPUTS!$D$78,'Crop parameters'!$A$2:$Z$43,4,FALSE)*1000</f>
        <v>0</v>
      </c>
      <c r="BM19" s="472">
        <f>INPUTS!$E$93</f>
        <v>0.6</v>
      </c>
      <c r="BN19" s="242">
        <f>VLOOKUP(INPUTS!$D$78,'Crop parameters'!$A$2:$Z$43,8,FALSE)*1000</f>
        <v>66.041816870944544</v>
      </c>
      <c r="BO19" s="472">
        <f>IF(INPUTS!$E$78="Residue",INPUTS!$F$93,0)</f>
        <v>0</v>
      </c>
      <c r="BP19" s="472">
        <f>IFERROR(IF(INPUTS!$E$78="Main",BJ19/(BL19*BM19),BJ19/(BN19*BO19)),0)</f>
        <v>0</v>
      </c>
      <c r="BQ19" s="472">
        <f>IFERROR(IF(INPUTS!$E$78="Main",BK19/(BL19*BM19),BK19/(BN19*BO19)),0)</f>
        <v>0</v>
      </c>
      <c r="BR19" s="472">
        <f t="shared" ref="BR19" si="110">IF(BO19&gt;0,BP19*(BL19*BM19/(BL19*BM19+BN19*BO19)),0)</f>
        <v>0</v>
      </c>
      <c r="BS19" s="1161">
        <f t="shared" ref="BS19" si="111">IF(BO19&gt;0,BQ19*(BL19*BM19/(BL19*BM19+BN19*BO19)),0)</f>
        <v>0</v>
      </c>
      <c r="BT19" s="472">
        <f t="shared" ref="BT19" si="112">IFERROR(IF(BO19&gt;0,BP19*(BN19*BO19/(BL19*BM19+BN19*BO19)),BP19*(BL19*BM19+BN19*BO19)/(BL19*BM19+BN19*BO19)),0)</f>
        <v>0</v>
      </c>
      <c r="BU19" s="472">
        <f t="shared" ref="BU19" si="113">IFERROR(IF(BO19&gt;0,BQ19*(BN19*BO19/(BL19*BM19+BN19*BO19)),BQ19*(BL19*BM19+BN19*BO19)/(BL19*BM19+BN19*BO19)),0)</f>
        <v>0</v>
      </c>
      <c r="BV19" s="1160">
        <f>IFERROR(Feed!F156*Feed!K103,0)</f>
        <v>0</v>
      </c>
      <c r="BW19" s="552">
        <f>IFERROR(Feed!G156*Feed!T103,0)</f>
        <v>0</v>
      </c>
      <c r="BX19" s="242">
        <f>VLOOKUP(INPUTS!$D$79,'Crop parameters'!$A$2:$Z$43,4,FALSE)*1000</f>
        <v>6000</v>
      </c>
      <c r="BY19" s="472">
        <f>INPUTS!$E$94</f>
        <v>0.9</v>
      </c>
      <c r="BZ19" s="242">
        <f>VLOOKUP(INPUTS!$D$79,'Crop parameters'!$A$2:$Z$43,8,FALSE)*1000</f>
        <v>0</v>
      </c>
      <c r="CA19" s="472">
        <f>IF(INPUTS!$E$79="Residue",INPUTS!$F$94,0)</f>
        <v>0</v>
      </c>
      <c r="CB19" s="472">
        <f>IFERROR(IF(INPUTS!$E$79="Main",BV19/(BX19*BY19),BV19/(BZ19*CA19)),0)</f>
        <v>0</v>
      </c>
      <c r="CC19" s="831">
        <f>IFERROR(IF(INPUTS!$E$79="Main",BW19/(BX19*BY19),BW19/(BZ19*CA19)),0)</f>
        <v>0</v>
      </c>
      <c r="CD19" s="472">
        <f t="shared" ref="CD19" si="114">IF(CA19&gt;0,CB19*(BX19*BY19/(BX19*BY19+BZ19*CA19)),0)</f>
        <v>0</v>
      </c>
      <c r="CE19" s="1161">
        <f t="shared" ref="CE19" si="115">IF(CA19&gt;0,CC19*(BX19*BY19/(BX19*BY19+BZ19*CA19)),0)</f>
        <v>0</v>
      </c>
      <c r="CF19" s="472">
        <f t="shared" ref="CF19" si="116">IFERROR(IF(CA19&gt;0,CB19*(BZ19*CA19/(BX19*BY19+BZ19*CA19)),CB19*(BX19*BY19+BZ19*CA19)/(BX19*BY19+BZ19*CA19)),0)</f>
        <v>0</v>
      </c>
      <c r="CG19" s="472">
        <f t="shared" ref="CG19" si="117">IFERROR(IF(CA19&gt;0,CC19*(BZ19*CA19/(BX19*BY19+BZ19*CA19)),CC19*(BX19*BY19+BZ19*CA19)/(BX19*BY19+BZ19*CA19)),0)</f>
        <v>0</v>
      </c>
      <c r="CH19" s="726">
        <f t="shared" ref="CH19" si="118">L19+X19+AJ19+AV19+BH19+BT19+CF19</f>
        <v>0</v>
      </c>
      <c r="CI19" s="546">
        <f t="shared" ref="CI19" si="119">M19+Y19+AK19+AW19+BI19+BU19+CG19</f>
        <v>0</v>
      </c>
    </row>
    <row r="20" spans="1:91">
      <c r="A20" s="542"/>
      <c r="B20" s="728">
        <f>SUM(B6:B19)</f>
        <v>1561.6075210141364</v>
      </c>
      <c r="C20" s="728">
        <f>SUM(C6:C19)</f>
        <v>1127.0092014866177</v>
      </c>
      <c r="D20" s="379"/>
      <c r="E20" s="379"/>
      <c r="F20" s="379"/>
      <c r="G20" s="242"/>
      <c r="H20" s="472"/>
      <c r="I20" s="831"/>
      <c r="J20" s="831"/>
      <c r="K20" s="831"/>
      <c r="L20" s="831"/>
      <c r="M20" s="726"/>
      <c r="N20" s="547">
        <f t="shared" ref="N20:O20" si="120">SUM(N6:N19)</f>
        <v>0</v>
      </c>
      <c r="O20" s="379">
        <f t="shared" si="120"/>
        <v>0</v>
      </c>
      <c r="P20" s="379"/>
      <c r="Q20" s="379"/>
      <c r="R20" s="379"/>
      <c r="S20" s="242"/>
      <c r="T20" s="472"/>
      <c r="U20" s="472"/>
      <c r="V20" s="472"/>
      <c r="W20" s="159"/>
      <c r="X20" s="825"/>
      <c r="Y20" s="825"/>
      <c r="Z20" s="547">
        <f t="shared" ref="Z20:AA20" si="121">SUM(Z6:Z19)</f>
        <v>3301.6844730013172</v>
      </c>
      <c r="AA20" s="379">
        <f t="shared" si="121"/>
        <v>2382.819454571706</v>
      </c>
      <c r="AB20" s="379"/>
      <c r="AC20" s="379"/>
      <c r="AD20" s="379"/>
      <c r="AE20" s="242"/>
      <c r="AF20" s="472"/>
      <c r="AG20" s="472"/>
      <c r="AH20" s="472"/>
      <c r="AI20" s="159"/>
      <c r="AJ20" s="825"/>
      <c r="AK20" s="825"/>
      <c r="AL20" s="547">
        <f t="shared" ref="AL20:AM20" si="122">SUM(AL6:AL19)</f>
        <v>0</v>
      </c>
      <c r="AM20" s="379">
        <f t="shared" si="122"/>
        <v>0</v>
      </c>
      <c r="AN20" s="379"/>
      <c r="AO20" s="379"/>
      <c r="AP20" s="379"/>
      <c r="AQ20" s="242"/>
      <c r="AR20" s="472"/>
      <c r="AS20" s="831"/>
      <c r="AT20" s="831"/>
      <c r="AU20" s="831"/>
      <c r="AV20" s="831"/>
      <c r="AW20" s="726"/>
      <c r="AX20" s="547">
        <f t="shared" ref="AX20:AY20" si="123">SUM(AX6:AX19)</f>
        <v>3153.4175611160199</v>
      </c>
      <c r="AY20" s="379">
        <f t="shared" si="123"/>
        <v>2275.8155040129768</v>
      </c>
      <c r="AZ20" s="379"/>
      <c r="BA20" s="379"/>
      <c r="BB20" s="379"/>
      <c r="BC20" s="242"/>
      <c r="BD20" s="472"/>
      <c r="BE20" s="831"/>
      <c r="BF20" s="831"/>
      <c r="BG20" s="831"/>
      <c r="BH20" s="831"/>
      <c r="BI20" s="726"/>
      <c r="BJ20" s="547">
        <f t="shared" ref="BJ20:BK20" si="124">SUM(BJ6:BJ19)</f>
        <v>3088.8939976103802</v>
      </c>
      <c r="BK20" s="379">
        <f t="shared" si="124"/>
        <v>2229.2489699735293</v>
      </c>
      <c r="BL20" s="379"/>
      <c r="BM20" s="379"/>
      <c r="BN20" s="379"/>
      <c r="BO20" s="242"/>
      <c r="BP20" s="472"/>
      <c r="BQ20" s="472"/>
      <c r="BR20" s="472"/>
      <c r="BS20" s="472"/>
      <c r="BT20" s="472"/>
      <c r="BU20" s="472"/>
      <c r="BV20" s="1162">
        <f t="shared" ref="BV20:BW20" si="125">SUM(BV6:BV19)</f>
        <v>1698.8916986857093</v>
      </c>
      <c r="BW20" s="379">
        <f t="shared" si="125"/>
        <v>1226.0869334854413</v>
      </c>
      <c r="BX20" s="379"/>
      <c r="BY20" s="379"/>
      <c r="BZ20" s="379"/>
      <c r="CA20" s="242"/>
      <c r="CB20" s="472"/>
      <c r="CC20" s="831"/>
      <c r="CD20" s="831"/>
      <c r="CE20" s="831"/>
      <c r="CF20" s="831"/>
      <c r="CG20" s="726"/>
      <c r="CH20" s="546"/>
      <c r="CI20" s="546"/>
    </row>
    <row r="21" spans="1:91" ht="16.5" thickBot="1">
      <c r="A21" s="543"/>
      <c r="B21" s="548"/>
      <c r="C21" s="549"/>
      <c r="D21" s="549"/>
      <c r="E21" s="549"/>
      <c r="F21" s="549"/>
      <c r="G21" s="549"/>
      <c r="H21" s="553">
        <f>SUM(H6:H19)</f>
        <v>0</v>
      </c>
      <c r="I21" s="553">
        <f t="shared" ref="I21:M21" si="126">SUM(I6:I19)</f>
        <v>0</v>
      </c>
      <c r="J21" s="553">
        <f t="shared" si="126"/>
        <v>0</v>
      </c>
      <c r="K21" s="553">
        <f t="shared" si="126"/>
        <v>0</v>
      </c>
      <c r="L21" s="553">
        <f t="shared" si="126"/>
        <v>0</v>
      </c>
      <c r="M21" s="553">
        <f t="shared" si="126"/>
        <v>0</v>
      </c>
      <c r="N21" s="548"/>
      <c r="O21" s="549"/>
      <c r="P21" s="549"/>
      <c r="Q21" s="549"/>
      <c r="R21" s="549"/>
      <c r="S21" s="549"/>
      <c r="T21" s="828">
        <f t="shared" ref="T21:Y21" si="127">SUM(T6:T19)</f>
        <v>0</v>
      </c>
      <c r="U21" s="828">
        <f t="shared" si="127"/>
        <v>0</v>
      </c>
      <c r="V21" s="828">
        <f t="shared" si="127"/>
        <v>0</v>
      </c>
      <c r="W21" s="553">
        <f t="shared" si="127"/>
        <v>0</v>
      </c>
      <c r="X21" s="826">
        <f t="shared" si="127"/>
        <v>0</v>
      </c>
      <c r="Y21" s="553">
        <f t="shared" si="127"/>
        <v>0</v>
      </c>
      <c r="Z21" s="548"/>
      <c r="AA21" s="549"/>
      <c r="AB21" s="549"/>
      <c r="AC21" s="549"/>
      <c r="AD21" s="549"/>
      <c r="AE21" s="549"/>
      <c r="AF21" s="828">
        <f t="shared" ref="AF21:AK21" si="128">SUM(AF6:AF19)</f>
        <v>0.23446270017811258</v>
      </c>
      <c r="AG21" s="828">
        <f t="shared" si="128"/>
        <v>0.16921128833609067</v>
      </c>
      <c r="AH21" s="828">
        <f t="shared" si="128"/>
        <v>0</v>
      </c>
      <c r="AI21" s="553">
        <f t="shared" si="128"/>
        <v>0</v>
      </c>
      <c r="AJ21" s="826">
        <f t="shared" si="128"/>
        <v>0.23446270017811258</v>
      </c>
      <c r="AK21" s="553">
        <f t="shared" si="128"/>
        <v>0.16921128833609067</v>
      </c>
      <c r="AL21" s="827"/>
      <c r="AM21" s="549"/>
      <c r="AN21" s="549"/>
      <c r="AO21" s="549"/>
      <c r="AP21" s="549"/>
      <c r="AQ21" s="549"/>
      <c r="AR21" s="553">
        <f t="shared" ref="AR21:AW21" si="129">SUM(AR6:AR19)</f>
        <v>0</v>
      </c>
      <c r="AS21" s="553">
        <f t="shared" si="129"/>
        <v>0</v>
      </c>
      <c r="AT21" s="553">
        <f t="shared" si="129"/>
        <v>0</v>
      </c>
      <c r="AU21" s="553">
        <f t="shared" si="129"/>
        <v>0</v>
      </c>
      <c r="AV21" s="553">
        <f t="shared" si="129"/>
        <v>0</v>
      </c>
      <c r="AW21" s="553">
        <f t="shared" si="129"/>
        <v>0</v>
      </c>
      <c r="AX21" s="548"/>
      <c r="AY21" s="549"/>
      <c r="AZ21" s="549"/>
      <c r="BA21" s="549"/>
      <c r="BB21" s="549"/>
      <c r="BC21" s="549"/>
      <c r="BD21" s="553">
        <f t="shared" ref="BD21:BI21" si="130">SUM(BD6:BD19)</f>
        <v>1.6383805449965267</v>
      </c>
      <c r="BE21" s="553">
        <f t="shared" si="130"/>
        <v>1.1824161480399462</v>
      </c>
      <c r="BF21" s="553">
        <f t="shared" si="130"/>
        <v>0.74372197088591374</v>
      </c>
      <c r="BG21" s="553">
        <f t="shared" si="130"/>
        <v>0.53674274313936232</v>
      </c>
      <c r="BH21" s="553">
        <f t="shared" si="130"/>
        <v>0.89465857411061256</v>
      </c>
      <c r="BI21" s="553">
        <f t="shared" si="130"/>
        <v>0.64567340490058367</v>
      </c>
      <c r="BJ21" s="548"/>
      <c r="BK21" s="549"/>
      <c r="BL21" s="549"/>
      <c r="BM21" s="549"/>
      <c r="BN21" s="549"/>
      <c r="BO21" s="549"/>
      <c r="BP21" s="553">
        <f t="shared" ref="BP21:BU21" si="131">SUM(BP6:BP19)</f>
        <v>0</v>
      </c>
      <c r="BQ21" s="553">
        <f t="shared" si="131"/>
        <v>0</v>
      </c>
      <c r="BR21" s="553">
        <f t="shared" si="131"/>
        <v>0</v>
      </c>
      <c r="BS21" s="553">
        <f t="shared" si="131"/>
        <v>0</v>
      </c>
      <c r="BT21" s="553">
        <f t="shared" si="131"/>
        <v>0</v>
      </c>
      <c r="BU21" s="553">
        <f t="shared" si="131"/>
        <v>0</v>
      </c>
      <c r="BV21" s="548"/>
      <c r="BW21" s="549"/>
      <c r="BX21" s="549"/>
      <c r="BY21" s="549"/>
      <c r="BZ21" s="549"/>
      <c r="CA21" s="549"/>
      <c r="CB21" s="553">
        <f t="shared" ref="CB21:CI21" si="132">SUM(CB6:CB19)</f>
        <v>0.31460957383068688</v>
      </c>
      <c r="CC21" s="553">
        <f t="shared" si="132"/>
        <v>0.22705313583063724</v>
      </c>
      <c r="CD21" s="553">
        <f t="shared" si="132"/>
        <v>0</v>
      </c>
      <c r="CE21" s="553">
        <f t="shared" si="132"/>
        <v>0</v>
      </c>
      <c r="CF21" s="553">
        <f t="shared" si="132"/>
        <v>0.31460957383068688</v>
      </c>
      <c r="CG21" s="553">
        <f t="shared" si="132"/>
        <v>0.22705313583063724</v>
      </c>
      <c r="CH21" s="553">
        <f t="shared" si="132"/>
        <v>1.443730848119412</v>
      </c>
      <c r="CI21" s="553">
        <f t="shared" si="132"/>
        <v>1.0419378290673116</v>
      </c>
      <c r="CL21" s="832"/>
      <c r="CM21" s="832"/>
    </row>
    <row r="22" spans="1:91">
      <c r="A22" s="479"/>
      <c r="B22" s="478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78"/>
      <c r="R22" s="478"/>
      <c r="S22" s="478"/>
      <c r="T22" s="478"/>
      <c r="U22" s="478"/>
      <c r="V22" s="478"/>
      <c r="W22" s="478"/>
      <c r="X22" s="478"/>
      <c r="Y22" s="478"/>
      <c r="Z22" s="477"/>
      <c r="AA22" s="477"/>
      <c r="AB22" s="477"/>
      <c r="AC22" s="477"/>
      <c r="AD22" s="477"/>
      <c r="AE22" s="478"/>
      <c r="AF22" s="478"/>
      <c r="AG22" s="478"/>
      <c r="AH22" s="478"/>
      <c r="AI22" s="478"/>
      <c r="AJ22" s="478"/>
      <c r="AK22" s="478"/>
      <c r="AL22" s="477"/>
      <c r="AM22" s="477"/>
      <c r="AN22" s="477"/>
      <c r="AO22" s="477"/>
      <c r="AP22" s="477"/>
      <c r="AQ22" s="477"/>
      <c r="AR22" s="478"/>
      <c r="AS22" s="478"/>
      <c r="AT22" s="478"/>
      <c r="AU22" s="478"/>
      <c r="AV22" s="478"/>
      <c r="AW22" s="521"/>
      <c r="AX22" s="477"/>
      <c r="AY22" s="477"/>
      <c r="AZ22" s="477"/>
      <c r="BA22" s="477"/>
      <c r="BB22" s="477"/>
      <c r="BC22" s="477"/>
      <c r="BD22" s="478"/>
      <c r="BE22" s="478"/>
      <c r="BF22" s="478"/>
      <c r="BG22" s="478"/>
      <c r="BH22" s="478"/>
      <c r="BI22" s="478"/>
      <c r="BJ22" s="477"/>
      <c r="BK22" s="477"/>
      <c r="BL22" s="477"/>
      <c r="BM22" s="477"/>
      <c r="BN22" s="477"/>
      <c r="BO22" s="477"/>
      <c r="BP22" s="478"/>
      <c r="BQ22" s="478"/>
      <c r="BR22" s="478"/>
      <c r="BS22" s="478"/>
      <c r="BT22" s="478"/>
      <c r="BU22" s="478"/>
      <c r="BV22" s="477"/>
      <c r="BW22" s="477"/>
      <c r="BX22" s="477"/>
      <c r="BY22" s="477"/>
      <c r="BZ22" s="477"/>
      <c r="CA22" s="477"/>
      <c r="CB22" s="478"/>
      <c r="CC22" s="478"/>
      <c r="CD22" s="478"/>
      <c r="CE22" s="478"/>
      <c r="CF22" s="478"/>
      <c r="CG22" s="478"/>
      <c r="CH22" s="478"/>
      <c r="CI22" s="478"/>
    </row>
    <row r="23" spans="1:91">
      <c r="A23" s="474"/>
      <c r="B23" s="72"/>
      <c r="C23" s="72"/>
      <c r="D23" s="475"/>
      <c r="E23" s="475"/>
      <c r="F23" s="475"/>
      <c r="G23" s="476"/>
      <c r="H23" s="476"/>
      <c r="I23" s="476"/>
      <c r="J23" s="476"/>
      <c r="K23" s="476"/>
      <c r="L23" s="476"/>
      <c r="M23" s="475"/>
      <c r="N23" s="475"/>
      <c r="O23" s="475"/>
      <c r="P23" s="475"/>
      <c r="Q23" s="475"/>
      <c r="R23" s="475"/>
      <c r="S23" s="475"/>
      <c r="T23" s="475"/>
      <c r="U23" s="475"/>
      <c r="V23" s="475"/>
      <c r="W23" s="475"/>
      <c r="X23" s="475"/>
      <c r="Y23" s="475"/>
      <c r="Z23" s="475"/>
      <c r="AA23" s="475"/>
      <c r="AB23" s="475"/>
      <c r="AC23" s="475"/>
      <c r="AD23" s="475"/>
      <c r="AE23" s="476"/>
      <c r="AF23" s="476"/>
      <c r="AG23" s="476"/>
      <c r="AH23" s="476"/>
      <c r="AI23" s="476"/>
      <c r="AJ23" s="476"/>
      <c r="AK23" s="475"/>
      <c r="AL23" s="475"/>
      <c r="AM23" s="475"/>
      <c r="AN23" s="475"/>
      <c r="AO23" s="475"/>
      <c r="AP23" s="475"/>
      <c r="AQ23" s="475"/>
      <c r="AR23" s="475"/>
      <c r="AS23" s="475"/>
      <c r="AT23" s="475"/>
      <c r="AU23" s="475"/>
      <c r="AV23" s="475"/>
      <c r="AW23" s="187"/>
      <c r="AX23" s="475"/>
      <c r="AY23" s="475"/>
      <c r="AZ23" s="475"/>
      <c r="BA23" s="475"/>
      <c r="BB23" s="475"/>
      <c r="BC23" s="475"/>
      <c r="BD23" s="475"/>
      <c r="BE23" s="475"/>
      <c r="BF23" s="475"/>
      <c r="BG23" s="475"/>
      <c r="BH23" s="475"/>
      <c r="BI23" s="475"/>
      <c r="BJ23" s="475"/>
      <c r="BK23" s="475"/>
      <c r="BL23" s="475"/>
      <c r="BM23" s="475"/>
      <c r="BN23" s="475"/>
      <c r="BO23" s="475"/>
      <c r="BP23" s="475"/>
      <c r="BQ23" s="475"/>
      <c r="BR23" s="475"/>
      <c r="BS23" s="475"/>
      <c r="BT23" s="475"/>
      <c r="BU23" s="475"/>
      <c r="BV23" s="475"/>
      <c r="BW23" s="475"/>
      <c r="BX23" s="475"/>
      <c r="BY23" s="475"/>
      <c r="BZ23" s="475"/>
      <c r="CA23" s="475"/>
      <c r="CB23" s="475"/>
      <c r="CC23" s="475"/>
      <c r="CD23" s="475"/>
      <c r="CE23" s="475"/>
      <c r="CF23" s="475"/>
      <c r="CG23" s="475"/>
      <c r="CH23" s="72"/>
      <c r="CI23" s="72"/>
    </row>
    <row r="24" spans="1:91">
      <c r="A24" s="474"/>
      <c r="B24" s="475"/>
      <c r="C24" s="475"/>
      <c r="D24" s="475"/>
      <c r="E24" s="475"/>
      <c r="F24" s="475"/>
      <c r="G24" s="476"/>
      <c r="H24" s="476"/>
      <c r="I24" s="476"/>
      <c r="J24" s="476"/>
      <c r="K24" s="476"/>
      <c r="L24" s="476"/>
      <c r="M24" s="475"/>
      <c r="N24" s="475"/>
      <c r="O24" s="475"/>
      <c r="P24" s="475"/>
      <c r="Q24" s="475"/>
      <c r="R24" s="475"/>
      <c r="S24" s="475"/>
      <c r="T24" s="475"/>
      <c r="U24" s="475"/>
      <c r="V24" s="475"/>
      <c r="W24" s="475"/>
      <c r="X24" s="475"/>
      <c r="Y24" s="475"/>
      <c r="Z24" s="475"/>
      <c r="AA24" s="475"/>
      <c r="AB24" s="475"/>
      <c r="AC24" s="475"/>
      <c r="AD24" s="475"/>
      <c r="AE24" s="476"/>
      <c r="AF24" s="476"/>
      <c r="AG24" s="476"/>
      <c r="AH24" s="476"/>
      <c r="AI24" s="476"/>
      <c r="AJ24" s="476"/>
      <c r="AK24" s="475"/>
      <c r="AL24" s="475"/>
      <c r="AM24" s="475"/>
      <c r="AN24" s="475"/>
      <c r="AO24" s="475"/>
      <c r="AP24" s="475"/>
      <c r="AQ24" s="475"/>
      <c r="AR24" s="475"/>
      <c r="AS24" s="475"/>
      <c r="AT24" s="475"/>
      <c r="AU24" s="475"/>
      <c r="AV24" s="475"/>
      <c r="AW24" s="187"/>
      <c r="AX24" s="475"/>
      <c r="AY24" s="475"/>
      <c r="AZ24" s="475"/>
      <c r="BA24" s="475"/>
      <c r="BB24" s="475"/>
      <c r="BC24" s="475"/>
      <c r="BD24" s="475"/>
      <c r="BE24" s="475"/>
      <c r="BF24" s="475"/>
      <c r="BG24" s="475"/>
      <c r="BH24" s="475"/>
      <c r="BI24" s="475"/>
      <c r="BJ24" s="475"/>
      <c r="BK24" s="475"/>
      <c r="BL24" s="475"/>
      <c r="BM24" s="475"/>
      <c r="BN24" s="475"/>
      <c r="BO24" s="475"/>
      <c r="BP24" s="475"/>
      <c r="BQ24" s="475"/>
      <c r="BR24" s="475"/>
      <c r="BS24" s="475"/>
      <c r="BT24" s="475"/>
      <c r="BU24" s="475"/>
      <c r="BV24" s="475"/>
      <c r="BW24" s="475"/>
      <c r="BX24" s="475"/>
      <c r="BY24" s="475"/>
      <c r="BZ24" s="475"/>
      <c r="CA24" s="475"/>
      <c r="CB24" s="475"/>
      <c r="CC24" s="475"/>
      <c r="CD24" s="475"/>
      <c r="CE24" s="475"/>
      <c r="CF24" s="475"/>
      <c r="CG24" s="475"/>
      <c r="CH24" s="72"/>
      <c r="CI24" s="72"/>
    </row>
    <row r="25" spans="1:91">
      <c r="A25" s="477"/>
      <c r="B25" s="478"/>
      <c r="C25" s="478"/>
      <c r="D25" s="478"/>
      <c r="E25" s="478"/>
      <c r="F25" s="478"/>
      <c r="G25" s="478"/>
      <c r="H25" s="478"/>
      <c r="I25" s="478"/>
      <c r="J25" s="478"/>
      <c r="K25" s="478"/>
      <c r="L25" s="478"/>
      <c r="M25" s="478"/>
      <c r="N25" s="478"/>
      <c r="O25" s="746"/>
      <c r="P25" s="746"/>
      <c r="Q25" s="746"/>
      <c r="R25" s="478"/>
      <c r="S25" s="478"/>
      <c r="T25" s="478"/>
      <c r="U25" s="478"/>
      <c r="V25" s="478"/>
      <c r="W25" s="478"/>
      <c r="X25" s="478"/>
      <c r="Y25" s="478"/>
      <c r="Z25" s="477"/>
      <c r="AA25" s="477"/>
      <c r="AB25" s="477"/>
      <c r="AC25" s="477"/>
      <c r="AD25" s="477"/>
      <c r="AE25" s="478"/>
      <c r="AF25" s="478"/>
      <c r="AG25" s="478"/>
      <c r="AH25" s="478"/>
      <c r="AI25" s="478"/>
      <c r="AJ25" s="478"/>
      <c r="AK25" s="478"/>
      <c r="AL25" s="477"/>
      <c r="AM25" s="477"/>
      <c r="AN25" s="477"/>
      <c r="AO25" s="477"/>
      <c r="AP25" s="477"/>
      <c r="AQ25" s="477"/>
      <c r="AR25" s="478"/>
      <c r="AS25" s="478"/>
      <c r="AT25" s="478"/>
      <c r="AU25" s="478"/>
      <c r="AV25" s="478"/>
      <c r="AW25" s="521"/>
      <c r="AX25" s="477"/>
      <c r="AY25" s="477"/>
      <c r="AZ25" s="477"/>
      <c r="BA25" s="477"/>
      <c r="BB25" s="477"/>
      <c r="BC25" s="477"/>
      <c r="BD25" s="478"/>
      <c r="BE25" s="478"/>
      <c r="BF25" s="478"/>
      <c r="BG25" s="478"/>
      <c r="BH25" s="478"/>
      <c r="BI25" s="478"/>
      <c r="BJ25" s="477"/>
      <c r="BK25" s="477"/>
      <c r="BL25" s="477"/>
      <c r="BM25" s="477"/>
      <c r="BN25" s="477"/>
      <c r="BO25" s="477"/>
      <c r="BP25" s="478"/>
      <c r="BQ25" s="478"/>
      <c r="BR25" s="478"/>
      <c r="BS25" s="478"/>
      <c r="BT25" s="478"/>
      <c r="BU25" s="478"/>
      <c r="BV25" s="477"/>
      <c r="BW25" s="477"/>
      <c r="BX25" s="477"/>
      <c r="BY25" s="477"/>
      <c r="BZ25" s="477"/>
      <c r="CA25" s="477"/>
      <c r="CB25" s="478"/>
      <c r="CC25" s="478"/>
      <c r="CD25" s="478"/>
      <c r="CE25" s="478"/>
      <c r="CF25" s="478"/>
      <c r="CG25" s="478"/>
      <c r="CH25" s="478"/>
      <c r="CI25" s="478"/>
    </row>
    <row r="26" spans="1:91">
      <c r="A26" s="474"/>
      <c r="B26" s="474"/>
      <c r="C26" s="474"/>
      <c r="D26" s="474"/>
      <c r="E26" s="474"/>
      <c r="F26" s="474"/>
      <c r="G26" s="474"/>
      <c r="H26" s="474"/>
      <c r="I26" s="474"/>
      <c r="J26" s="474"/>
      <c r="K26" s="474"/>
      <c r="L26" s="474"/>
      <c r="M26" s="474"/>
      <c r="N26" s="474"/>
      <c r="O26" s="474"/>
      <c r="P26" s="474"/>
      <c r="Q26" s="474"/>
      <c r="R26" s="474"/>
      <c r="S26" s="474"/>
      <c r="T26" s="474"/>
      <c r="U26" s="474"/>
      <c r="V26" s="474"/>
      <c r="W26" s="474"/>
      <c r="X26" s="474"/>
      <c r="Y26" s="474"/>
      <c r="Z26" s="474"/>
      <c r="AA26" s="474"/>
      <c r="AB26" s="474"/>
      <c r="AC26" s="474"/>
      <c r="AD26" s="474"/>
      <c r="AE26" s="474"/>
      <c r="AF26" s="474"/>
      <c r="AG26" s="474"/>
      <c r="AH26" s="474"/>
      <c r="AI26" s="474"/>
      <c r="AJ26" s="474"/>
      <c r="AK26" s="474"/>
      <c r="AL26" s="474"/>
      <c r="AM26" s="474"/>
      <c r="AN26" s="474"/>
      <c r="AO26" s="474"/>
      <c r="AP26" s="474"/>
      <c r="AQ26" s="474"/>
      <c r="AR26" s="474"/>
      <c r="AS26" s="474"/>
      <c r="AT26" s="474"/>
      <c r="AU26" s="474"/>
      <c r="AV26" s="474"/>
      <c r="AW26" s="145"/>
      <c r="AX26" s="474"/>
      <c r="AY26" s="474"/>
      <c r="AZ26" s="474"/>
      <c r="BA26" s="474"/>
      <c r="BB26" s="474"/>
      <c r="BC26" s="474"/>
      <c r="BD26" s="474"/>
      <c r="BE26" s="474"/>
      <c r="BF26" s="474"/>
      <c r="BG26" s="474"/>
      <c r="BH26" s="474"/>
      <c r="BI26" s="474"/>
      <c r="BJ26" s="474"/>
      <c r="BK26" s="474"/>
      <c r="BL26" s="474"/>
      <c r="BM26" s="474"/>
      <c r="BN26" s="474"/>
      <c r="BO26" s="474"/>
      <c r="BP26" s="474"/>
      <c r="BQ26" s="474"/>
      <c r="BR26" s="474"/>
      <c r="BS26" s="474"/>
      <c r="BT26" s="474"/>
      <c r="BU26" s="474"/>
      <c r="BV26" s="72"/>
      <c r="BW26" s="72"/>
      <c r="BX26" s="72"/>
      <c r="BY26" s="72"/>
      <c r="BZ26" s="72"/>
      <c r="CA26" s="72"/>
      <c r="CB26" s="72"/>
      <c r="CC26" s="72"/>
      <c r="CD26" s="72"/>
      <c r="CE26" s="72"/>
      <c r="CF26" s="72"/>
      <c r="CG26" s="72"/>
      <c r="CH26" s="72"/>
      <c r="CI26" s="72"/>
    </row>
    <row r="28" spans="1:91">
      <c r="AA28" s="13"/>
    </row>
  </sheetData>
  <mergeCells count="8">
    <mergeCell ref="B4:M4"/>
    <mergeCell ref="B3:CI3"/>
    <mergeCell ref="BV4:CG4"/>
    <mergeCell ref="BJ4:BU4"/>
    <mergeCell ref="AX4:BI4"/>
    <mergeCell ref="AL4:AW4"/>
    <mergeCell ref="N4:Y4"/>
    <mergeCell ref="Z4:AK4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00B050"/>
  </sheetPr>
  <dimension ref="A1:S42"/>
  <sheetViews>
    <sheetView workbookViewId="0">
      <selection activeCell="B29" sqref="B29"/>
    </sheetView>
  </sheetViews>
  <sheetFormatPr defaultColWidth="8.875" defaultRowHeight="15"/>
  <cols>
    <col min="1" max="1" width="35.125" style="282" customWidth="1"/>
    <col min="2" max="2" width="8.875" style="282"/>
    <col min="3" max="3" width="15" style="282" customWidth="1"/>
    <col min="4" max="4" width="8.875" style="282"/>
    <col min="5" max="5" width="9.875" style="282" customWidth="1"/>
    <col min="6" max="6" width="8.875" style="282"/>
    <col min="7" max="10" width="12.75" style="282" customWidth="1"/>
    <col min="11" max="11" width="19.25" style="282" customWidth="1"/>
    <col min="12" max="12" width="8.875" style="282"/>
    <col min="13" max="13" width="13.5" style="282" bestFit="1" customWidth="1"/>
    <col min="14" max="14" width="14.125" style="282" customWidth="1"/>
    <col min="15" max="15" width="15.875" style="282" bestFit="1" customWidth="1"/>
    <col min="16" max="16" width="12.5" style="282" bestFit="1" customWidth="1"/>
    <col min="17" max="17" width="24" style="282" bestFit="1" customWidth="1"/>
    <col min="18" max="19" width="25.625" style="282" bestFit="1" customWidth="1"/>
    <col min="20" max="16384" width="8.875" style="282"/>
  </cols>
  <sheetData>
    <row r="1" spans="1:19" ht="15.75" thickBot="1">
      <c r="A1" s="990" t="s">
        <v>1022</v>
      </c>
      <c r="B1" s="1054" t="s">
        <v>1011</v>
      </c>
      <c r="C1" s="1054"/>
      <c r="D1" s="1054"/>
      <c r="E1" s="991"/>
      <c r="F1" s="991"/>
      <c r="G1" s="991"/>
      <c r="H1" s="991"/>
      <c r="I1" s="991"/>
      <c r="J1" s="992"/>
      <c r="K1" s="996" t="s">
        <v>1167</v>
      </c>
      <c r="L1" s="997"/>
      <c r="M1" s="991"/>
      <c r="N1" s="992"/>
    </row>
    <row r="2" spans="1:19" ht="60">
      <c r="A2" s="1240"/>
      <c r="B2" s="1241" t="s">
        <v>1572</v>
      </c>
      <c r="C2" s="1241" t="s">
        <v>1573</v>
      </c>
      <c r="D2" s="1242" t="s">
        <v>1349</v>
      </c>
      <c r="E2" s="1375" t="s">
        <v>1683</v>
      </c>
      <c r="F2" s="1243"/>
      <c r="G2" s="1243" t="s">
        <v>1574</v>
      </c>
      <c r="H2" s="1244" t="s">
        <v>1022</v>
      </c>
      <c r="I2" s="1243" t="s">
        <v>1021</v>
      </c>
      <c r="J2" s="1245" t="s">
        <v>1577</v>
      </c>
      <c r="K2" s="1246" t="s">
        <v>1576</v>
      </c>
      <c r="L2" s="1245" t="s">
        <v>1578</v>
      </c>
      <c r="M2" s="1243" t="s">
        <v>1021</v>
      </c>
      <c r="N2" s="1245" t="s">
        <v>1577</v>
      </c>
    </row>
    <row r="3" spans="1:19">
      <c r="A3" s="1367" t="str">
        <f>INPUTS!C21</f>
        <v>Cows (local)</v>
      </c>
      <c r="B3" s="1247">
        <f>INPUTS!D21</f>
        <v>1</v>
      </c>
      <c r="C3" s="1247">
        <f>INPUTS!F21</f>
        <v>0</v>
      </c>
      <c r="D3" s="1373">
        <f>B3*'Livestock parameters'!B2/250</f>
        <v>1.4</v>
      </c>
      <c r="E3" s="1376">
        <f>'Livestock parameters'!V2</f>
        <v>1.25</v>
      </c>
      <c r="F3" s="1248"/>
      <c r="G3" s="1248">
        <f>B3*C3</f>
        <v>0</v>
      </c>
      <c r="H3" s="1248">
        <f>G3*'Livestock parameters'!AB2</f>
        <v>0</v>
      </c>
      <c r="I3" s="1249">
        <f>H3*'Livestock parameters'!Z2</f>
        <v>0</v>
      </c>
      <c r="J3" s="1368">
        <f>H3*'Livestock parameters'!AA2/100</f>
        <v>0</v>
      </c>
      <c r="K3" s="1378">
        <f>INPUTS!E21</f>
        <v>1000</v>
      </c>
      <c r="L3" s="1373">
        <f>INPUTS!E21*INPUTS!D21*(0.337+(0.116*'Livestock parameters'!X2)+(0.06*'Livestock parameters'!W2))</f>
        <v>993.00000000000011</v>
      </c>
      <c r="M3" s="1249">
        <f>L3*'Livestock parameters'!Y2</f>
        <v>963210.00000000012</v>
      </c>
      <c r="N3" s="1368">
        <f>L3*'Livestock parameters'!W2/100</f>
        <v>31.776000000000003</v>
      </c>
    </row>
    <row r="4" spans="1:19">
      <c r="A4" s="1367" t="str">
        <f>INPUTS!C22</f>
        <v>Cows (improved)</v>
      </c>
      <c r="B4" s="1247">
        <f>INPUTS!D22</f>
        <v>1</v>
      </c>
      <c r="C4" s="1247">
        <f>INPUTS!F22</f>
        <v>0</v>
      </c>
      <c r="D4" s="1373">
        <f>B4*'Livestock parameters'!B3/250</f>
        <v>1.8</v>
      </c>
      <c r="E4" s="1376">
        <f>'Livestock parameters'!V3</f>
        <v>1.1666666666666667</v>
      </c>
      <c r="F4" s="1248"/>
      <c r="G4" s="1248">
        <f t="shared" ref="G4:G10" si="0">B4*C4</f>
        <v>0</v>
      </c>
      <c r="H4" s="1248">
        <f>G4*'Livestock parameters'!AB3</f>
        <v>0</v>
      </c>
      <c r="I4" s="1249">
        <f>H4*'Livestock parameters'!Z3</f>
        <v>0</v>
      </c>
      <c r="J4" s="1368">
        <f>H4*'Livestock parameters'!AA3/100</f>
        <v>0</v>
      </c>
      <c r="K4" s="1378">
        <f>INPUTS!E22</f>
        <v>1500</v>
      </c>
      <c r="L4" s="1373">
        <f>INPUTS!E22*INPUTS!D22*(0.337+(0.116*'Livestock parameters'!X3)+(0.06*'Livestock parameters'!W3))</f>
        <v>1489.5000000000002</v>
      </c>
      <c r="M4" s="1249">
        <f>L4*'Livestock parameters'!Y3</f>
        <v>1444815.0000000002</v>
      </c>
      <c r="N4" s="1368">
        <f>L4*'Livestock parameters'!W3/100</f>
        <v>47.664000000000009</v>
      </c>
    </row>
    <row r="5" spans="1:19">
      <c r="A5" s="1367" t="str">
        <f>INPUTS!C23</f>
        <v>Adult cattle - male</v>
      </c>
      <c r="B5" s="1247">
        <f>INPUTS!D23</f>
        <v>1</v>
      </c>
      <c r="C5" s="1247">
        <f>INPUTS!F23</f>
        <v>0</v>
      </c>
      <c r="D5" s="1373">
        <f>B5*'Livestock parameters'!B4/250</f>
        <v>1.6</v>
      </c>
      <c r="E5" s="1376">
        <f>'Livestock parameters'!V4</f>
        <v>0</v>
      </c>
      <c r="F5" s="1248"/>
      <c r="G5" s="1248">
        <f t="shared" si="0"/>
        <v>0</v>
      </c>
      <c r="H5" s="1248">
        <f>G5*'Livestock parameters'!AB4</f>
        <v>0</v>
      </c>
      <c r="I5" s="1249">
        <f>H5*'Livestock parameters'!Z4</f>
        <v>0</v>
      </c>
      <c r="J5" s="1368">
        <f>H5*'Livestock parameters'!AA4/100</f>
        <v>0</v>
      </c>
      <c r="K5" s="1378">
        <f>INPUTS!E23</f>
        <v>0</v>
      </c>
      <c r="L5" s="1373">
        <f>INPUTS!E23*INPUTS!D23*(0.337+(0.116*'Livestock parameters'!X4)+(0.06*'Livestock parameters'!W4))</f>
        <v>0</v>
      </c>
      <c r="M5" s="1249">
        <f>L5*'Livestock parameters'!Y4</f>
        <v>0</v>
      </c>
      <c r="N5" s="1368">
        <f>L5*'Livestock parameters'!W4/100</f>
        <v>0</v>
      </c>
    </row>
    <row r="6" spans="1:19">
      <c r="A6" s="1367" t="str">
        <f>INPUTS!C24</f>
        <v>Calves</v>
      </c>
      <c r="B6" s="1247">
        <f>INPUTS!D24</f>
        <v>1</v>
      </c>
      <c r="C6" s="1247">
        <f>INPUTS!F24</f>
        <v>111</v>
      </c>
      <c r="D6" s="1373">
        <f>B6*'Livestock parameters'!B5/250</f>
        <v>0.28000000000000003</v>
      </c>
      <c r="E6" s="1376">
        <f>'Livestock parameters'!V5</f>
        <v>0</v>
      </c>
      <c r="F6" s="1248"/>
      <c r="G6" s="1248">
        <f t="shared" si="0"/>
        <v>111</v>
      </c>
      <c r="H6" s="1248">
        <f>G6*'Livestock parameters'!AB5</f>
        <v>55.5</v>
      </c>
      <c r="I6" s="1249">
        <f>H6*'Livestock parameters'!Z5</f>
        <v>122100</v>
      </c>
      <c r="J6" s="1368">
        <f>H6*'Livestock parameters'!AA5/100</f>
        <v>14.43</v>
      </c>
      <c r="K6" s="1378">
        <f>INPUTS!E24</f>
        <v>0</v>
      </c>
      <c r="L6" s="1373">
        <f>INPUTS!E24*INPUTS!D24*(0.337+(0.116*'Livestock parameters'!X5)+(0.06*'Livestock parameters'!W5))</f>
        <v>0</v>
      </c>
      <c r="M6" s="1249">
        <f>L6*'Livestock parameters'!Y5</f>
        <v>0</v>
      </c>
      <c r="N6" s="1368">
        <f>L6*'Livestock parameters'!W5/100</f>
        <v>0</v>
      </c>
    </row>
    <row r="7" spans="1:19">
      <c r="A7" s="1367" t="str">
        <f>INPUTS!C25</f>
        <v>Buffalo (dairy)</v>
      </c>
      <c r="B7" s="1247">
        <f>INPUTS!D25</f>
        <v>1</v>
      </c>
      <c r="C7" s="1247">
        <f>INPUTS!F25</f>
        <v>0</v>
      </c>
      <c r="D7" s="1373">
        <f>B7*'Livestock parameters'!B6/250</f>
        <v>1.8</v>
      </c>
      <c r="E7" s="1376">
        <f>'Livestock parameters'!V6</f>
        <v>1.2</v>
      </c>
      <c r="F7" s="1248"/>
      <c r="G7" s="1248">
        <f t="shared" si="0"/>
        <v>0</v>
      </c>
      <c r="H7" s="1248">
        <f>G7*'Livestock parameters'!AB6</f>
        <v>0</v>
      </c>
      <c r="I7" s="1249">
        <f>H7*'Livestock parameters'!Z6</f>
        <v>0</v>
      </c>
      <c r="J7" s="1368">
        <f>H7*'Livestock parameters'!AA6/100</f>
        <v>0</v>
      </c>
      <c r="K7" s="1378">
        <f>INPUTS!E25</f>
        <v>1500</v>
      </c>
      <c r="L7" s="1373">
        <f>INPUTS!E25*INPUTS!D25*(0.337+(0.116*'Livestock parameters'!X6)+(0.06*'Livestock parameters'!W6))</f>
        <v>1586.7</v>
      </c>
      <c r="M7" s="1249">
        <f>L7*'Livestock parameters'!Y6</f>
        <v>1539099</v>
      </c>
      <c r="N7" s="1368">
        <f>L7*'Livestock parameters'!W6/100</f>
        <v>58.707900000000009</v>
      </c>
      <c r="S7" s="282">
        <f>1/1.5</f>
        <v>0.66666666666666663</v>
      </c>
    </row>
    <row r="8" spans="1:19">
      <c r="A8" s="1367" t="str">
        <f>INPUTS!C26</f>
        <v>Sheep/Goats - Ewes/Does</v>
      </c>
      <c r="B8" s="1247">
        <f>INPUTS!D26</f>
        <v>1</v>
      </c>
      <c r="C8" s="1247">
        <f>INPUTS!F26</f>
        <v>0</v>
      </c>
      <c r="D8" s="1373">
        <f>B8*'Livestock parameters'!B7/250</f>
        <v>0.12</v>
      </c>
      <c r="E8" s="1376">
        <f>'Livestock parameters'!V7</f>
        <v>0.7</v>
      </c>
      <c r="F8" s="1248"/>
      <c r="G8" s="1248">
        <f t="shared" si="0"/>
        <v>0</v>
      </c>
      <c r="H8" s="1248">
        <f>G8*'Livestock parameters'!AB7</f>
        <v>0</v>
      </c>
      <c r="I8" s="1249">
        <f>H8*'Livestock parameters'!Z7</f>
        <v>0</v>
      </c>
      <c r="J8" s="1368">
        <f>H8*'Livestock parameters'!AA7/100</f>
        <v>0</v>
      </c>
      <c r="K8" s="1378">
        <f>INPUTS!E26</f>
        <v>0</v>
      </c>
      <c r="L8" s="1373">
        <f>INPUTS!E26*INPUTS!D26*(0.337+(0.116*'Livestock parameters'!X7)+(0.06*'Livestock parameters'!W7))</f>
        <v>0</v>
      </c>
      <c r="M8" s="1249">
        <f>L8*'Livestock parameters'!Y7</f>
        <v>0</v>
      </c>
      <c r="N8" s="1368">
        <f>L8*'Livestock parameters'!W7/100</f>
        <v>0</v>
      </c>
    </row>
    <row r="9" spans="1:19">
      <c r="A9" s="1367" t="str">
        <f>INPUTS!C27</f>
        <v>Pigs - lactating/pregnant sows</v>
      </c>
      <c r="B9" s="1247">
        <f>INPUTS!D27</f>
        <v>1</v>
      </c>
      <c r="C9" s="1247">
        <f>INPUTS!F27</f>
        <v>0</v>
      </c>
      <c r="D9" s="1373">
        <f>B9*'Livestock parameters'!B8/250</f>
        <v>0.8</v>
      </c>
      <c r="E9" s="1376">
        <f>'Livestock parameters'!V8</f>
        <v>0.5</v>
      </c>
      <c r="F9" s="1248"/>
      <c r="G9" s="1248">
        <f t="shared" si="0"/>
        <v>0</v>
      </c>
      <c r="H9" s="1248">
        <f>G9*'Livestock parameters'!AB8</f>
        <v>0</v>
      </c>
      <c r="I9" s="1249">
        <f>H9*'Livestock parameters'!Z8</f>
        <v>0</v>
      </c>
      <c r="J9" s="1368">
        <f>H9*'Livestock parameters'!AA8/100</f>
        <v>0</v>
      </c>
      <c r="K9" s="1378">
        <f>INPUTS!E27</f>
        <v>0</v>
      </c>
      <c r="L9" s="1373">
        <f>INPUTS!E27*INPUTS!D27*(0.337+(0.116*'Livestock parameters'!X8)+(0.06*'Livestock parameters'!W8))</f>
        <v>0</v>
      </c>
      <c r="M9" s="1249">
        <f>L9*'Livestock parameters'!Y8</f>
        <v>0</v>
      </c>
      <c r="N9" s="1368">
        <f>L9*'Livestock parameters'!W8/100</f>
        <v>0</v>
      </c>
    </row>
    <row r="10" spans="1:19">
      <c r="A10" s="1367" t="str">
        <f>INPUTS!C28</f>
        <v>Calves</v>
      </c>
      <c r="B10" s="1247">
        <f>INPUTS!D28</f>
        <v>3</v>
      </c>
      <c r="C10" s="1247">
        <f>INPUTS!F28</f>
        <v>0</v>
      </c>
      <c r="D10" s="1373">
        <f>B10*'Livestock parameters'!B9/250</f>
        <v>0.84</v>
      </c>
      <c r="E10" s="1376">
        <f>'Livestock parameters'!V9</f>
        <v>0</v>
      </c>
      <c r="F10" s="1248"/>
      <c r="G10" s="1248">
        <f t="shared" si="0"/>
        <v>0</v>
      </c>
      <c r="H10" s="1248">
        <f>G10*'Livestock parameters'!AB9</f>
        <v>0</v>
      </c>
      <c r="I10" s="1249">
        <f>H10*'Livestock parameters'!Z9</f>
        <v>0</v>
      </c>
      <c r="J10" s="1368">
        <f>H10*'Livestock parameters'!AA9/100</f>
        <v>0</v>
      </c>
      <c r="K10" s="1378">
        <f>INPUTS!E28</f>
        <v>0</v>
      </c>
      <c r="L10" s="1373">
        <f>INPUTS!E28*INPUTS!D28*(0.337+(0.116*'Livestock parameters'!X9)+(0.06*'Livestock parameters'!W9))</f>
        <v>0</v>
      </c>
      <c r="M10" s="1249">
        <f>L10*'Livestock parameters'!Y9</f>
        <v>0</v>
      </c>
      <c r="N10" s="1368">
        <f>L10*'Livestock parameters'!W9/100</f>
        <v>0</v>
      </c>
    </row>
    <row r="11" spans="1:19">
      <c r="A11" s="1367" t="str">
        <f>INPUTS!C29</f>
        <v>Cows (high productive)</v>
      </c>
      <c r="B11" s="1247">
        <f>INPUTS!D29</f>
        <v>2</v>
      </c>
      <c r="C11" s="1247">
        <f>INPUTS!F29</f>
        <v>0</v>
      </c>
      <c r="D11" s="1373">
        <f>B11*'Livestock parameters'!B10/250</f>
        <v>4.8</v>
      </c>
      <c r="E11" s="1376">
        <f>'Livestock parameters'!V10</f>
        <v>1</v>
      </c>
      <c r="F11" s="1248"/>
      <c r="G11" s="1248">
        <f t="shared" ref="G11:G16" si="1">B11*C11</f>
        <v>0</v>
      </c>
      <c r="H11" s="1248">
        <f>G11*'Livestock parameters'!AB10</f>
        <v>0</v>
      </c>
      <c r="I11" s="1249">
        <f>H11*'Livestock parameters'!Z10</f>
        <v>0</v>
      </c>
      <c r="J11" s="1368">
        <f>H11*'Livestock parameters'!AA10/100</f>
        <v>0</v>
      </c>
      <c r="K11" s="1378">
        <f>INPUTS!E29</f>
        <v>4000</v>
      </c>
      <c r="L11" s="1373">
        <f>INPUTS!E29*INPUTS!D29*(0.337+(0.116*'Livestock parameters'!X10)+(0.06*'Livestock parameters'!W10))</f>
        <v>7944.0000000000009</v>
      </c>
      <c r="M11" s="1249">
        <f>L11*'Livestock parameters'!Y10</f>
        <v>7705680.0000000009</v>
      </c>
      <c r="N11" s="1368">
        <f>L11*'Livestock parameters'!W10/100</f>
        <v>254.20800000000003</v>
      </c>
    </row>
    <row r="12" spans="1:19">
      <c r="A12" s="1367">
        <f>INPUTS!C30</f>
        <v>0</v>
      </c>
      <c r="B12" s="1247">
        <f>INPUTS!D30</f>
        <v>0</v>
      </c>
      <c r="C12" s="1247">
        <f>INPUTS!F30</f>
        <v>0</v>
      </c>
      <c r="D12" s="1373">
        <f>B12*'Livestock parameters'!B11/250</f>
        <v>0</v>
      </c>
      <c r="E12" s="1376">
        <f>'Livestock parameters'!V11</f>
        <v>0</v>
      </c>
      <c r="F12" s="1248"/>
      <c r="G12" s="1248">
        <f t="shared" si="1"/>
        <v>0</v>
      </c>
      <c r="H12" s="1248">
        <f>G12*'Livestock parameters'!AB11</f>
        <v>0</v>
      </c>
      <c r="I12" s="1249">
        <f>H12*'Livestock parameters'!Z11</f>
        <v>0</v>
      </c>
      <c r="J12" s="1368">
        <f>H12*'Livestock parameters'!AA11/100</f>
        <v>0</v>
      </c>
      <c r="K12" s="1378">
        <f>INPUTS!E30</f>
        <v>0</v>
      </c>
      <c r="L12" s="1373">
        <f>INPUTS!E30*INPUTS!D30*(0.337+(0.116*'Livestock parameters'!X11)+(0.06*'Livestock parameters'!W11))</f>
        <v>0</v>
      </c>
      <c r="M12" s="1249">
        <f>L12*'Livestock parameters'!Y11</f>
        <v>0</v>
      </c>
      <c r="N12" s="1368">
        <f>L12*'Livestock parameters'!W11/100</f>
        <v>0</v>
      </c>
    </row>
    <row r="13" spans="1:19">
      <c r="A13" s="1367">
        <f>INPUTS!C31</f>
        <v>0</v>
      </c>
      <c r="B13" s="1247">
        <f>INPUTS!D31</f>
        <v>0</v>
      </c>
      <c r="C13" s="1247">
        <f>INPUTS!F31</f>
        <v>0</v>
      </c>
      <c r="D13" s="1373">
        <f>B13*'Livestock parameters'!B12/250</f>
        <v>0</v>
      </c>
      <c r="E13" s="1376">
        <f>'Livestock parameters'!V12</f>
        <v>0</v>
      </c>
      <c r="F13" s="1248"/>
      <c r="G13" s="1248">
        <f t="shared" si="1"/>
        <v>0</v>
      </c>
      <c r="H13" s="1248">
        <f>G13*'Livestock parameters'!AB12</f>
        <v>0</v>
      </c>
      <c r="I13" s="1249">
        <f>H13*'Livestock parameters'!Z12</f>
        <v>0</v>
      </c>
      <c r="J13" s="1368">
        <f>H13*'Livestock parameters'!AA12/100</f>
        <v>0</v>
      </c>
      <c r="K13" s="1378">
        <f>INPUTS!E31</f>
        <v>0</v>
      </c>
      <c r="L13" s="1373">
        <f>INPUTS!E31*INPUTS!D31*(0.337+(0.116*'Livestock parameters'!X12)+(0.06*'Livestock parameters'!W12))</f>
        <v>0</v>
      </c>
      <c r="M13" s="1249">
        <f>L13*'Livestock parameters'!Y12</f>
        <v>0</v>
      </c>
      <c r="N13" s="1368">
        <f>L13*'Livestock parameters'!W12/100</f>
        <v>0</v>
      </c>
    </row>
    <row r="14" spans="1:19">
      <c r="A14" s="1367">
        <f>INPUTS!C32</f>
        <v>0</v>
      </c>
      <c r="B14" s="1247">
        <f>INPUTS!D32</f>
        <v>0</v>
      </c>
      <c r="C14" s="1247">
        <f>INPUTS!F32</f>
        <v>0</v>
      </c>
      <c r="D14" s="1373">
        <f>B14*'Livestock parameters'!B13/250</f>
        <v>0</v>
      </c>
      <c r="E14" s="1376">
        <f>'Livestock parameters'!V13</f>
        <v>0</v>
      </c>
      <c r="F14" s="1248"/>
      <c r="G14" s="1248">
        <f t="shared" si="1"/>
        <v>0</v>
      </c>
      <c r="H14" s="1248">
        <f>G14*'Livestock parameters'!AB13</f>
        <v>0</v>
      </c>
      <c r="I14" s="1249">
        <f>H14*'Livestock parameters'!Z13</f>
        <v>0</v>
      </c>
      <c r="J14" s="1368">
        <f>H14*'Livestock parameters'!AA13/100</f>
        <v>0</v>
      </c>
      <c r="K14" s="1378">
        <f>INPUTS!E32</f>
        <v>0</v>
      </c>
      <c r="L14" s="1373">
        <f>INPUTS!E32*INPUTS!D32*(0.337+(0.116*'Livestock parameters'!X13)+(0.06*'Livestock parameters'!W13))</f>
        <v>0</v>
      </c>
      <c r="M14" s="1249">
        <f>L14*'Livestock parameters'!Y13</f>
        <v>0</v>
      </c>
      <c r="N14" s="1368">
        <f>L14*'Livestock parameters'!W13/100</f>
        <v>0</v>
      </c>
    </row>
    <row r="15" spans="1:19">
      <c r="A15" s="1367">
        <f>INPUTS!C33</f>
        <v>0</v>
      </c>
      <c r="B15" s="1247">
        <f>INPUTS!D33</f>
        <v>0</v>
      </c>
      <c r="C15" s="1247">
        <f>INPUTS!F33</f>
        <v>0</v>
      </c>
      <c r="D15" s="1373">
        <f>B15*'Livestock parameters'!B14/250</f>
        <v>0</v>
      </c>
      <c r="E15" s="1376">
        <f>'Livestock parameters'!V14</f>
        <v>0</v>
      </c>
      <c r="F15" s="1248"/>
      <c r="G15" s="1248">
        <f t="shared" si="1"/>
        <v>0</v>
      </c>
      <c r="H15" s="1248">
        <f>G15*'Livestock parameters'!AB14</f>
        <v>0</v>
      </c>
      <c r="I15" s="1249">
        <f>H15*'Livestock parameters'!Z14</f>
        <v>0</v>
      </c>
      <c r="J15" s="1368">
        <f>H15*'Livestock parameters'!AA14/100</f>
        <v>0</v>
      </c>
      <c r="K15" s="1378">
        <f>INPUTS!E33</f>
        <v>0</v>
      </c>
      <c r="L15" s="1373">
        <f>INPUTS!E33*INPUTS!D33*(0.337+(0.116*'Livestock parameters'!X14)+(0.06*'Livestock parameters'!W14))</f>
        <v>0</v>
      </c>
      <c r="M15" s="1249">
        <f>L15*'Livestock parameters'!Y14</f>
        <v>0</v>
      </c>
      <c r="N15" s="1368">
        <f>L15*'Livestock parameters'!W14/100</f>
        <v>0</v>
      </c>
    </row>
    <row r="16" spans="1:19">
      <c r="A16" s="1367">
        <f>INPUTS!C34</f>
        <v>0</v>
      </c>
      <c r="B16" s="1247">
        <f>INPUTS!D34</f>
        <v>0</v>
      </c>
      <c r="C16" s="1247">
        <f>INPUTS!F34</f>
        <v>0</v>
      </c>
      <c r="D16" s="1373">
        <f>B16*'Livestock parameters'!B15/250</f>
        <v>0</v>
      </c>
      <c r="E16" s="1376">
        <f>'Livestock parameters'!V15</f>
        <v>0</v>
      </c>
      <c r="F16" s="1248"/>
      <c r="G16" s="1248">
        <f t="shared" si="1"/>
        <v>0</v>
      </c>
      <c r="H16" s="1248">
        <f>G16*'Livestock parameters'!AB15</f>
        <v>0</v>
      </c>
      <c r="I16" s="1249">
        <f>H16*'Livestock parameters'!Z15</f>
        <v>0</v>
      </c>
      <c r="J16" s="1368">
        <f>H16*'Livestock parameters'!AA15/100</f>
        <v>0</v>
      </c>
      <c r="K16" s="1378">
        <f>INPUTS!E34</f>
        <v>0</v>
      </c>
      <c r="L16" s="1373">
        <f>INPUTS!E34*INPUTS!D34*(0.337+(0.116*'Livestock parameters'!X15)+(0.06*'Livestock parameters'!W15))</f>
        <v>0</v>
      </c>
      <c r="M16" s="1249">
        <f>L16*'Livestock parameters'!Y15</f>
        <v>0</v>
      </c>
      <c r="N16" s="1368">
        <f>L16*'Livestock parameters'!W15/100</f>
        <v>0</v>
      </c>
    </row>
    <row r="17" spans="1:14" ht="18" customHeight="1" thickBot="1">
      <c r="A17" s="1369"/>
      <c r="B17" s="1370"/>
      <c r="C17" s="1370"/>
      <c r="D17" s="1374"/>
      <c r="E17" s="1377"/>
      <c r="F17" s="1370"/>
      <c r="G17" s="1370">
        <f>SUM(G3:G16)</f>
        <v>111</v>
      </c>
      <c r="H17" s="1370">
        <f>SUM(H3:H16)</f>
        <v>55.5</v>
      </c>
      <c r="I17" s="1371">
        <f>SUM(I3:I16)</f>
        <v>122100</v>
      </c>
      <c r="J17" s="1374">
        <f>SUM(J3:J16)</f>
        <v>14.43</v>
      </c>
      <c r="K17" s="1377"/>
      <c r="L17" s="1374">
        <f>SUM(L3:L16)</f>
        <v>12013.2</v>
      </c>
      <c r="M17" s="1371">
        <f>SUM(M3:M16)</f>
        <v>11652804.000000002</v>
      </c>
      <c r="N17" s="1372">
        <f>SUM(N3:N16)</f>
        <v>392.35590000000002</v>
      </c>
    </row>
    <row r="18" spans="1:14" ht="18" customHeight="1">
      <c r="A18" s="283" t="s">
        <v>1016</v>
      </c>
    </row>
    <row r="19" spans="1:14" ht="105">
      <c r="A19" s="284" t="s">
        <v>1017</v>
      </c>
    </row>
    <row r="20" spans="1:14" ht="30">
      <c r="A20" s="284" t="s">
        <v>1012</v>
      </c>
    </row>
    <row r="21" spans="1:14">
      <c r="A21" s="989" t="s">
        <v>1575</v>
      </c>
    </row>
    <row r="22" spans="1:14">
      <c r="A22" s="285" t="s">
        <v>1013</v>
      </c>
    </row>
    <row r="23" spans="1:14" ht="120">
      <c r="A23" s="285" t="s">
        <v>1014</v>
      </c>
    </row>
    <row r="24" spans="1:14" ht="30">
      <c r="A24" s="285" t="s">
        <v>1015</v>
      </c>
    </row>
    <row r="25" spans="1:14" ht="18" customHeight="1">
      <c r="A25" s="285"/>
    </row>
    <row r="26" spans="1:14" ht="18" customHeight="1">
      <c r="A26" s="1011" t="s">
        <v>1581</v>
      </c>
      <c r="B26" s="1003"/>
      <c r="C26" s="1003"/>
    </row>
    <row r="27" spans="1:14" ht="18" customHeight="1">
      <c r="A27" s="1004" t="s">
        <v>1582</v>
      </c>
      <c r="B27" s="1005"/>
      <c r="C27" s="1005"/>
    </row>
    <row r="28" spans="1:14">
      <c r="A28" s="995" t="s">
        <v>1579</v>
      </c>
      <c r="B28" s="282">
        <f>I17</f>
        <v>122100</v>
      </c>
      <c r="K28" s="744"/>
    </row>
    <row r="29" spans="1:14">
      <c r="A29" s="842" t="s">
        <v>1441</v>
      </c>
      <c r="B29" s="993">
        <f>H17</f>
        <v>55.5</v>
      </c>
      <c r="K29" s="734"/>
    </row>
    <row r="30" spans="1:14">
      <c r="A30" s="995" t="s">
        <v>1321</v>
      </c>
      <c r="B30" s="282">
        <f>J17</f>
        <v>14.43</v>
      </c>
    </row>
    <row r="31" spans="1:14" ht="15.75">
      <c r="A31"/>
      <c r="B31"/>
      <c r="C31"/>
      <c r="D31"/>
      <c r="E31"/>
      <c r="F31"/>
      <c r="G31"/>
      <c r="H31"/>
      <c r="I31"/>
      <c r="J31"/>
      <c r="K31"/>
      <c r="L31"/>
    </row>
    <row r="32" spans="1:14">
      <c r="A32" s="1006" t="s">
        <v>1167</v>
      </c>
      <c r="B32" s="1518"/>
      <c r="C32" s="1518"/>
      <c r="D32" s="1007"/>
      <c r="E32" s="1008"/>
      <c r="F32" s="1008"/>
      <c r="G32" s="1008"/>
      <c r="H32" s="1008"/>
      <c r="I32" s="1008"/>
      <c r="J32" s="1008"/>
      <c r="K32" s="1008"/>
    </row>
    <row r="33" spans="1:12" ht="15.75">
      <c r="A33" s="382" t="s">
        <v>1025</v>
      </c>
      <c r="B33" s="1002">
        <f>L17</f>
        <v>12013.2</v>
      </c>
      <c r="C33"/>
      <c r="D33"/>
      <c r="E33"/>
      <c r="F33"/>
      <c r="G33"/>
      <c r="H33"/>
      <c r="I33"/>
      <c r="J33"/>
      <c r="K33"/>
      <c r="L33"/>
    </row>
    <row r="34" spans="1:12" ht="15.75">
      <c r="A34"/>
      <c r="B34"/>
      <c r="C34"/>
      <c r="D34"/>
      <c r="E34"/>
      <c r="F34"/>
      <c r="G34"/>
      <c r="H34"/>
      <c r="I34"/>
      <c r="J34"/>
      <c r="K34"/>
      <c r="L34"/>
    </row>
    <row r="35" spans="1:12" ht="15.75">
      <c r="A35" s="995" t="s">
        <v>1580</v>
      </c>
      <c r="B35">
        <f>M17</f>
        <v>11652804.000000002</v>
      </c>
      <c r="C35"/>
      <c r="D35"/>
      <c r="E35"/>
      <c r="F35"/>
      <c r="G35"/>
      <c r="H35"/>
      <c r="I35"/>
      <c r="J35"/>
      <c r="K35"/>
      <c r="L35"/>
    </row>
    <row r="36" spans="1:12" ht="15.75">
      <c r="A36" t="s">
        <v>1321</v>
      </c>
      <c r="B36">
        <f>N17</f>
        <v>392.35590000000002</v>
      </c>
      <c r="C36"/>
      <c r="D36"/>
      <c r="E36"/>
      <c r="F36"/>
      <c r="G36"/>
      <c r="H36"/>
      <c r="I36"/>
      <c r="J36"/>
      <c r="K36"/>
      <c r="L36"/>
    </row>
    <row r="37" spans="1:12" ht="15.75">
      <c r="A37"/>
      <c r="B37"/>
      <c r="C37"/>
      <c r="D37"/>
      <c r="E37"/>
      <c r="F37"/>
      <c r="G37"/>
      <c r="H37"/>
      <c r="I37"/>
      <c r="J37"/>
      <c r="K37"/>
      <c r="L37"/>
    </row>
    <row r="38" spans="1:12" ht="15.75">
      <c r="A38" s="1009" t="s">
        <v>1320</v>
      </c>
      <c r="B38" s="1010">
        <f>J17+N17</f>
        <v>406.78590000000003</v>
      </c>
      <c r="C38"/>
      <c r="D38"/>
      <c r="E38"/>
      <c r="F38"/>
      <c r="G38"/>
      <c r="H38"/>
      <c r="I38"/>
      <c r="J38"/>
      <c r="K38"/>
      <c r="L38"/>
    </row>
    <row r="39" spans="1:12" ht="15.75">
      <c r="A39"/>
      <c r="B39"/>
      <c r="C39"/>
      <c r="D39"/>
      <c r="E39"/>
      <c r="F39"/>
      <c r="G39"/>
      <c r="H39"/>
      <c r="I39"/>
      <c r="J39"/>
      <c r="K39"/>
      <c r="L39"/>
    </row>
    <row r="40" spans="1:12" ht="15.75">
      <c r="A40"/>
      <c r="B40"/>
      <c r="C40"/>
      <c r="D40"/>
      <c r="E40"/>
      <c r="F40"/>
      <c r="G40"/>
      <c r="H40"/>
      <c r="I40"/>
      <c r="J40"/>
      <c r="K40"/>
      <c r="L40"/>
    </row>
    <row r="41" spans="1:12">
      <c r="A41" s="722"/>
      <c r="B41" s="993"/>
      <c r="C41" s="993"/>
      <c r="E41" s="994"/>
      <c r="F41" s="994"/>
      <c r="K41" s="993"/>
    </row>
    <row r="42" spans="1:12">
      <c r="A42" s="722"/>
      <c r="B42" s="993"/>
      <c r="C42" s="993"/>
      <c r="E42" s="994"/>
      <c r="F42" s="994"/>
      <c r="K42" s="993"/>
    </row>
  </sheetData>
  <mergeCells count="1">
    <mergeCell ref="B32:C32"/>
  </mergeCells>
  <pageMargins left="0.7" right="0.7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7">
    <tabColor rgb="FF00B050"/>
  </sheetPr>
  <dimension ref="A1:N97"/>
  <sheetViews>
    <sheetView workbookViewId="0">
      <selection activeCell="E34" sqref="E34"/>
    </sheetView>
  </sheetViews>
  <sheetFormatPr defaultRowHeight="15.75"/>
  <cols>
    <col min="1" max="1" width="53" bestFit="1" customWidth="1"/>
    <col min="2" max="2" width="25.75" bestFit="1" customWidth="1"/>
    <col min="3" max="3" width="36.5" customWidth="1"/>
    <col min="4" max="4" width="28.125" customWidth="1"/>
    <col min="5" max="5" width="31.75" customWidth="1"/>
    <col min="6" max="6" width="29.125" customWidth="1"/>
    <col min="7" max="7" width="23.25" customWidth="1"/>
    <col min="8" max="8" width="18.75" customWidth="1"/>
    <col min="9" max="9" width="26.5" customWidth="1"/>
    <col min="10" max="10" width="22.625" customWidth="1"/>
    <col min="11" max="11" width="25.625" customWidth="1"/>
    <col min="12" max="12" width="19" customWidth="1"/>
    <col min="13" max="13" width="23.5" customWidth="1"/>
    <col min="14" max="14" width="20.875" customWidth="1"/>
  </cols>
  <sheetData>
    <row r="1" spans="1:13" s="509" customFormat="1" ht="29.25" customHeight="1">
      <c r="A1" s="510" t="s">
        <v>1187</v>
      </c>
      <c r="B1" s="510"/>
    </row>
    <row r="3" spans="1:13" s="351" customFormat="1">
      <c r="A3" s="42" t="s">
        <v>1263</v>
      </c>
    </row>
    <row r="4" spans="1:13">
      <c r="A4" t="s">
        <v>1209</v>
      </c>
    </row>
    <row r="5" spans="1:13">
      <c r="A5" s="661" t="s">
        <v>1240</v>
      </c>
      <c r="I5" s="652"/>
    </row>
    <row r="7" spans="1:13" ht="31.5">
      <c r="A7" s="17" t="s">
        <v>1210</v>
      </c>
      <c r="B7" s="17" t="s">
        <v>1206</v>
      </c>
      <c r="C7" s="17" t="s">
        <v>1315</v>
      </c>
      <c r="D7" s="608" t="s">
        <v>1314</v>
      </c>
      <c r="E7" s="17" t="s">
        <v>1211</v>
      </c>
      <c r="F7" s="610" t="s">
        <v>1212</v>
      </c>
      <c r="I7" s="10"/>
      <c r="J7" s="10"/>
      <c r="K7" s="10"/>
      <c r="L7" s="10"/>
      <c r="M7" s="10"/>
    </row>
    <row r="8" spans="1:13">
      <c r="A8" s="13" t="str">
        <f>Economics_Parameters!B4</f>
        <v>Cattle Manure</v>
      </c>
      <c r="B8" s="13">
        <f>Economics_Parameters!C4</f>
        <v>2.5000000000000001E-3</v>
      </c>
      <c r="C8" s="605">
        <f>Feed!E161+Feed!E162+Feed!E163+Feed!E164+Feed!E165+Feed!E166+Feed!E167</f>
        <v>4883.3316360268918</v>
      </c>
      <c r="D8" s="609">
        <f>SUM(Feed!P161:P167)</f>
        <v>3474.0661576202961</v>
      </c>
      <c r="E8" s="636">
        <f>C8*B8</f>
        <v>12.208329090067229</v>
      </c>
      <c r="F8" s="635">
        <f>D8*B8</f>
        <v>8.6851653940507401</v>
      </c>
      <c r="J8" s="653"/>
      <c r="K8" s="653"/>
      <c r="L8" s="613"/>
      <c r="M8" s="613"/>
    </row>
    <row r="9" spans="1:13">
      <c r="A9" s="13" t="str">
        <f>Economics_Parameters!B5</f>
        <v>Sheep Manure</v>
      </c>
      <c r="B9" s="13">
        <f>Economics_Parameters!C5</f>
        <v>0</v>
      </c>
      <c r="C9" s="605">
        <f>Feed!E168</f>
        <v>650.62274997992415</v>
      </c>
      <c r="D9" s="609">
        <f>Feed!P168</f>
        <v>447.95376336117778</v>
      </c>
      <c r="E9" s="607">
        <f t="shared" ref="E9:E15" si="0">C9*B9</f>
        <v>0</v>
      </c>
      <c r="F9" s="611">
        <f t="shared" ref="F9:F10" si="1">D9*B9</f>
        <v>0</v>
      </c>
      <c r="J9" s="592"/>
      <c r="L9" s="613"/>
    </row>
    <row r="10" spans="1:13">
      <c r="A10" s="13" t="str">
        <f>Economics_Parameters!B6</f>
        <v>Goat Manure</v>
      </c>
      <c r="B10" s="13">
        <f>Economics_Parameters!C6</f>
        <v>0</v>
      </c>
      <c r="C10" s="605">
        <f>Feed!E169</f>
        <v>2512.6441039527931</v>
      </c>
      <c r="D10" s="609">
        <f>Feed!P169</f>
        <v>1729.9554655714981</v>
      </c>
      <c r="E10" s="607">
        <f t="shared" si="0"/>
        <v>0</v>
      </c>
      <c r="F10" s="611">
        <f t="shared" si="1"/>
        <v>0</v>
      </c>
      <c r="J10" s="592"/>
      <c r="L10" s="613"/>
    </row>
    <row r="11" spans="1:13">
      <c r="A11" s="13" t="str">
        <f>Economics_Parameters!B7</f>
        <v>Beef</v>
      </c>
      <c r="B11" s="13">
        <f>Economics_Parameters!C7</f>
        <v>3</v>
      </c>
      <c r="C11" s="606">
        <f>'Meat &amp; Milk '!B29</f>
        <v>55.5</v>
      </c>
      <c r="E11" s="607">
        <f>C11*B11</f>
        <v>166.5</v>
      </c>
    </row>
    <row r="12" spans="1:13">
      <c r="A12" s="13" t="str">
        <f>Economics_Parameters!B8</f>
        <v>Goat Meat</v>
      </c>
      <c r="B12" s="13">
        <f>Economics_Parameters!C8</f>
        <v>0</v>
      </c>
      <c r="C12" s="606">
        <f>'Meat &amp; Milk '!G3</f>
        <v>0</v>
      </c>
      <c r="E12" s="607">
        <f t="shared" si="0"/>
        <v>0</v>
      </c>
    </row>
    <row r="13" spans="1:13">
      <c r="A13" s="13" t="str">
        <f>Economics_Parameters!B9</f>
        <v xml:space="preserve">Lamb/Mutton </v>
      </c>
      <c r="B13" s="13">
        <f>Economics_Parameters!C9</f>
        <v>0</v>
      </c>
      <c r="C13" s="606">
        <v>0</v>
      </c>
      <c r="E13" s="607">
        <f t="shared" si="0"/>
        <v>0</v>
      </c>
    </row>
    <row r="14" spans="1:13">
      <c r="A14" s="13" t="str">
        <f>Economics_Parameters!B10</f>
        <v>Cow Milk</v>
      </c>
      <c r="B14" s="13">
        <f>Economics_Parameters!C10</f>
        <v>0.4</v>
      </c>
      <c r="C14" s="606">
        <f>'Meat &amp; Milk '!B33</f>
        <v>12013.2</v>
      </c>
      <c r="E14" s="607">
        <f t="shared" si="0"/>
        <v>4805.2800000000007</v>
      </c>
      <c r="J14" s="603"/>
      <c r="K14" s="603"/>
      <c r="L14" s="617"/>
      <c r="M14" s="617"/>
    </row>
    <row r="15" spans="1:13">
      <c r="A15" s="13" t="str">
        <f>Economics_Parameters!B11</f>
        <v>Goat/sheep Milk</v>
      </c>
      <c r="B15" s="13">
        <f>Economics_Parameters!C11</f>
        <v>0</v>
      </c>
      <c r="C15" s="606"/>
      <c r="E15" s="607">
        <f t="shared" si="0"/>
        <v>0</v>
      </c>
      <c r="J15" s="603"/>
      <c r="K15" s="603"/>
      <c r="L15" s="617"/>
      <c r="M15" s="617"/>
    </row>
    <row r="16" spans="1:13">
      <c r="J16" s="603"/>
      <c r="K16" s="603"/>
      <c r="L16" s="617"/>
      <c r="M16" s="617"/>
    </row>
    <row r="17" spans="1:14">
      <c r="J17" s="603"/>
      <c r="K17" s="603"/>
      <c r="L17" s="617"/>
      <c r="M17" s="617"/>
    </row>
    <row r="18" spans="1:14">
      <c r="A18" s="160" t="s">
        <v>1213</v>
      </c>
      <c r="B18" s="160"/>
      <c r="C18" s="160"/>
      <c r="D18" s="160"/>
      <c r="E18" s="604">
        <f>SUM(E8:E15)</f>
        <v>4983.988329090068</v>
      </c>
      <c r="F18" s="604">
        <f>SUM(F8:F10)+SUM(E11:E15)</f>
        <v>4980.4651653940518</v>
      </c>
      <c r="J18" s="603"/>
      <c r="K18" s="603"/>
      <c r="L18" s="617"/>
      <c r="M18" s="617"/>
    </row>
    <row r="19" spans="1:14" s="37" customFormat="1">
      <c r="E19" s="1071" t="e">
        <f ca="1">E18-INDIRECT(CONCATENATE("'[","Baseline.xlsm","]Economics_Payback '","!E18"))</f>
        <v>#REF!</v>
      </c>
      <c r="F19" s="672"/>
      <c r="J19" s="650"/>
      <c r="K19" s="650"/>
      <c r="L19" s="665"/>
      <c r="M19" s="665"/>
    </row>
    <row r="20" spans="1:14">
      <c r="J20" s="603"/>
      <c r="K20" s="603"/>
      <c r="L20" s="617"/>
      <c r="M20" s="617"/>
    </row>
    <row r="21" spans="1:14" s="351" customFormat="1">
      <c r="A21" s="351" t="s">
        <v>1264</v>
      </c>
      <c r="M21" s="660"/>
    </row>
    <row r="23" spans="1:14">
      <c r="A23" s="615" t="s">
        <v>1660</v>
      </c>
      <c r="B23" s="615" t="s">
        <v>1489</v>
      </c>
      <c r="C23" s="615" t="s">
        <v>1490</v>
      </c>
      <c r="D23" s="615"/>
      <c r="E23" s="615"/>
      <c r="F23" s="160" t="s">
        <v>1491</v>
      </c>
    </row>
    <row r="24" spans="1:14">
      <c r="A24" s="72" t="str">
        <f>INPUTS!C21</f>
        <v>Cows (local)</v>
      </c>
      <c r="B24" s="1067" t="e">
        <f ca="1">INPUTS!C144*(INPUTS!D144+INPUTS!F144*Economics_Parameters!$C$12)</f>
        <v>#REF!</v>
      </c>
      <c r="C24" s="1067" t="e">
        <f ca="1">INPUTS!C126*(INPUTS!D126+INPUTS!E126*Economics_Parameters!$C$12)+INPUTS!C144*(INPUTS!E144+INPUTS!G144*Economics_Parameters!$C$12)</f>
        <v>#REF!</v>
      </c>
      <c r="D24" s="618"/>
      <c r="E24" s="618"/>
      <c r="F24" s="618" t="e">
        <f ca="1">SUM(B24+C24+E24)</f>
        <v>#REF!</v>
      </c>
      <c r="J24" s="39"/>
      <c r="K24" s="651"/>
      <c r="L24" s="603"/>
      <c r="M24" s="603"/>
      <c r="N24" s="613"/>
    </row>
    <row r="25" spans="1:14">
      <c r="A25" s="72" t="str">
        <f>INPUTS!C22</f>
        <v>Cows (improved)</v>
      </c>
      <c r="B25" s="1067" t="e">
        <f ca="1">INPUTS!C145*(INPUTS!D145+INPUTS!F145*Economics_Parameters!$C$12)</f>
        <v>#REF!</v>
      </c>
      <c r="C25" s="1067" t="e">
        <f ca="1">INPUTS!C127*(INPUTS!D127+INPUTS!E127*Economics_Parameters!$C$12)+INPUTS!C145*(INPUTS!E145+INPUTS!G145*Economics_Parameters!$C$12)</f>
        <v>#REF!</v>
      </c>
      <c r="D25" s="618"/>
      <c r="E25" s="618"/>
      <c r="F25" s="618" t="e">
        <f t="shared" ref="F25:F37" ca="1" si="2">SUM(B25+C25+E25)</f>
        <v>#REF!</v>
      </c>
      <c r="J25" s="39"/>
      <c r="K25" s="651"/>
      <c r="L25" s="603"/>
      <c r="M25" s="603"/>
      <c r="N25" s="613"/>
    </row>
    <row r="26" spans="1:14">
      <c r="A26" s="72" t="str">
        <f>INPUTS!C23</f>
        <v>Adult cattle - male</v>
      </c>
      <c r="B26" s="1067" t="e">
        <f ca="1">INPUTS!C146*(INPUTS!D146+INPUTS!F146*Economics_Parameters!$C$12)</f>
        <v>#REF!</v>
      </c>
      <c r="C26" s="1067" t="e">
        <f ca="1">INPUTS!C128*(INPUTS!D128+INPUTS!E128*Economics_Parameters!$C$12)+INPUTS!C146*(INPUTS!E146+INPUTS!G146*Economics_Parameters!$C$12)</f>
        <v>#REF!</v>
      </c>
      <c r="D26" s="618"/>
      <c r="E26" s="618"/>
      <c r="F26" s="618" t="e">
        <f t="shared" ca="1" si="2"/>
        <v>#REF!</v>
      </c>
      <c r="J26" s="39"/>
      <c r="K26" s="651"/>
      <c r="L26" s="603"/>
      <c r="M26" s="603"/>
      <c r="N26" s="613"/>
    </row>
    <row r="27" spans="1:14">
      <c r="A27" s="72" t="str">
        <f>INPUTS!C24</f>
        <v>Calves</v>
      </c>
      <c r="B27" s="1067" t="e">
        <f ca="1">INPUTS!C147*(INPUTS!D147+INPUTS!F147*Economics_Parameters!$C$12)</f>
        <v>#REF!</v>
      </c>
      <c r="C27" s="1067" t="e">
        <f ca="1">INPUTS!C129*(INPUTS!D129+INPUTS!E129*Economics_Parameters!$C$12)+INPUTS!C147*(INPUTS!E147+INPUTS!G147*Economics_Parameters!$C$12)</f>
        <v>#REF!</v>
      </c>
      <c r="D27" s="618"/>
      <c r="E27" s="618"/>
      <c r="F27" s="618" t="e">
        <f t="shared" ca="1" si="2"/>
        <v>#REF!</v>
      </c>
      <c r="J27" s="39"/>
      <c r="K27" s="651"/>
      <c r="L27" s="603"/>
      <c r="M27" s="603"/>
      <c r="N27" s="613"/>
    </row>
    <row r="28" spans="1:14">
      <c r="A28" s="72" t="str">
        <f>INPUTS!C25</f>
        <v>Buffalo (dairy)</v>
      </c>
      <c r="B28" s="1067" t="e">
        <f ca="1">INPUTS!C148*(INPUTS!D148+INPUTS!F148*Economics_Parameters!$C$12)</f>
        <v>#REF!</v>
      </c>
      <c r="C28" s="1067" t="e">
        <f ca="1">INPUTS!C130*(INPUTS!D130+INPUTS!E130*Economics_Parameters!$C$12)+INPUTS!C148*(INPUTS!E148+INPUTS!G148*Economics_Parameters!$C$12)</f>
        <v>#REF!</v>
      </c>
      <c r="D28" s="618"/>
      <c r="E28" s="618"/>
      <c r="F28" s="618" t="e">
        <f t="shared" ca="1" si="2"/>
        <v>#REF!</v>
      </c>
      <c r="J28" s="39"/>
      <c r="K28" s="651"/>
      <c r="L28" s="603"/>
      <c r="M28" s="603"/>
      <c r="N28" s="613"/>
    </row>
    <row r="29" spans="1:14">
      <c r="A29" s="72" t="str">
        <f>INPUTS!C26</f>
        <v>Sheep/Goats - Ewes/Does</v>
      </c>
      <c r="B29" s="1067" t="e">
        <f ca="1">INPUTS!C149*(INPUTS!D149+INPUTS!F149*Economics_Parameters!$C$12)</f>
        <v>#REF!</v>
      </c>
      <c r="C29" s="1067" t="e">
        <f ca="1">INPUTS!C131*(INPUTS!D131+INPUTS!E131*Economics_Parameters!$C$12)+INPUTS!C149*(INPUTS!E149+INPUTS!G149*Economics_Parameters!$C$12)</f>
        <v>#REF!</v>
      </c>
      <c r="D29" s="618"/>
      <c r="E29" s="618"/>
      <c r="F29" s="618" t="e">
        <f t="shared" ca="1" si="2"/>
        <v>#REF!</v>
      </c>
      <c r="J29" s="39"/>
      <c r="K29" s="651"/>
      <c r="L29" s="603"/>
      <c r="M29" s="603"/>
      <c r="N29" s="613"/>
    </row>
    <row r="30" spans="1:14">
      <c r="A30" s="72" t="str">
        <f>INPUTS!C27</f>
        <v>Pigs - lactating/pregnant sows</v>
      </c>
      <c r="B30" s="1067" t="e">
        <f ca="1">INPUTS!C150*(INPUTS!D150+INPUTS!F150*Economics_Parameters!$C$12)</f>
        <v>#REF!</v>
      </c>
      <c r="C30" s="1067" t="e">
        <f ca="1">INPUTS!C132*(INPUTS!D132+INPUTS!E132*Economics_Parameters!$C$12)+INPUTS!C150*(INPUTS!E150+INPUTS!G150*Economics_Parameters!$C$12)</f>
        <v>#REF!</v>
      </c>
      <c r="D30" s="618"/>
      <c r="E30" s="618"/>
      <c r="F30" s="618" t="e">
        <f t="shared" ca="1" si="2"/>
        <v>#REF!</v>
      </c>
      <c r="J30" s="39"/>
      <c r="K30" s="651"/>
      <c r="L30" s="603"/>
      <c r="M30" s="603"/>
      <c r="N30" s="613"/>
    </row>
    <row r="31" spans="1:14">
      <c r="A31" s="72" t="str">
        <f>INPUTS!C28</f>
        <v>Calves</v>
      </c>
      <c r="B31" s="1067" t="e">
        <f ca="1">INPUTS!C153*(INPUTS!D153+INPUTS!F153*Economics_Parameters!$C$12)</f>
        <v>#REF!</v>
      </c>
      <c r="C31" s="1067" t="e">
        <f ca="1">INPUTS!C135*(INPUTS!D135+INPUTS!E135*Economics_Parameters!$C$12)+INPUTS!C153*(INPUTS!E153+INPUTS!G153*Economics_Parameters!$C$12)</f>
        <v>#REF!</v>
      </c>
      <c r="D31" s="618"/>
      <c r="E31" s="618"/>
      <c r="F31" s="618" t="e">
        <f t="shared" ca="1" si="2"/>
        <v>#REF!</v>
      </c>
      <c r="J31" s="39"/>
      <c r="K31" s="651"/>
      <c r="L31" s="603"/>
      <c r="M31" s="603"/>
      <c r="N31" s="613"/>
    </row>
    <row r="32" spans="1:14">
      <c r="A32" s="72" t="str">
        <f>INPUTS!C29</f>
        <v>Cows (high productive)</v>
      </c>
      <c r="B32" s="1067" t="e">
        <f ca="1">INPUTS!C154*(INPUTS!D154+INPUTS!F154*Economics_Parameters!$C$12)</f>
        <v>#REF!</v>
      </c>
      <c r="C32" s="1067" t="e">
        <f ca="1">INPUTS!C136*(INPUTS!D136+INPUTS!E136*Economics_Parameters!$C$12)+INPUTS!C154*(INPUTS!E154+INPUTS!G154*Economics_Parameters!$C$12)</f>
        <v>#REF!</v>
      </c>
      <c r="D32" s="618"/>
      <c r="E32" s="618"/>
      <c r="F32" s="618" t="e">
        <f t="shared" ca="1" si="2"/>
        <v>#REF!</v>
      </c>
      <c r="J32" s="39"/>
      <c r="K32" s="651"/>
      <c r="L32" s="603"/>
      <c r="M32" s="603"/>
      <c r="N32" s="613"/>
    </row>
    <row r="33" spans="1:14" s="1237" customFormat="1">
      <c r="A33" s="72" t="e">
        <f>INPUTS!#REF!</f>
        <v>#REF!</v>
      </c>
      <c r="B33" s="1067" t="e">
        <f ca="1">INPUTS!C155*(INPUTS!D155+INPUTS!F155*Economics_Parameters!$C$12)</f>
        <v>#REF!</v>
      </c>
      <c r="C33" s="1067" t="e">
        <f ca="1">INPUTS!C137*(INPUTS!D137+INPUTS!E137*Economics_Parameters!$C$12)+INPUTS!C155*(INPUTS!E155+INPUTS!G155*Economics_Parameters!$C$12)</f>
        <v>#REF!</v>
      </c>
      <c r="D33" s="618"/>
      <c r="E33" s="618"/>
      <c r="F33" s="618" t="e">
        <f t="shared" ca="1" si="2"/>
        <v>#REF!</v>
      </c>
      <c r="J33" s="39"/>
      <c r="K33" s="651"/>
      <c r="L33" s="603"/>
      <c r="M33" s="603"/>
      <c r="N33" s="613"/>
    </row>
    <row r="34" spans="1:14" s="1237" customFormat="1">
      <c r="A34" s="72" t="e">
        <f>INPUTS!#REF!</f>
        <v>#REF!</v>
      </c>
      <c r="B34" s="1067" t="e">
        <f ca="1">INPUTS!C156*(INPUTS!D156+INPUTS!F156*Economics_Parameters!$C$12)</f>
        <v>#REF!</v>
      </c>
      <c r="C34" s="1067" t="e">
        <f ca="1">INPUTS!C138*(INPUTS!D138+INPUTS!E138*Economics_Parameters!$C$12)+INPUTS!C156*(INPUTS!E156+INPUTS!G156*Economics_Parameters!$C$12)</f>
        <v>#REF!</v>
      </c>
      <c r="D34" s="618"/>
      <c r="E34" s="618"/>
      <c r="F34" s="618" t="e">
        <f t="shared" ca="1" si="2"/>
        <v>#REF!</v>
      </c>
      <c r="J34" s="39"/>
      <c r="K34" s="651"/>
      <c r="L34" s="603"/>
      <c r="M34" s="603"/>
      <c r="N34" s="613"/>
    </row>
    <row r="35" spans="1:14">
      <c r="A35" s="72" t="e">
        <f>INPUTS!#REF!</f>
        <v>#REF!</v>
      </c>
      <c r="B35" s="1067" t="e">
        <f ca="1">INPUTS!C155*(INPUTS!D155+INPUTS!F155*Economics_Parameters!$C$12)</f>
        <v>#REF!</v>
      </c>
      <c r="C35" s="1067" t="e">
        <f ca="1">INPUTS!C137*(INPUTS!D137+INPUTS!E137*Economics_Parameters!$C$12)+INPUTS!C155*(INPUTS!E155+INPUTS!G155*Economics_Parameters!$C$12)</f>
        <v>#REF!</v>
      </c>
      <c r="D35" s="618"/>
      <c r="E35" s="618"/>
      <c r="F35" s="618" t="e">
        <f t="shared" ca="1" si="2"/>
        <v>#REF!</v>
      </c>
      <c r="N35" s="613"/>
    </row>
    <row r="36" spans="1:14">
      <c r="A36" s="72" t="e">
        <f>INPUTS!#REF!</f>
        <v>#REF!</v>
      </c>
      <c r="B36" s="1067" t="e">
        <f ca="1">INPUTS!C156*(INPUTS!D156+INPUTS!F156*Economics_Parameters!$C$12)</f>
        <v>#REF!</v>
      </c>
      <c r="C36" s="1067" t="e">
        <f ca="1">INPUTS!C138*(INPUTS!D138+INPUTS!E138*Economics_Parameters!$C$12)+INPUTS!C156*(INPUTS!E156+INPUTS!G156*Economics_Parameters!$C$12)</f>
        <v>#REF!</v>
      </c>
      <c r="D36" s="618"/>
      <c r="E36" s="618"/>
      <c r="F36" s="618" t="e">
        <f t="shared" ca="1" si="2"/>
        <v>#REF!</v>
      </c>
    </row>
    <row r="37" spans="1:14">
      <c r="A37" s="619" t="e">
        <f>INPUTS!#REF!</f>
        <v>#REF!</v>
      </c>
      <c r="B37" s="1067" t="e">
        <f ca="1">INPUTS!C157*(INPUTS!D157+INPUTS!F157*Economics_Parameters!$C$12)</f>
        <v>#REF!</v>
      </c>
      <c r="C37" s="1067" t="e">
        <f ca="1">INPUTS!C139*(INPUTS!D139+INPUTS!E139*Economics_Parameters!$C$12)+INPUTS!C157*(INPUTS!E157+INPUTS!G157*Economics_Parameters!$C$12)</f>
        <v>#REF!</v>
      </c>
      <c r="D37" s="620"/>
      <c r="E37" s="620"/>
      <c r="F37" s="620" t="e">
        <f t="shared" ca="1" si="2"/>
        <v>#REF!</v>
      </c>
      <c r="N37" s="613"/>
    </row>
    <row r="38" spans="1:14">
      <c r="B38" s="645" t="e">
        <f ca="1">SUM(B24:B37)</f>
        <v>#REF!</v>
      </c>
      <c r="C38" s="645" t="e">
        <f ca="1">SUM(C24:C37)</f>
        <v>#REF!</v>
      </c>
      <c r="F38" s="614" t="e">
        <f ca="1">SUM(F24:F37)</f>
        <v>#REF!</v>
      </c>
      <c r="J38" s="603"/>
      <c r="K38" s="603"/>
      <c r="L38" s="617"/>
      <c r="M38" s="617"/>
    </row>
    <row r="39" spans="1:14">
      <c r="J39" s="603"/>
      <c r="K39" s="603"/>
      <c r="L39" s="617"/>
      <c r="M39" s="617"/>
    </row>
    <row r="40" spans="1:14">
      <c r="A40" s="615" t="s">
        <v>1661</v>
      </c>
      <c r="B40" s="615" t="s">
        <v>1489</v>
      </c>
      <c r="C40" s="615" t="s">
        <v>1490</v>
      </c>
      <c r="D40" s="641" t="s">
        <v>1237</v>
      </c>
      <c r="E40" s="615"/>
      <c r="F40" s="160" t="s">
        <v>1265</v>
      </c>
      <c r="I40" s="603"/>
      <c r="J40" s="603"/>
      <c r="K40" s="617"/>
      <c r="L40" s="617"/>
    </row>
    <row r="41" spans="1:14">
      <c r="A41" s="72" t="e">
        <f ca="1">IF(INPUTS!$B$161= "",INPUTS!$B$171,INPUTS!$B$161)</f>
        <v>#REF!</v>
      </c>
      <c r="B41" s="1068" t="e">
        <f ca="1">IF(INPUTS!C171=0,INPUTS!D171*(INPUTS!E171+INPUTS!G171*Economics_Parameters!$C$12),INPUTS!C171*(INPUTS!E171+INPUTS!G171*Economics_Parameters!$C$12))+IF(INPUTS!C161=0,INPUTS!D161*(INPUTS!E161+INPUTS!G161*Economics_Parameters!$C$12),INPUTS!C161*(INPUTS!E161+INPUTS!G161*Economics_Parameters!$C$12))</f>
        <v>#REF!</v>
      </c>
      <c r="C41" s="1069" t="e">
        <f ca="1">IF(INPUTS!C161=0,INPUTS!D161*(INPUTS!F161+(INPUTS!H161*Economics_Parameters!$C$12)),INPUTS!C161*(INPUTS!F161+(INPUTS!H161*Economics_Parameters!$C$12)))+IF(INPUTS!C171=0,INPUTS!D171*(INPUTS!F171+(INPUTS!H171*Economics_Parameters!$C$12)),INPUTS!C171*(INPUTS!F171+(INPUTS!H171*Economics_Parameters!$C$12)))</f>
        <v>#REF!</v>
      </c>
      <c r="D41" s="1070" t="e">
        <f ca="1">(INPUTS!C161+INPUTS!C171)*Economics_Parameters!$C$18</f>
        <v>#REF!</v>
      </c>
      <c r="E41" s="72"/>
      <c r="F41" s="671" t="e">
        <f ca="1">SUM(B41+C41+D41+E41)</f>
        <v>#REF!</v>
      </c>
      <c r="L41" s="617"/>
    </row>
    <row r="42" spans="1:14">
      <c r="A42" s="72" t="e">
        <f ca="1">IF(INPUTS!$B$162= "",INPUTS!$B$172,INPUTS!$B$162)</f>
        <v>#REF!</v>
      </c>
      <c r="B42" s="1068" t="e">
        <f ca="1">IF(INPUTS!C172=0,INPUTS!D172*(INPUTS!E172+INPUTS!G172*Economics_Parameters!$C$12),INPUTS!C172*(INPUTS!E172+INPUTS!G172*Economics_Parameters!$C$12))+IF(INPUTS!C162=0,INPUTS!D162*(INPUTS!E162+INPUTS!G162*Economics_Parameters!$C$12),INPUTS!C162*(INPUTS!E162+INPUTS!G162*Economics_Parameters!$C$12))</f>
        <v>#REF!</v>
      </c>
      <c r="C42" s="1069" t="e">
        <f ca="1">IF(INPUTS!C162=0,INPUTS!D162*(INPUTS!F162+(INPUTS!H162*Economics_Parameters!$C$12)),INPUTS!C162*(INPUTS!F162+(INPUTS!H162*Economics_Parameters!$C$12)))+IF(INPUTS!C172=0,INPUTS!D172*(INPUTS!F172+(INPUTS!H172*Economics_Parameters!$C$12)),INPUTS!C172*(INPUTS!F172+(INPUTS!H172*Economics_Parameters!$C$12)))</f>
        <v>#REF!</v>
      </c>
      <c r="D42" s="1070" t="e">
        <f ca="1">(INPUTS!C162+INPUTS!C172)*Economics_Parameters!$C$18</f>
        <v>#REF!</v>
      </c>
      <c r="E42" s="72"/>
      <c r="F42" s="671" t="e">
        <f ca="1">SUM(B42+C42+D42+E42)</f>
        <v>#REF!</v>
      </c>
    </row>
    <row r="43" spans="1:14">
      <c r="A43" s="72" t="e">
        <f ca="1">IF(INPUTS!$B$163= "",INPUTS!$B$173,INPUTS!$B$163)</f>
        <v>#REF!</v>
      </c>
      <c r="B43" s="1068" t="e">
        <f ca="1">IF(INPUTS!C173=0,INPUTS!D173*(INPUTS!E173+INPUTS!G173*Economics_Parameters!$C$12),INPUTS!C173*(INPUTS!E173+INPUTS!G173*Economics_Parameters!$C$12))+IF(INPUTS!C163=0,INPUTS!D163*(INPUTS!E163+INPUTS!G163*Economics_Parameters!$C$12),INPUTS!C163*(INPUTS!E163+INPUTS!G163*Economics_Parameters!$C$12))</f>
        <v>#REF!</v>
      </c>
      <c r="C43" s="1069" t="e">
        <f ca="1">IF(INPUTS!C163=0,INPUTS!D163*(INPUTS!F163+(INPUTS!H163*Economics_Parameters!$C$12)),INPUTS!C163*(INPUTS!F163+(INPUTS!H163*Economics_Parameters!$C$12)))+IF(INPUTS!C173=0,INPUTS!D173*(INPUTS!F173+(INPUTS!H173*Economics_Parameters!$C$12)),INPUTS!C173*(INPUTS!F173+(INPUTS!H173*Economics_Parameters!$C$12)))</f>
        <v>#REF!</v>
      </c>
      <c r="D43" s="1070" t="e">
        <f ca="1">(INPUTS!C163+INPUTS!C173)*Economics_Parameters!$C$18</f>
        <v>#REF!</v>
      </c>
      <c r="E43" s="72"/>
      <c r="F43" s="671" t="e">
        <f ca="1">SUM(B43+C43+D43+E43)</f>
        <v>#REF!</v>
      </c>
      <c r="L43" s="613"/>
    </row>
    <row r="44" spans="1:14">
      <c r="A44" s="72" t="e">
        <f ca="1">IF(INPUTS!$B$164= "",INPUTS!$B$174,INPUTS!$B$164)</f>
        <v>#REF!</v>
      </c>
      <c r="B44" s="1068" t="e">
        <f ca="1">IF(INPUTS!C174=0,INPUTS!D174*(INPUTS!E174+INPUTS!G174*Economics_Parameters!$C$12),INPUTS!C174*(INPUTS!E174+INPUTS!G174*Economics_Parameters!$C$12))+IF(INPUTS!C164=0,INPUTS!D164*(INPUTS!E164+INPUTS!G164*Economics_Parameters!$C$12),INPUTS!C164*(INPUTS!E164+INPUTS!G164*Economics_Parameters!$C$12))</f>
        <v>#REF!</v>
      </c>
      <c r="C44" s="1069" t="e">
        <f ca="1">IF(INPUTS!C164=0,INPUTS!D164*(INPUTS!F164+(INPUTS!H164*Economics_Parameters!$C$12)),INPUTS!C164*(INPUTS!F164+(INPUTS!H164*Economics_Parameters!$C$12)))+IF(INPUTS!C174=0,INPUTS!D174*(INPUTS!F174+(INPUTS!H174*Economics_Parameters!$C$12)),INPUTS!C174*(INPUTS!F174+(INPUTS!H174*Economics_Parameters!$C$12)))</f>
        <v>#REF!</v>
      </c>
      <c r="D44" s="1070" t="e">
        <f ca="1">(INPUTS!C164+INPUTS!C174)*Economics_Parameters!$C$18</f>
        <v>#REF!</v>
      </c>
      <c r="E44" s="72"/>
      <c r="F44" s="671" t="e">
        <f ca="1">SUM(B44+C44+D44+E44)</f>
        <v>#REF!</v>
      </c>
    </row>
    <row r="45" spans="1:14">
      <c r="A45" s="72" t="e">
        <f ca="1">IF(INPUTS!$B$165= "",INPUTS!$B$175,INPUTS!$B$165)</f>
        <v>#REF!</v>
      </c>
      <c r="B45" s="1068" t="e">
        <f ca="1">IF(INPUTS!C175=0,INPUTS!D175*(INPUTS!E175+INPUTS!G175*Economics_Parameters!$C$12),INPUTS!C175*(INPUTS!E175+INPUTS!G175*Economics_Parameters!$C$12))+IF(INPUTS!C165=0,INPUTS!D165*(INPUTS!E165+INPUTS!G165*Economics_Parameters!$C$12),INPUTS!C165*(INPUTS!E165+INPUTS!G165*Economics_Parameters!$C$12))</f>
        <v>#REF!</v>
      </c>
      <c r="C45" s="1069" t="e">
        <f ca="1">IF(INPUTS!C165=0,INPUTS!D165*(INPUTS!F165+(INPUTS!H165*Economics_Parameters!$C$12)),INPUTS!C165*(INPUTS!F165+(INPUTS!H165*Economics_Parameters!$C$12)))+IF(INPUTS!C175=0,INPUTS!D175*(INPUTS!F175+(INPUTS!H175*Economics_Parameters!$C$12)),INPUTS!C175*(INPUTS!F175+(INPUTS!H175*Economics_Parameters!$C$12)))</f>
        <v>#REF!</v>
      </c>
      <c r="D45" s="1070" t="e">
        <f ca="1">(INPUTS!C165+INPUTS!C175)*Economics_Parameters!$C$18</f>
        <v>#REF!</v>
      </c>
      <c r="E45" s="72"/>
      <c r="F45" s="671" t="e">
        <f ca="1">SUM(B45+C45+D45+E45)</f>
        <v>#REF!</v>
      </c>
    </row>
    <row r="46" spans="1:14">
      <c r="A46" s="72" t="e">
        <f ca="1">IF(INPUTS!$B$166= "",INPUTS!$B$176,INPUTS!$B$166)</f>
        <v>#REF!</v>
      </c>
      <c r="B46" s="1068" t="e">
        <f ca="1">IF(INPUTS!C176=0,INPUTS!D176*(INPUTS!E176+INPUTS!G176*Economics_Parameters!$C$12),INPUTS!C176*(INPUTS!E176+INPUTS!G176*Economics_Parameters!$C$12))+IF(INPUTS!C166=0,INPUTS!D166*(INPUTS!E166+INPUTS!G166*Economics_Parameters!$C$12),INPUTS!C166*(INPUTS!E166+INPUTS!G166*Economics_Parameters!$C$12))</f>
        <v>#REF!</v>
      </c>
      <c r="C46" s="1069" t="e">
        <f ca="1">IF(INPUTS!C166=0,INPUTS!D166*(INPUTS!F166+(INPUTS!H166*Economics_Parameters!$C$12)),INPUTS!C166*(INPUTS!F166+(INPUTS!H166*Economics_Parameters!$C$12)))+IF(INPUTS!C176=0,INPUTS!D176*(INPUTS!F176+(INPUTS!H176*Economics_Parameters!$C$12)),INPUTS!C176*(INPUTS!F176+(INPUTS!H176*Economics_Parameters!$C$12)))</f>
        <v>#REF!</v>
      </c>
      <c r="D46" s="1070" t="e">
        <f ca="1">(INPUTS!C166+INPUTS!C176)*Economics_Parameters!$C$18</f>
        <v>#REF!</v>
      </c>
      <c r="E46" s="72"/>
      <c r="F46" s="671" t="e">
        <f t="shared" ref="F46:F47" ca="1" si="3">SUM(B46+C46+D46+E46)</f>
        <v>#REF!</v>
      </c>
    </row>
    <row r="47" spans="1:14">
      <c r="A47" s="619" t="e">
        <f ca="1">IF(INPUTS!$B$167= "",INPUTS!$B$177,INPUTS!$B$167)</f>
        <v>#REF!</v>
      </c>
      <c r="B47" s="1068" t="e">
        <f ca="1">IF(INPUTS!C177=0,INPUTS!D177*(INPUTS!E177+INPUTS!G177*Economics_Parameters!$C$12),INPUTS!C177*(INPUTS!E177+INPUTS!G177*Economics_Parameters!$C$12))+IF(INPUTS!C167=0,INPUTS!D167*(INPUTS!E167+INPUTS!G167*Economics_Parameters!$C$12),INPUTS!C167*(INPUTS!E167+INPUTS!G167*Economics_Parameters!$C$12))</f>
        <v>#REF!</v>
      </c>
      <c r="C47" s="1069" t="e">
        <f ca="1">IF(INPUTS!C167=0,INPUTS!D167*(INPUTS!F167+(INPUTS!H167*Economics_Parameters!$C$12)),INPUTS!C167*(INPUTS!F167+(INPUTS!H167*Economics_Parameters!$C$12)))+IF(INPUTS!C177=0,INPUTS!D177*(INPUTS!F177+(INPUTS!H177*Economics_Parameters!$C$12)),INPUTS!C177*(INPUTS!F177+(INPUTS!H177*Economics_Parameters!$C$12)))</f>
        <v>#REF!</v>
      </c>
      <c r="D47" s="1070" t="e">
        <f ca="1">(INPUTS!C167+INPUTS!C177)*Economics_Parameters!$C$18</f>
        <v>#REF!</v>
      </c>
      <c r="E47" s="619"/>
      <c r="F47" s="671" t="e">
        <f t="shared" ca="1" si="3"/>
        <v>#REF!</v>
      </c>
      <c r="I47" s="613"/>
    </row>
    <row r="48" spans="1:14">
      <c r="B48" s="644" t="e">
        <f ca="1">SUM(B41:B47)</f>
        <v>#REF!</v>
      </c>
      <c r="C48" s="1066" t="e">
        <f ca="1">SUM(C41:C47)</f>
        <v>#REF!</v>
      </c>
      <c r="D48" s="644" t="e">
        <f ca="1">SUM(D41:D47)</f>
        <v>#REF!</v>
      </c>
      <c r="F48" s="614" t="e">
        <f ca="1">SUM(F41:F47)</f>
        <v>#REF!</v>
      </c>
      <c r="I48" s="613"/>
    </row>
    <row r="49" spans="1:12">
      <c r="J49" s="613"/>
    </row>
    <row r="50" spans="1:12">
      <c r="A50" s="615" t="s">
        <v>1214</v>
      </c>
      <c r="B50" s="615" t="s">
        <v>1489</v>
      </c>
      <c r="C50" s="615" t="s">
        <v>1490</v>
      </c>
      <c r="D50" s="641"/>
      <c r="E50" s="615"/>
      <c r="F50" s="160" t="s">
        <v>1265</v>
      </c>
    </row>
    <row r="51" spans="1:12">
      <c r="A51" s="72" t="str">
        <f>INPUTS!$B$181</f>
        <v>extra stable</v>
      </c>
      <c r="B51" s="637">
        <f>INPUTS!C181+INPUTS!E181*Economics_Parameters!$C$12</f>
        <v>275</v>
      </c>
      <c r="C51" s="637">
        <f>INPUTS!D181+INPUTS!F181*Economics_Parameters!$C$12</f>
        <v>5</v>
      </c>
      <c r="D51" s="618"/>
      <c r="E51" s="618"/>
      <c r="F51" s="618">
        <f>SUM(E51+C51+B51)</f>
        <v>280</v>
      </c>
    </row>
    <row r="52" spans="1:12">
      <c r="A52" s="72">
        <f>INPUTS!$B$182</f>
        <v>0</v>
      </c>
      <c r="B52" s="637">
        <f>INPUTS!C182+INPUTS!E182*Economics_Parameters!$C$12</f>
        <v>0</v>
      </c>
      <c r="C52" s="637">
        <f>INPUTS!D182+INPUTS!F182*Economics_Parameters!$C$12</f>
        <v>0</v>
      </c>
      <c r="D52" s="618"/>
      <c r="E52" s="618"/>
      <c r="F52" s="618">
        <f>SUM(E52+C52+B52)</f>
        <v>0</v>
      </c>
    </row>
    <row r="53" spans="1:12">
      <c r="A53" s="619">
        <f>INPUTS!$B$183</f>
        <v>0</v>
      </c>
      <c r="B53" s="637">
        <f>INPUTS!C183+INPUTS!E183*Economics_Parameters!$C$12</f>
        <v>0</v>
      </c>
      <c r="C53" s="637">
        <f>INPUTS!D183+INPUTS!F183*Economics_Parameters!$C$12</f>
        <v>0</v>
      </c>
      <c r="D53" s="620"/>
      <c r="E53" s="620"/>
      <c r="F53" s="620">
        <f>SUM(E53+C53+B53)</f>
        <v>0</v>
      </c>
    </row>
    <row r="54" spans="1:12">
      <c r="B54" s="645">
        <f>SUM(B51:B53)</f>
        <v>275</v>
      </c>
      <c r="C54" s="645">
        <f>SUM(C51:C53)</f>
        <v>5</v>
      </c>
      <c r="F54" s="614">
        <f>SUM(F51:F53)</f>
        <v>280</v>
      </c>
    </row>
    <row r="56" spans="1:12">
      <c r="A56" s="37"/>
      <c r="B56" s="1065" t="s">
        <v>1650</v>
      </c>
      <c r="C56" s="1065" t="s">
        <v>1651</v>
      </c>
      <c r="D56" s="669" t="s">
        <v>1266</v>
      </c>
      <c r="E56" s="37"/>
      <c r="F56" s="37" t="s">
        <v>127</v>
      </c>
    </row>
    <row r="57" spans="1:12">
      <c r="A57" s="662" t="s">
        <v>1316</v>
      </c>
      <c r="B57" s="663" t="e">
        <f ca="1">B38+B48+B54</f>
        <v>#REF!</v>
      </c>
      <c r="C57" s="663" t="e">
        <f ca="1">C38+C48+C54</f>
        <v>#REF!</v>
      </c>
      <c r="D57" s="670" t="e">
        <f ca="1">D38+D48+D54</f>
        <v>#REF!</v>
      </c>
      <c r="E57" s="630"/>
      <c r="F57" s="664" t="e">
        <f ca="1">SUM(F38,F48,F54)</f>
        <v>#REF!</v>
      </c>
    </row>
    <row r="59" spans="1:12">
      <c r="A59" t="s">
        <v>1215</v>
      </c>
    </row>
    <row r="60" spans="1:12">
      <c r="B60" s="642" t="s">
        <v>1654</v>
      </c>
      <c r="C60" s="642" t="s">
        <v>1240</v>
      </c>
      <c r="D60" s="642" t="s">
        <v>1241</v>
      </c>
      <c r="E60" s="642" t="s">
        <v>1242</v>
      </c>
      <c r="F60" s="642" t="s">
        <v>1243</v>
      </c>
      <c r="G60" s="642" t="s">
        <v>1244</v>
      </c>
      <c r="H60" s="642" t="s">
        <v>1267</v>
      </c>
      <c r="I60" s="642" t="s">
        <v>1268</v>
      </c>
      <c r="J60" s="642" t="s">
        <v>1269</v>
      </c>
      <c r="K60" s="642" t="s">
        <v>1270</v>
      </c>
      <c r="L60" s="642"/>
    </row>
    <row r="61" spans="1:12">
      <c r="A61" s="1118" t="s">
        <v>1652</v>
      </c>
      <c r="B61" s="1119" t="e">
        <f ca="1">E19</f>
        <v>#REF!</v>
      </c>
      <c r="C61" s="639" t="e">
        <f ca="1">$B$61*2</f>
        <v>#REF!</v>
      </c>
      <c r="D61" s="639" t="e">
        <f ca="1">$B$61*3</f>
        <v>#REF!</v>
      </c>
      <c r="E61" s="639" t="e">
        <f ca="1">$B$61*4</f>
        <v>#REF!</v>
      </c>
      <c r="F61" s="639" t="e">
        <f ca="1">$B$61*5</f>
        <v>#REF!</v>
      </c>
      <c r="G61" s="639" t="e">
        <f ca="1">$B$61*6</f>
        <v>#REF!</v>
      </c>
      <c r="H61" s="639" t="e">
        <f ca="1">$B$61*7</f>
        <v>#REF!</v>
      </c>
      <c r="I61" s="639" t="e">
        <f ca="1">$B$61*8</f>
        <v>#REF!</v>
      </c>
      <c r="J61" s="639" t="e">
        <f ca="1">$B$61*9</f>
        <v>#REF!</v>
      </c>
      <c r="K61" s="639" t="e">
        <f ca="1">$B$61*10</f>
        <v>#REF!</v>
      </c>
      <c r="L61" s="639"/>
    </row>
    <row r="62" spans="1:12">
      <c r="A62" s="72" t="s">
        <v>1316</v>
      </c>
      <c r="B62" s="616" t="e">
        <f ca="1">F57</f>
        <v>#REF!</v>
      </c>
      <c r="C62" s="639" t="e">
        <f ca="1">B62+$C$57+$D$57</f>
        <v>#REF!</v>
      </c>
      <c r="D62" s="639" t="e">
        <f ca="1">C62+$C$57+$D$57</f>
        <v>#REF!</v>
      </c>
      <c r="E62" s="639" t="e">
        <f ca="1">D62+$C$57+$D$57</f>
        <v>#REF!</v>
      </c>
      <c r="F62" s="639" t="e">
        <f ca="1">E62+$C$57+$D$57</f>
        <v>#REF!</v>
      </c>
      <c r="G62" s="639" t="e">
        <f t="shared" ref="G62:K62" ca="1" si="4">F62+$C$57+$D$57</f>
        <v>#REF!</v>
      </c>
      <c r="H62" s="639" t="e">
        <f t="shared" ca="1" si="4"/>
        <v>#REF!</v>
      </c>
      <c r="I62" s="639" t="e">
        <f t="shared" ca="1" si="4"/>
        <v>#REF!</v>
      </c>
      <c r="J62" s="639" t="e">
        <f t="shared" ca="1" si="4"/>
        <v>#REF!</v>
      </c>
      <c r="K62" s="639" t="e">
        <f t="shared" ca="1" si="4"/>
        <v>#REF!</v>
      </c>
      <c r="L62" s="639"/>
    </row>
    <row r="63" spans="1:12">
      <c r="B63" s="638" t="e">
        <f t="shared" ref="B63:G63" ca="1" si="5">SUM(B61-B62)</f>
        <v>#REF!</v>
      </c>
      <c r="C63" s="638" t="e">
        <f t="shared" ca="1" si="5"/>
        <v>#REF!</v>
      </c>
      <c r="D63" s="638" t="e">
        <f t="shared" ca="1" si="5"/>
        <v>#REF!</v>
      </c>
      <c r="E63" s="638" t="e">
        <f t="shared" ca="1" si="5"/>
        <v>#REF!</v>
      </c>
      <c r="F63" s="638" t="e">
        <f t="shared" ca="1" si="5"/>
        <v>#REF!</v>
      </c>
      <c r="G63" s="638" t="e">
        <f t="shared" ca="1" si="5"/>
        <v>#REF!</v>
      </c>
      <c r="H63" s="638" t="e">
        <f ca="1">SUM(H61-H62)</f>
        <v>#REF!</v>
      </c>
      <c r="I63" s="638" t="e">
        <f ca="1">SUM(I61-I62)</f>
        <v>#REF!</v>
      </c>
      <c r="J63" s="638" t="e">
        <f ca="1">SUM(J61-J62)</f>
        <v>#REF!</v>
      </c>
      <c r="K63" s="638" t="e">
        <f ca="1">SUM(K61-K62)</f>
        <v>#REF!</v>
      </c>
      <c r="L63" s="638"/>
    </row>
    <row r="64" spans="1:12">
      <c r="B64" s="603"/>
    </row>
    <row r="66" spans="1:14" s="509" customFormat="1" ht="29.25" customHeight="1">
      <c r="A66" s="510" t="s">
        <v>1216</v>
      </c>
      <c r="B66" s="510"/>
    </row>
    <row r="67" spans="1:14">
      <c r="G67" s="142"/>
    </row>
    <row r="68" spans="1:14">
      <c r="G68" s="142"/>
    </row>
    <row r="69" spans="1:14">
      <c r="A69" s="622" t="s">
        <v>1217</v>
      </c>
      <c r="B69" s="1117" t="s">
        <v>1653</v>
      </c>
      <c r="C69" s="622" t="s">
        <v>1219</v>
      </c>
      <c r="D69" s="622" t="s">
        <v>1220</v>
      </c>
      <c r="E69" s="622" t="s">
        <v>1221</v>
      </c>
      <c r="F69" s="1077"/>
      <c r="G69" s="1081"/>
      <c r="H69" s="37"/>
      <c r="J69" s="37"/>
      <c r="K69" s="37"/>
      <c r="L69" s="37"/>
      <c r="M69" s="37"/>
      <c r="N69" s="37"/>
    </row>
    <row r="70" spans="1:14">
      <c r="A70">
        <v>0</v>
      </c>
      <c r="B70" s="613" t="e">
        <f ca="1">$B$63</f>
        <v>#REF!</v>
      </c>
      <c r="C70" s="1078" t="e">
        <f ca="1">$B$63</f>
        <v>#REF!</v>
      </c>
      <c r="D70" s="617" t="e">
        <f ca="1">$B$63</f>
        <v>#REF!</v>
      </c>
      <c r="E70" s="39"/>
      <c r="F70" s="1076"/>
      <c r="G70" s="1076"/>
      <c r="I70" s="603"/>
      <c r="K70" s="648"/>
    </row>
    <row r="71" spans="1:14">
      <c r="A71">
        <v>1</v>
      </c>
      <c r="B71" s="613" t="e">
        <f ca="1">C63</f>
        <v>#REF!</v>
      </c>
      <c r="C71" s="621" t="e">
        <f ca="1">-PV(Economics_Parameters!$C$22,A71,,B71)</f>
        <v>#REF!</v>
      </c>
      <c r="D71" s="617" t="e">
        <f ca="1">D70+C71</f>
        <v>#REF!</v>
      </c>
      <c r="E71" s="39" t="e">
        <f ca="1">IF(D71&lt;0,"N/A",ABS(D70/C71))</f>
        <v>#REF!</v>
      </c>
      <c r="G71" s="1081"/>
      <c r="I71" s="603"/>
      <c r="K71" s="648"/>
      <c r="L71" s="649"/>
      <c r="M71" s="649"/>
    </row>
    <row r="72" spans="1:14">
      <c r="A72" s="1076">
        <v>2</v>
      </c>
      <c r="B72" s="613" t="e">
        <f ca="1">D63</f>
        <v>#REF!</v>
      </c>
      <c r="C72" s="621" t="e">
        <f ca="1">-PV(Economics_Parameters!$C$22,A72,,B72)</f>
        <v>#REF!</v>
      </c>
      <c r="D72" s="617" t="e">
        <f t="shared" ref="D72:D79" ca="1" si="6">D71+C72</f>
        <v>#REF!</v>
      </c>
      <c r="E72" s="39" t="e">
        <f t="shared" ref="E72:E79" ca="1" si="7">IF(D72&lt;0,"N/A",ABS(D71/C72))</f>
        <v>#REF!</v>
      </c>
      <c r="F72" s="1076"/>
      <c r="G72" s="1081"/>
      <c r="I72" s="603"/>
      <c r="K72" s="648"/>
      <c r="L72" s="649"/>
      <c r="M72" s="649"/>
    </row>
    <row r="73" spans="1:14">
      <c r="A73" s="1076">
        <v>3</v>
      </c>
      <c r="B73" s="613" t="e">
        <f ca="1">E63</f>
        <v>#REF!</v>
      </c>
      <c r="C73" s="621" t="e">
        <f ca="1">-PV(Economics_Parameters!$C$22,A73,,B73)</f>
        <v>#REF!</v>
      </c>
      <c r="D73" s="617" t="e">
        <f t="shared" ca="1" si="6"/>
        <v>#REF!</v>
      </c>
      <c r="E73" s="39" t="e">
        <f t="shared" ca="1" si="7"/>
        <v>#REF!</v>
      </c>
      <c r="F73" s="1076"/>
      <c r="G73" s="1081"/>
      <c r="K73" s="648"/>
      <c r="L73" s="649"/>
      <c r="M73" s="649"/>
    </row>
    <row r="74" spans="1:14">
      <c r="A74" s="1076">
        <v>4</v>
      </c>
      <c r="B74" s="613" t="e">
        <f ca="1">F63</f>
        <v>#REF!</v>
      </c>
      <c r="C74" s="621" t="e">
        <f ca="1">-PV(Economics_Parameters!$C$22,A74,,B74)</f>
        <v>#REF!</v>
      </c>
      <c r="D74" s="617" t="e">
        <f t="shared" ca="1" si="6"/>
        <v>#REF!</v>
      </c>
      <c r="E74" s="39" t="e">
        <f t="shared" ca="1" si="7"/>
        <v>#REF!</v>
      </c>
      <c r="F74" s="1076"/>
      <c r="G74" s="1081"/>
      <c r="K74" s="648"/>
      <c r="L74" s="649"/>
      <c r="M74" s="649"/>
    </row>
    <row r="75" spans="1:14">
      <c r="A75" s="1076">
        <v>5</v>
      </c>
      <c r="B75" s="613" t="e">
        <f ca="1">G63</f>
        <v>#REF!</v>
      </c>
      <c r="C75" s="621" t="e">
        <f ca="1">-PV(Economics_Parameters!$C$22,A75,,B75)</f>
        <v>#REF!</v>
      </c>
      <c r="D75" s="617" t="e">
        <f t="shared" ca="1" si="6"/>
        <v>#REF!</v>
      </c>
      <c r="E75" s="39" t="e">
        <f t="shared" ca="1" si="7"/>
        <v>#REF!</v>
      </c>
      <c r="F75" s="1076"/>
      <c r="G75" s="1081"/>
      <c r="K75" s="648"/>
      <c r="L75" s="649"/>
      <c r="M75" s="649"/>
    </row>
    <row r="76" spans="1:14">
      <c r="A76" s="1076">
        <v>6</v>
      </c>
      <c r="B76" s="613" t="e">
        <f ca="1">H63</f>
        <v>#REF!</v>
      </c>
      <c r="C76" s="621" t="e">
        <f ca="1">-PV(Economics_Parameters!$C$22,A76,,B76)</f>
        <v>#REF!</v>
      </c>
      <c r="D76" s="617" t="e">
        <f t="shared" ca="1" si="6"/>
        <v>#REF!</v>
      </c>
      <c r="E76" s="39" t="e">
        <f t="shared" ca="1" si="7"/>
        <v>#REF!</v>
      </c>
      <c r="F76" s="1076"/>
      <c r="G76" s="1081"/>
      <c r="K76" s="648"/>
      <c r="L76" s="649"/>
      <c r="M76" s="649"/>
    </row>
    <row r="77" spans="1:14">
      <c r="A77" s="1076">
        <v>7</v>
      </c>
      <c r="B77" s="613" t="e">
        <f ca="1">I63</f>
        <v>#REF!</v>
      </c>
      <c r="C77" s="621" t="e">
        <f ca="1">-PV(Economics_Parameters!$C$22,A77,,B77)</f>
        <v>#REF!</v>
      </c>
      <c r="D77" s="617" t="e">
        <f t="shared" ca="1" si="6"/>
        <v>#REF!</v>
      </c>
      <c r="E77" s="39" t="e">
        <f t="shared" ca="1" si="7"/>
        <v>#REF!</v>
      </c>
      <c r="F77" s="1076"/>
      <c r="G77" s="1081"/>
      <c r="K77" s="648"/>
      <c r="L77" s="649"/>
      <c r="M77" s="649"/>
    </row>
    <row r="78" spans="1:14">
      <c r="A78" s="1076">
        <v>8</v>
      </c>
      <c r="B78" s="613" t="e">
        <f ca="1">J63</f>
        <v>#REF!</v>
      </c>
      <c r="C78" s="621" t="e">
        <f ca="1">-PV(Economics_Parameters!$C$22,A78,,B78)</f>
        <v>#REF!</v>
      </c>
      <c r="D78" s="617" t="e">
        <f t="shared" ca="1" si="6"/>
        <v>#REF!</v>
      </c>
      <c r="E78" s="39" t="e">
        <f t="shared" ca="1" si="7"/>
        <v>#REF!</v>
      </c>
      <c r="F78" s="1076"/>
      <c r="G78" s="1081"/>
      <c r="K78" s="648"/>
      <c r="L78" s="649"/>
      <c r="M78" s="649"/>
    </row>
    <row r="79" spans="1:14">
      <c r="A79" s="1076">
        <v>9</v>
      </c>
      <c r="B79" s="613" t="e">
        <f ca="1">K63</f>
        <v>#REF!</v>
      </c>
      <c r="C79" s="621" t="e">
        <f ca="1">-PV(Economics_Parameters!$C$22,A79,,B79)</f>
        <v>#REF!</v>
      </c>
      <c r="D79" s="617" t="e">
        <f t="shared" ca="1" si="6"/>
        <v>#REF!</v>
      </c>
      <c r="E79" s="39" t="e">
        <f t="shared" ca="1" si="7"/>
        <v>#REF!</v>
      </c>
      <c r="F79" s="1076"/>
      <c r="G79" s="1081"/>
      <c r="K79" s="648"/>
      <c r="L79" s="649"/>
      <c r="M79" s="649"/>
    </row>
    <row r="80" spans="1:14">
      <c r="B80" s="613"/>
      <c r="C80" s="621"/>
      <c r="D80" s="617"/>
      <c r="E80" s="39"/>
      <c r="G80" s="142"/>
      <c r="K80" s="648"/>
      <c r="L80" s="649"/>
      <c r="M80" s="649"/>
    </row>
    <row r="81" spans="1:13">
      <c r="B81" s="613"/>
      <c r="C81" s="621"/>
      <c r="D81" s="617"/>
      <c r="E81" s="39"/>
      <c r="G81" s="142"/>
      <c r="K81" s="648"/>
      <c r="L81" s="649"/>
      <c r="M81" s="649"/>
    </row>
    <row r="82" spans="1:13" ht="16.5" thickBot="1">
      <c r="G82" s="142"/>
    </row>
    <row r="83" spans="1:13" ht="16.5" thickBot="1">
      <c r="A83" s="622" t="s">
        <v>1222</v>
      </c>
      <c r="B83" s="622">
        <f ca="1">COUNTIF($D$71:$D$79,"&lt;0")</f>
        <v>0</v>
      </c>
      <c r="C83" s="1082" t="e">
        <f ca="1">INDEX(E71:E79,COUNTIF(D71:D79,"&lt;0")+1)</f>
        <v>#REF!</v>
      </c>
      <c r="D83" s="1083" t="e">
        <f ca="1">B83+C83</f>
        <v>#REF!</v>
      </c>
      <c r="G83" s="142"/>
      <c r="J83" s="37"/>
      <c r="K83" s="650"/>
      <c r="L83" s="603"/>
    </row>
    <row r="84" spans="1:13">
      <c r="G84" s="142"/>
    </row>
    <row r="85" spans="1:13">
      <c r="A85" s="630" t="s">
        <v>1232</v>
      </c>
      <c r="B85" s="631" t="e">
        <f ca="1">SUM(C70:C79)</f>
        <v>#REF!</v>
      </c>
      <c r="C85" s="649"/>
      <c r="G85" s="142"/>
      <c r="J85" s="37"/>
      <c r="K85" s="591"/>
    </row>
    <row r="86" spans="1:13">
      <c r="G86" s="142"/>
    </row>
    <row r="87" spans="1:13">
      <c r="A87" s="622" t="s">
        <v>1272</v>
      </c>
      <c r="B87" s="673"/>
      <c r="C87" s="617"/>
      <c r="G87" s="142"/>
    </row>
    <row r="88" spans="1:13">
      <c r="A88" t="s">
        <v>1240</v>
      </c>
      <c r="B88" s="632" t="e">
        <f ca="1">(B61-B62)/B62</f>
        <v>#REF!</v>
      </c>
      <c r="G88" s="142"/>
    </row>
    <row r="89" spans="1:13">
      <c r="A89" t="s">
        <v>1286</v>
      </c>
      <c r="B89" s="632" t="e">
        <f ca="1">(C61-C62)/C62</f>
        <v>#REF!</v>
      </c>
      <c r="G89" s="142"/>
    </row>
    <row r="90" spans="1:13">
      <c r="A90" t="s">
        <v>1242</v>
      </c>
      <c r="B90" s="632" t="e">
        <f ca="1">(D61-D62)/D62</f>
        <v>#REF!</v>
      </c>
      <c r="G90" s="142"/>
    </row>
    <row r="91" spans="1:13">
      <c r="A91" t="s">
        <v>1243</v>
      </c>
      <c r="B91" s="632" t="e">
        <f ca="1">(E$61-E$62)/(E$62)</f>
        <v>#REF!</v>
      </c>
      <c r="G91" s="142"/>
    </row>
    <row r="92" spans="1:13">
      <c r="A92" t="s">
        <v>1244</v>
      </c>
      <c r="B92" s="632" t="e">
        <f ca="1">(F$61-F$62)/(F$62)</f>
        <v>#REF!</v>
      </c>
    </row>
    <row r="93" spans="1:13">
      <c r="A93" t="s">
        <v>1267</v>
      </c>
      <c r="B93" s="632" t="e">
        <f ca="1">(G$61-G$62)/(G$62)</f>
        <v>#REF!</v>
      </c>
    </row>
    <row r="94" spans="1:13">
      <c r="A94" t="s">
        <v>1268</v>
      </c>
      <c r="B94" s="632" t="e">
        <f ca="1">(H$61-H$62)/(H$62)</f>
        <v>#REF!</v>
      </c>
    </row>
    <row r="95" spans="1:13">
      <c r="A95" t="s">
        <v>1269</v>
      </c>
      <c r="B95" s="632" t="e">
        <f ca="1">(I$61-I$62)/(I$62)</f>
        <v>#REF!</v>
      </c>
    </row>
    <row r="96" spans="1:13">
      <c r="A96" t="s">
        <v>1270</v>
      </c>
      <c r="B96" s="632" t="e">
        <f ca="1">(J$61-J$62)/(J$62)</f>
        <v>#REF!</v>
      </c>
    </row>
    <row r="97" spans="1:2">
      <c r="A97" t="s">
        <v>1271</v>
      </c>
      <c r="B97" s="632" t="e">
        <f ca="1">(K$61-K$62)/(K$62)</f>
        <v>#REF!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9">
    <tabColor rgb="FF00B050"/>
  </sheetPr>
  <dimension ref="A1:BZ17"/>
  <sheetViews>
    <sheetView zoomScale="80" zoomScaleNormal="80" workbookViewId="0">
      <selection activeCell="K11" sqref="K11"/>
    </sheetView>
  </sheetViews>
  <sheetFormatPr defaultColWidth="8.875" defaultRowHeight="15.75"/>
  <cols>
    <col min="1" max="1" width="17.375" customWidth="1"/>
    <col min="2" max="2" width="14.125" bestFit="1" customWidth="1"/>
    <col min="14" max="14" width="10.5" customWidth="1"/>
    <col min="15" max="15" width="12.625" customWidth="1"/>
    <col min="19" max="19" width="11.125" bestFit="1" customWidth="1"/>
    <col min="20" max="21" width="11" customWidth="1"/>
    <col min="24" max="24" width="10.375" bestFit="1" customWidth="1"/>
    <col min="34" max="34" width="5" style="142" bestFit="1" customWidth="1"/>
    <col min="36" max="36" width="0" hidden="1" customWidth="1"/>
    <col min="38" max="38" width="0" hidden="1" customWidth="1"/>
    <col min="39" max="39" width="11.75" customWidth="1"/>
    <col min="40" max="40" width="7.375" customWidth="1"/>
    <col min="41" max="41" width="13.5" bestFit="1" customWidth="1"/>
    <col min="42" max="42" width="12" customWidth="1"/>
    <col min="43" max="43" width="0" hidden="1" customWidth="1"/>
    <col min="44" max="44" width="3.375" style="142" customWidth="1"/>
    <col min="45" max="45" width="12" customWidth="1"/>
    <col min="46" max="47" width="8.875" customWidth="1"/>
    <col min="48" max="48" width="10" customWidth="1"/>
    <col min="49" max="49" width="8.875" customWidth="1"/>
    <col min="50" max="50" width="11.125" customWidth="1"/>
    <col min="51" max="51" width="8.875" customWidth="1"/>
    <col min="52" max="52" width="12.375" customWidth="1"/>
    <col min="53" max="53" width="6" customWidth="1"/>
    <col min="54" max="54" width="9.125" customWidth="1"/>
    <col min="55" max="55" width="12.375" customWidth="1"/>
    <col min="56" max="58" width="9.125" customWidth="1"/>
    <col min="60" max="60" width="8.875" customWidth="1"/>
    <col min="62" max="62" width="8.875" customWidth="1"/>
    <col min="63" max="63" width="3.125" style="142" customWidth="1"/>
    <col min="64" max="64" width="12.375" customWidth="1"/>
    <col min="65" max="65" width="12.25" customWidth="1"/>
    <col min="66" max="66" width="17.125" customWidth="1"/>
    <col min="67" max="67" width="10.75" bestFit="1" customWidth="1"/>
    <col min="68" max="68" width="13.625" customWidth="1"/>
    <col min="69" max="69" width="10.75" bestFit="1" customWidth="1"/>
    <col min="70" max="70" width="14" bestFit="1" customWidth="1"/>
    <col min="72" max="72" width="12.5" bestFit="1" customWidth="1"/>
    <col min="74" max="74" width="9.625" customWidth="1"/>
    <col min="75" max="75" width="10" customWidth="1"/>
    <col min="76" max="76" width="9.5" customWidth="1"/>
    <col min="78" max="78" width="11.5" customWidth="1"/>
  </cols>
  <sheetData>
    <row r="1" spans="1:78">
      <c r="AS1" t="s">
        <v>44</v>
      </c>
    </row>
    <row r="2" spans="1:78">
      <c r="AP2" t="s">
        <v>44</v>
      </c>
    </row>
    <row r="4" spans="1:78" s="182" customFormat="1" ht="15.75" customHeight="1">
      <c r="A4" s="181"/>
      <c r="C4" s="182">
        <v>365</v>
      </c>
      <c r="D4" s="182" t="s">
        <v>379</v>
      </c>
    </row>
    <row r="5" spans="1:78" s="184" customFormat="1" ht="15.75" customHeight="1" thickBot="1">
      <c r="A5" s="183"/>
      <c r="BP5" s="287"/>
      <c r="BQ5" s="287"/>
      <c r="BR5" s="287"/>
      <c r="BS5" s="287"/>
      <c r="BT5" s="287" t="s">
        <v>1138</v>
      </c>
    </row>
    <row r="6" spans="1:78" ht="96.75" customHeight="1" thickBot="1">
      <c r="A6" s="149" t="s">
        <v>789</v>
      </c>
      <c r="B6" s="103" t="s">
        <v>995</v>
      </c>
      <c r="D6" s="148" t="s">
        <v>637</v>
      </c>
      <c r="E6" s="143"/>
      <c r="F6" s="1519" t="s">
        <v>744</v>
      </c>
      <c r="G6" s="1520"/>
      <c r="H6" s="1520"/>
      <c r="I6" s="1520"/>
      <c r="J6" s="1520"/>
      <c r="K6" s="1520"/>
      <c r="L6" s="1521"/>
      <c r="N6" s="1522" t="s">
        <v>827</v>
      </c>
      <c r="O6" s="1528"/>
      <c r="P6" s="1528"/>
      <c r="Q6" s="1528"/>
      <c r="R6" s="1528"/>
      <c r="S6" s="1528"/>
      <c r="T6" s="1529"/>
      <c r="U6" s="692"/>
      <c r="V6" s="1522" t="s">
        <v>745</v>
      </c>
      <c r="W6" s="1523"/>
      <c r="X6" s="1523"/>
      <c r="Y6" s="1523"/>
      <c r="Z6" s="1523"/>
      <c r="AA6" s="1524"/>
      <c r="AB6" s="143"/>
      <c r="AC6" s="1522" t="s">
        <v>746</v>
      </c>
      <c r="AD6" s="1524"/>
      <c r="AE6" s="160"/>
      <c r="AF6" s="1525" t="s">
        <v>785</v>
      </c>
      <c r="AG6" s="1524"/>
      <c r="AI6" s="137" t="s">
        <v>747</v>
      </c>
      <c r="AJ6" s="137"/>
      <c r="AK6" s="137" t="s">
        <v>748</v>
      </c>
      <c r="AL6" s="137"/>
      <c r="AM6" s="137" t="s">
        <v>749</v>
      </c>
      <c r="AN6" s="137"/>
      <c r="AO6" s="137" t="s">
        <v>939</v>
      </c>
      <c r="AP6" s="137" t="s">
        <v>940</v>
      </c>
      <c r="AQ6" s="137"/>
      <c r="AR6" s="144"/>
      <c r="AS6" s="138" t="s">
        <v>750</v>
      </c>
      <c r="AT6" s="138"/>
      <c r="AU6" s="138"/>
      <c r="AV6" s="138" t="s">
        <v>751</v>
      </c>
      <c r="AW6" s="138"/>
      <c r="AX6" s="138" t="s">
        <v>984</v>
      </c>
      <c r="AY6" s="138"/>
      <c r="AZ6" s="138" t="s">
        <v>985</v>
      </c>
      <c r="BA6" s="222"/>
      <c r="BB6" s="222"/>
      <c r="BC6" s="138" t="s">
        <v>1343</v>
      </c>
      <c r="BD6" s="138"/>
      <c r="BE6" s="138" t="s">
        <v>921</v>
      </c>
      <c r="BF6" s="138" t="s">
        <v>922</v>
      </c>
      <c r="BG6" s="138" t="s">
        <v>752</v>
      </c>
      <c r="BH6" s="138"/>
      <c r="BI6" s="138" t="s">
        <v>753</v>
      </c>
      <c r="BJ6" s="222"/>
      <c r="BL6" s="777" t="s">
        <v>1371</v>
      </c>
      <c r="BM6" s="777" t="s">
        <v>1372</v>
      </c>
      <c r="BN6" s="776" t="s">
        <v>1370</v>
      </c>
      <c r="BO6" s="223"/>
      <c r="BP6" s="776" t="s">
        <v>1179</v>
      </c>
      <c r="BQ6" s="775"/>
      <c r="BR6" s="407" t="s">
        <v>253</v>
      </c>
      <c r="BS6" s="408" t="s">
        <v>1024</v>
      </c>
      <c r="BT6" s="409" t="e">
        <f ca="1">BN16</f>
        <v>#NAME?</v>
      </c>
      <c r="BU6" s="409" t="e">
        <f ca="1">BP16</f>
        <v>#NAME?</v>
      </c>
      <c r="BV6" s="139"/>
      <c r="BW6" s="139"/>
    </row>
    <row r="7" spans="1:78" s="140" customFormat="1" ht="87.75" customHeight="1">
      <c r="A7" s="30"/>
      <c r="B7" s="30"/>
      <c r="C7" s="30"/>
      <c r="D7" s="198" t="s">
        <v>754</v>
      </c>
      <c r="E7" s="198"/>
      <c r="F7" s="198" t="s">
        <v>988</v>
      </c>
      <c r="G7" s="198"/>
      <c r="H7" s="198" t="s">
        <v>1292</v>
      </c>
      <c r="I7" s="930" t="s">
        <v>1293</v>
      </c>
      <c r="J7" s="930" t="s">
        <v>1565</v>
      </c>
      <c r="K7" s="289" t="s">
        <v>1566</v>
      </c>
      <c r="L7" s="289" t="s">
        <v>1567</v>
      </c>
      <c r="M7" s="198"/>
      <c r="N7" s="199" t="s">
        <v>989</v>
      </c>
      <c r="O7" s="1526" t="s">
        <v>990</v>
      </c>
      <c r="P7" s="1526" t="s">
        <v>790</v>
      </c>
      <c r="Q7" s="691" t="s">
        <v>1305</v>
      </c>
      <c r="R7" s="758" t="s">
        <v>1362</v>
      </c>
      <c r="S7" s="200" t="s">
        <v>1351</v>
      </c>
      <c r="T7" s="199" t="s">
        <v>991</v>
      </c>
      <c r="U7" s="200" t="s">
        <v>1306</v>
      </c>
      <c r="V7" s="198" t="s">
        <v>755</v>
      </c>
      <c r="W7" s="573" t="s">
        <v>756</v>
      </c>
      <c r="X7" s="574" t="s">
        <v>982</v>
      </c>
      <c r="Y7" s="574" t="s">
        <v>983</v>
      </c>
      <c r="Z7" s="200" t="s">
        <v>757</v>
      </c>
      <c r="AA7" s="198" t="s">
        <v>758</v>
      </c>
      <c r="AB7" s="200"/>
      <c r="AC7" s="200"/>
      <c r="AD7" s="200" t="s">
        <v>994</v>
      </c>
      <c r="AE7" s="200"/>
      <c r="AF7" s="200" t="s">
        <v>992</v>
      </c>
      <c r="AG7" s="200" t="s">
        <v>993</v>
      </c>
      <c r="AH7" s="201"/>
      <c r="AI7" s="200" t="s">
        <v>927</v>
      </c>
      <c r="AJ7" s="30" t="s">
        <v>759</v>
      </c>
      <c r="AK7" s="200" t="s">
        <v>928</v>
      </c>
      <c r="AL7" s="30" t="s">
        <v>759</v>
      </c>
      <c r="AM7" s="200" t="s">
        <v>929</v>
      </c>
      <c r="AN7" s="30" t="s">
        <v>759</v>
      </c>
      <c r="AO7" s="200" t="s">
        <v>941</v>
      </c>
      <c r="AP7" s="200" t="s">
        <v>942</v>
      </c>
      <c r="AQ7" s="30" t="s">
        <v>759</v>
      </c>
      <c r="AR7" s="202"/>
      <c r="AS7" s="30" t="s">
        <v>930</v>
      </c>
      <c r="AT7" s="200" t="s">
        <v>759</v>
      </c>
      <c r="AU7" s="200" t="s">
        <v>759</v>
      </c>
      <c r="AV7" s="30" t="s">
        <v>931</v>
      </c>
      <c r="AW7" s="200" t="s">
        <v>759</v>
      </c>
      <c r="AX7" s="290" t="s">
        <v>932</v>
      </c>
      <c r="AY7" s="291" t="s">
        <v>759</v>
      </c>
      <c r="AZ7" s="291" t="s">
        <v>933</v>
      </c>
      <c r="BA7" s="291" t="s">
        <v>759</v>
      </c>
      <c r="BB7" s="291" t="s">
        <v>759</v>
      </c>
      <c r="BC7" s="291" t="s">
        <v>934</v>
      </c>
      <c r="BD7" s="200" t="s">
        <v>759</v>
      </c>
      <c r="BE7" s="200" t="s">
        <v>83</v>
      </c>
      <c r="BF7" s="30" t="s">
        <v>935</v>
      </c>
      <c r="BG7" s="200" t="s">
        <v>936</v>
      </c>
      <c r="BH7" s="200" t="s">
        <v>759</v>
      </c>
      <c r="BI7" s="200" t="s">
        <v>937</v>
      </c>
      <c r="BJ7" s="413" t="s">
        <v>759</v>
      </c>
      <c r="BK7" s="204"/>
      <c r="BL7" s="51" t="s">
        <v>1346</v>
      </c>
      <c r="BM7" s="51" t="s">
        <v>1346</v>
      </c>
      <c r="BN7" s="205" t="s">
        <v>119</v>
      </c>
      <c r="BO7" s="205" t="s">
        <v>1023</v>
      </c>
      <c r="BP7" s="205" t="s">
        <v>119</v>
      </c>
      <c r="BQ7" s="205" t="s">
        <v>1023</v>
      </c>
      <c r="BR7" s="205" t="s">
        <v>811</v>
      </c>
      <c r="BS7" s="2" t="s">
        <v>1174</v>
      </c>
      <c r="BT7" s="752" t="str">
        <f ca="1">BO16</f>
        <v/>
      </c>
      <c r="BU7" s="752" t="str">
        <f ca="1">BQ16</f>
        <v/>
      </c>
    </row>
    <row r="8" spans="1:78" s="140" customFormat="1" ht="21.75" customHeight="1">
      <c r="A8" s="30"/>
      <c r="B8" s="30"/>
      <c r="C8" s="30"/>
      <c r="D8" s="206"/>
      <c r="E8" s="198"/>
      <c r="F8" s="206"/>
      <c r="G8" s="206"/>
      <c r="H8" s="206"/>
      <c r="I8" s="206"/>
      <c r="J8" s="206"/>
      <c r="K8" s="206"/>
      <c r="M8" s="207"/>
      <c r="N8" s="208"/>
      <c r="O8" s="1527"/>
      <c r="P8" s="1527"/>
      <c r="Q8" s="209"/>
      <c r="R8" s="209"/>
      <c r="S8" s="209"/>
      <c r="T8" s="209"/>
      <c r="U8" s="209"/>
      <c r="V8" s="206"/>
      <c r="W8" s="208"/>
      <c r="X8" s="208"/>
      <c r="Y8" s="208"/>
      <c r="Z8" s="208"/>
      <c r="AA8" s="206"/>
      <c r="AB8" s="200"/>
      <c r="AC8" s="208"/>
      <c r="AD8" s="208"/>
      <c r="AE8" s="208"/>
      <c r="AF8" s="208"/>
      <c r="AG8" s="208"/>
      <c r="AH8" s="201"/>
      <c r="AI8" s="200"/>
      <c r="AJ8" s="30"/>
      <c r="AK8" s="200"/>
      <c r="AL8" s="30"/>
      <c r="AM8" s="200"/>
      <c r="AN8" s="30"/>
      <c r="AO8" s="30"/>
      <c r="AP8" s="200"/>
      <c r="AQ8" s="30"/>
      <c r="AR8" s="202"/>
      <c r="AS8" s="30"/>
      <c r="AT8" s="200"/>
      <c r="AU8" s="210" t="s">
        <v>766</v>
      </c>
      <c r="AV8" s="30"/>
      <c r="AW8" s="30"/>
      <c r="AX8" s="290"/>
      <c r="AY8" s="290"/>
      <c r="AZ8" s="290"/>
      <c r="BA8" s="290"/>
      <c r="BB8" s="290"/>
      <c r="BC8" s="290"/>
      <c r="BD8" s="30"/>
      <c r="BE8" s="30"/>
      <c r="BF8" s="30"/>
      <c r="BG8" s="30"/>
      <c r="BH8" s="200"/>
      <c r="BI8" s="200"/>
      <c r="BJ8" s="203"/>
      <c r="BK8" s="204"/>
      <c r="BN8" s="203"/>
      <c r="BO8" s="288"/>
      <c r="BP8" s="288"/>
      <c r="BQ8" s="288"/>
      <c r="BR8" s="141"/>
      <c r="BS8" s="751" t="s">
        <v>1347</v>
      </c>
      <c r="BU8" s="753" t="s">
        <v>1350</v>
      </c>
      <c r="BV8" s="753" t="s">
        <v>1352</v>
      </c>
      <c r="BW8" s="753" t="s">
        <v>1353</v>
      </c>
      <c r="BX8" s="7" t="s">
        <v>1364</v>
      </c>
      <c r="BY8" s="7" t="s">
        <v>1365</v>
      </c>
      <c r="BZ8" s="754" t="s">
        <v>1363</v>
      </c>
    </row>
    <row r="9" spans="1:78">
      <c r="A9" t="str">
        <f>INPUTS!D73</f>
        <v>Purchased</v>
      </c>
      <c r="B9" s="39">
        <f>VLOOKUP(A9,'Crop parameters'!$A$2:$Z$43,13,FALSE)</f>
        <v>0</v>
      </c>
      <c r="C9" s="39"/>
      <c r="D9" s="39">
        <f>'Land requirements'!E4</f>
        <v>0</v>
      </c>
      <c r="E9" s="39"/>
      <c r="F9" s="39">
        <f>INPUTS!E97</f>
        <v>0</v>
      </c>
      <c r="G9" s="39"/>
      <c r="H9" s="39">
        <f>IFERROR(Feed!$O$175*(S9+U9)/($S$16+$U$16),0)</f>
        <v>0</v>
      </c>
      <c r="I9" s="39">
        <f>Feed!$Q$175*INPUTS!F97</f>
        <v>0</v>
      </c>
      <c r="J9" s="39">
        <f>Feed!$S$175*INPUTS!F97</f>
        <v>0</v>
      </c>
      <c r="K9" s="39">
        <f>H9+I9+J9</f>
        <v>0</v>
      </c>
      <c r="L9" s="39">
        <f t="shared" ref="L9:L15" si="0">IF(ISERROR(K9/D9),0,(K9/D9))</f>
        <v>0</v>
      </c>
      <c r="M9" s="39"/>
      <c r="N9" s="39">
        <f>VLOOKUP(INPUTS!$D73,'Crop parameters'!$A$2:$Z$43,4, FALSE)*1000</f>
        <v>0</v>
      </c>
      <c r="O9" s="39">
        <f>VLOOKUP(INPUTS!$D73,'Crop parameters'!$A$2:$Z$43,8,FALSE)*1000</f>
        <v>0</v>
      </c>
      <c r="P9" s="39">
        <f>INPUTS!F88</f>
        <v>0</v>
      </c>
      <c r="Q9" s="39">
        <f>INPUTS!E88</f>
        <v>1</v>
      </c>
      <c r="R9" s="39">
        <f>N9*Q9</f>
        <v>0</v>
      </c>
      <c r="S9" s="39">
        <f>R9*D9</f>
        <v>0</v>
      </c>
      <c r="T9" s="39">
        <f>O9*P9</f>
        <v>0</v>
      </c>
      <c r="U9" s="39">
        <f>T9*D9</f>
        <v>0</v>
      </c>
      <c r="V9" s="39">
        <f>'Area Parameters'!D$2</f>
        <v>3000</v>
      </c>
      <c r="W9" s="39">
        <f>'Area Parameters'!D$5</f>
        <v>1.5</v>
      </c>
      <c r="X9" s="39">
        <f>W9*20*'Area Parameters'!D$8*10</f>
        <v>309</v>
      </c>
      <c r="Y9" s="39">
        <f>3%*X9</f>
        <v>9.27</v>
      </c>
      <c r="Z9" s="39">
        <f>'Area Parameters'!D$6</f>
        <v>15</v>
      </c>
      <c r="AA9" s="39">
        <f>'Area Parameters'!D$7</f>
        <v>44</v>
      </c>
      <c r="AB9" s="39"/>
      <c r="AC9" s="39"/>
      <c r="AD9" s="39">
        <f>'GHG Parameters'!C$231</f>
        <v>1</v>
      </c>
      <c r="AE9" s="39"/>
      <c r="AF9" s="272">
        <f>VLOOKUP(A9,'Crop parameters'!$A$2:$Z$43,10, FALSE)</f>
        <v>0</v>
      </c>
      <c r="AG9" s="272">
        <f>VLOOKUP(A9,'Crop parameters'!$A$2:$Z$43,11, FALSE)</f>
        <v>0</v>
      </c>
      <c r="AH9" s="188"/>
      <c r="AI9" s="39" t="e">
        <f t="shared" ref="AI9:AI15" ca="1" si="1">Fertilizer_N_applied(F9,D9)</f>
        <v>#NAME?</v>
      </c>
      <c r="AJ9" s="39" t="s">
        <v>761</v>
      </c>
      <c r="AK9" s="39">
        <f>K9</f>
        <v>0</v>
      </c>
      <c r="AL9" s="39" t="s">
        <v>762</v>
      </c>
      <c r="AM9" s="39" t="e">
        <f ca="1">Atm_Ndeposition(V9,D9)</f>
        <v>#NAME?</v>
      </c>
      <c r="AN9" s="39" t="s">
        <v>763</v>
      </c>
      <c r="AO9" s="598">
        <f>IF(D9&gt;0, Non_Symbiotic_Nfixation(V9,D9),0)</f>
        <v>0</v>
      </c>
      <c r="AP9" s="195" t="e">
        <f ca="1">Symbiotic_Nfixation(B9,D9)</f>
        <v>#NAME?</v>
      </c>
      <c r="AQ9" s="39" t="s">
        <v>764</v>
      </c>
      <c r="AR9" s="188"/>
      <c r="AS9" s="39">
        <f t="shared" ref="AS9:AS15" si="2">D9*R9*AF9</f>
        <v>0</v>
      </c>
      <c r="AT9" s="39" t="s">
        <v>765</v>
      </c>
      <c r="AU9" s="189" t="s">
        <v>766</v>
      </c>
      <c r="AV9" s="39" t="e">
        <f ca="1">IF(INPUTS!$E73="Main", 0, N_output_Residues(T9,AG9,D9))</f>
        <v>#NAME?</v>
      </c>
      <c r="AW9" s="39" t="s">
        <v>767</v>
      </c>
      <c r="AX9" s="292" t="e">
        <f t="shared" ref="AX9:AX15" ca="1" si="3">N_leach_clay35OR_less(Y9,F9,AK9,V9)</f>
        <v>#NAME?</v>
      </c>
      <c r="AY9" s="292" t="s">
        <v>769</v>
      </c>
      <c r="AZ9" s="293" t="e">
        <f t="shared" ref="AZ9:AZ15" ca="1" si="4">N_leach_clay35to55(Y9,F9,AK9,V9)</f>
        <v>#NAME?</v>
      </c>
      <c r="BA9" s="292"/>
      <c r="BB9" s="292" t="s">
        <v>768</v>
      </c>
      <c r="BC9" s="292" t="e">
        <f t="shared" ref="BC9:BC15" ca="1" si="5">N_leach_clay55Or_more(Y9,F9,AK9,V9)</f>
        <v>#NAME?</v>
      </c>
      <c r="BD9" s="39" t="s">
        <v>770</v>
      </c>
      <c r="BE9" s="39">
        <f>'Area Parameters'!D$7</f>
        <v>44</v>
      </c>
      <c r="BF9" s="276" t="e">
        <f t="shared" ref="BF9:BF15" ca="1" si="6">IF(BE9&lt;=35,AX9,IF(BE9&gt;=55,BC9,AZ9))</f>
        <v>#NAME?</v>
      </c>
      <c r="BG9" s="39" t="e">
        <f t="shared" ref="BG9:BG15" ca="1" si="7">N_output_gas(Y9,F9,L9,AA9,V9,D9)</f>
        <v>#NAME?</v>
      </c>
      <c r="BH9" s="39" t="s">
        <v>771</v>
      </c>
      <c r="BI9" s="39">
        <f>('Soil erosion'!I4*W9*1.5)</f>
        <v>0</v>
      </c>
      <c r="BJ9" t="s">
        <v>783</v>
      </c>
      <c r="BL9" s="39">
        <f>IF(D9&gt;0,SUM(AI9:AP9),0)</f>
        <v>0</v>
      </c>
      <c r="BM9" s="39">
        <f>IF(D9&gt;0,SUM(AS9,AV9,BF9,BG9,BI9),0)</f>
        <v>0</v>
      </c>
      <c r="BN9" s="39">
        <f>BL9-BM9</f>
        <v>0</v>
      </c>
      <c r="BO9" s="39" t="str">
        <f t="shared" ref="BO9:BO16" si="8">IFERROR(BN9/D9,"")</f>
        <v/>
      </c>
      <c r="BP9" s="39">
        <f>IF(BN9=0,0,IF(AV9=0,BN9,BN9*(AV9/(AV9+AS9))))</f>
        <v>0</v>
      </c>
      <c r="BQ9" s="39" t="str">
        <f t="shared" ref="BQ9:BQ16" si="9">IFERROR(BP9/D9,"")</f>
        <v/>
      </c>
      <c r="BS9" s="39">
        <f t="shared" ref="BS9:BS15" si="10">D9</f>
        <v>0</v>
      </c>
      <c r="BT9" s="39"/>
      <c r="BU9" s="39" t="str">
        <f>IFERROR(BM9/BL9,"")</f>
        <v/>
      </c>
      <c r="BV9" s="653">
        <f ca="1">SUMIF(BU9:BU15,"&gt;0.9",BS9:BS15)*100/BS16</f>
        <v>0</v>
      </c>
      <c r="BW9" s="653">
        <f ca="1">SUMIF(BU9:BU15,"&lt;0.5",BS9:BS15)/BS16</f>
        <v>0</v>
      </c>
      <c r="BX9" s="370">
        <f t="shared" ref="BX9:BX15" si="11">IF(O9*D9&gt;0,O9*D9,N9*D9)</f>
        <v>0</v>
      </c>
      <c r="BY9" s="370">
        <f t="shared" ref="BY9:BY15" si="12">IF(O9*D9&gt;0,N9*D9,0)</f>
        <v>0</v>
      </c>
      <c r="BZ9" s="772" t="str">
        <f>IFERROR(BY9/BX9,"")</f>
        <v/>
      </c>
    </row>
    <row r="10" spans="1:78">
      <c r="A10" t="str">
        <f>INPUTS!D74</f>
        <v>Maize</v>
      </c>
      <c r="B10" s="39">
        <f>VLOOKUP(A10,'Crop parameters'!$A$2:$Z$43,13,FALSE)</f>
        <v>0</v>
      </c>
      <c r="C10" s="39"/>
      <c r="D10" s="39">
        <f>'Land requirements'!E5</f>
        <v>0</v>
      </c>
      <c r="E10" s="39"/>
      <c r="F10" s="39">
        <f>INPUTS!E98</f>
        <v>0</v>
      </c>
      <c r="G10" s="39"/>
      <c r="H10" s="39">
        <f>IFERROR(Feed!$O$175*(S10+U10)/($S$16+$U$16),0)</f>
        <v>0</v>
      </c>
      <c r="I10" s="39">
        <f>Feed!$Q$175*INPUTS!F98</f>
        <v>0</v>
      </c>
      <c r="J10" s="39">
        <f>Feed!$S$175*INPUTS!F98</f>
        <v>0</v>
      </c>
      <c r="K10" s="39">
        <f t="shared" ref="K10:K15" si="13">H10+I10+J10</f>
        <v>0</v>
      </c>
      <c r="L10" s="39">
        <f t="shared" si="0"/>
        <v>0</v>
      </c>
      <c r="M10" s="39"/>
      <c r="N10" s="39">
        <f>VLOOKUP(INPUTS!$D74,'Crop parameters'!$A$2:$Z$43,4, FALSE)*1000</f>
        <v>1064</v>
      </c>
      <c r="O10" s="39">
        <f>VLOOKUP(INPUTS!$D74,'Crop parameters'!$A$2:$Z$43,8,FALSE)*1000</f>
        <v>3000</v>
      </c>
      <c r="P10" s="39">
        <f>INPUTS!F89</f>
        <v>0</v>
      </c>
      <c r="Q10" s="39">
        <f>INPUTS!E89</f>
        <v>1</v>
      </c>
      <c r="R10" s="39">
        <f t="shared" ref="R10:R15" si="14">N10*Q10</f>
        <v>1064</v>
      </c>
      <c r="S10" s="39">
        <f t="shared" ref="S10:S15" si="15">R10*D10</f>
        <v>0</v>
      </c>
      <c r="T10" s="39">
        <f t="shared" ref="T10:T15" si="16">O10*P10</f>
        <v>0</v>
      </c>
      <c r="U10" s="39">
        <f t="shared" ref="U10:U15" si="17">T10*D10</f>
        <v>0</v>
      </c>
      <c r="V10" s="39">
        <f>'Area Parameters'!D$2</f>
        <v>3000</v>
      </c>
      <c r="W10" s="39">
        <f>'Area Parameters'!D$5</f>
        <v>1.5</v>
      </c>
      <c r="X10" s="39">
        <f>W10*20*'Area Parameters'!D$8*10</f>
        <v>309</v>
      </c>
      <c r="Y10" s="39">
        <f t="shared" ref="Y10:Y15" si="18">3%*X10</f>
        <v>9.27</v>
      </c>
      <c r="Z10" s="39">
        <f>'Area Parameters'!D$6</f>
        <v>15</v>
      </c>
      <c r="AA10" s="39">
        <f>'Area Parameters'!D$7</f>
        <v>44</v>
      </c>
      <c r="AB10" s="39"/>
      <c r="AC10" s="39"/>
      <c r="AD10" s="39">
        <f>'GHG Parameters'!C$231</f>
        <v>1</v>
      </c>
      <c r="AE10" s="39"/>
      <c r="AF10" s="272">
        <f>VLOOKUP(A10,'Crop parameters'!$A$2:$Z$43,10, FALSE)</f>
        <v>1.7000000000000001E-2</v>
      </c>
      <c r="AG10" s="272">
        <f>VLOOKUP(A10,'Crop parameters'!$A$2:$Z$43,11, FALSE)</f>
        <v>7.0000000000000001E-3</v>
      </c>
      <c r="AH10" s="188"/>
      <c r="AI10" s="39" t="e">
        <f t="shared" ca="1" si="1"/>
        <v>#NAME?</v>
      </c>
      <c r="AJ10" s="39" t="s">
        <v>761</v>
      </c>
      <c r="AK10" s="39">
        <f t="shared" ref="AK10:AK15" si="19">K10</f>
        <v>0</v>
      </c>
      <c r="AL10" s="39" t="s">
        <v>762</v>
      </c>
      <c r="AM10" s="39" t="e">
        <f t="shared" ref="AM10:AM15" ca="1" si="20">Atm_Ndeposition(V10,D10)*$C$4/365</f>
        <v>#NAME?</v>
      </c>
      <c r="AN10" s="39" t="s">
        <v>763</v>
      </c>
      <c r="AO10" s="598">
        <f>IF(D10&gt;0, Non_Symbiotic_Nfixation(V10,D10),0)</f>
        <v>0</v>
      </c>
      <c r="AP10" s="195" t="e">
        <f ca="1">Symbiotic_Nfixation(B10,D10)</f>
        <v>#NAME?</v>
      </c>
      <c r="AQ10" s="39" t="s">
        <v>764</v>
      </c>
      <c r="AR10" s="188"/>
      <c r="AS10" s="39">
        <f t="shared" si="2"/>
        <v>0</v>
      </c>
      <c r="AT10" s="39" t="s">
        <v>765</v>
      </c>
      <c r="AU10" s="189" t="s">
        <v>766</v>
      </c>
      <c r="AV10" s="39" t="e">
        <f ca="1">IF(INPUTS!$E74="Main", 0, N_output_Residues(T10,AG10,D10))</f>
        <v>#NAME?</v>
      </c>
      <c r="AW10" s="39" t="s">
        <v>767</v>
      </c>
      <c r="AX10" s="292" t="e">
        <f t="shared" ca="1" si="3"/>
        <v>#NAME?</v>
      </c>
      <c r="AY10" s="292" t="s">
        <v>769</v>
      </c>
      <c r="AZ10" s="293" t="e">
        <f t="shared" ca="1" si="4"/>
        <v>#NAME?</v>
      </c>
      <c r="BA10" s="292"/>
      <c r="BB10" s="292" t="s">
        <v>768</v>
      </c>
      <c r="BC10" s="292" t="e">
        <f t="shared" ca="1" si="5"/>
        <v>#NAME?</v>
      </c>
      <c r="BD10" s="39" t="s">
        <v>770</v>
      </c>
      <c r="BE10" s="39">
        <f>'Area Parameters'!D$7</f>
        <v>44</v>
      </c>
      <c r="BF10" s="276" t="e">
        <f t="shared" ca="1" si="6"/>
        <v>#NAME?</v>
      </c>
      <c r="BG10" s="39" t="e">
        <f t="shared" ca="1" si="7"/>
        <v>#NAME?</v>
      </c>
      <c r="BH10" s="39" t="s">
        <v>771</v>
      </c>
      <c r="BI10" s="39">
        <f>('Soil erosion'!I5*W10*1.5)</f>
        <v>0</v>
      </c>
      <c r="BJ10" t="s">
        <v>783</v>
      </c>
      <c r="BL10" s="39">
        <f t="shared" ref="BL10:BL15" si="21">IF(D10&gt;0,SUM(AI10:AP10),0)</f>
        <v>0</v>
      </c>
      <c r="BM10" s="39">
        <f t="shared" ref="BM10:BM15" si="22">IF(D10&gt;0,SUM(AS10,AV10,BF10,BG10,BI10),0)</f>
        <v>0</v>
      </c>
      <c r="BN10" s="39">
        <f t="shared" ref="BN10:BN15" si="23">BL10-BM10</f>
        <v>0</v>
      </c>
      <c r="BO10" s="39" t="str">
        <f t="shared" si="8"/>
        <v/>
      </c>
      <c r="BP10" s="39">
        <f t="shared" ref="BP10:BP15" si="24">IF(BN10=0,0,IF(AV10=0,BN10,BN10*(AV10/(AV10+AS10))))</f>
        <v>0</v>
      </c>
      <c r="BQ10" s="39" t="str">
        <f t="shared" si="9"/>
        <v/>
      </c>
      <c r="BS10" s="39">
        <f t="shared" si="10"/>
        <v>0</v>
      </c>
      <c r="BT10" s="39"/>
      <c r="BU10" s="39" t="str">
        <f t="shared" ref="BU10:BU15" si="25">IFERROR(BM10/BL10,"")</f>
        <v/>
      </c>
      <c r="BX10" s="370">
        <f t="shared" si="11"/>
        <v>0</v>
      </c>
      <c r="BY10" s="370">
        <f t="shared" si="12"/>
        <v>0</v>
      </c>
      <c r="BZ10" s="772" t="str">
        <f t="shared" ref="BZ10:BZ16" si="26">IFERROR(BY10/BX10,"")</f>
        <v/>
      </c>
    </row>
    <row r="11" spans="1:78">
      <c r="A11" t="str">
        <f>INPUTS!D75</f>
        <v xml:space="preserve">Brachiaria brizantha </v>
      </c>
      <c r="B11" s="39">
        <f>VLOOKUP(A11,'Crop parameters'!$A$2:$Z$43,13,FALSE)</f>
        <v>0</v>
      </c>
      <c r="C11" s="39"/>
      <c r="D11" s="39">
        <f>'Land requirements'!E6</f>
        <v>0.40367398851420322</v>
      </c>
      <c r="E11" s="39"/>
      <c r="F11" s="39">
        <f>INPUTS!E99</f>
        <v>0</v>
      </c>
      <c r="G11" s="39"/>
      <c r="H11" s="39">
        <f>IFERROR(Feed!$O$175*(S11+U11)/($S$16+$U$16),0)</f>
        <v>14.502291181859242</v>
      </c>
      <c r="I11" s="39">
        <f>Feed!$Q$175*INPUTS!F99</f>
        <v>167.63817700231886</v>
      </c>
      <c r="J11" s="39">
        <f>Feed!$S$175*INPUTS!F99</f>
        <v>0</v>
      </c>
      <c r="K11" s="39">
        <f t="shared" si="13"/>
        <v>182.1404681841781</v>
      </c>
      <c r="L11" s="39">
        <f t="shared" si="0"/>
        <v>451.20684851302849</v>
      </c>
      <c r="M11" s="39"/>
      <c r="N11" s="39">
        <f>VLOOKUP(INPUTS!$D75,'Crop parameters'!$A$2:$Z$43,4, FALSE)*1000</f>
        <v>15646.575342465754</v>
      </c>
      <c r="O11" s="39">
        <f>VLOOKUP(INPUTS!$D75,'Crop parameters'!$A$2:$Z$43,8,FALSE)*1000</f>
        <v>0</v>
      </c>
      <c r="P11" s="39">
        <f>INPUTS!F90</f>
        <v>0</v>
      </c>
      <c r="Q11" s="39">
        <f>INPUTS!E90</f>
        <v>0.9</v>
      </c>
      <c r="R11" s="39">
        <f t="shared" si="14"/>
        <v>14081.917808219179</v>
      </c>
      <c r="S11" s="39">
        <f t="shared" si="15"/>
        <v>5684.5039275730223</v>
      </c>
      <c r="T11" s="39">
        <f t="shared" si="16"/>
        <v>0</v>
      </c>
      <c r="U11" s="39">
        <f t="shared" si="17"/>
        <v>0</v>
      </c>
      <c r="V11" s="39">
        <f>'Area Parameters'!D$2</f>
        <v>3000</v>
      </c>
      <c r="W11" s="39">
        <f>'Area Parameters'!D$5</f>
        <v>1.5</v>
      </c>
      <c r="X11" s="39">
        <f>W11*20*'Area Parameters'!D$8*10</f>
        <v>309</v>
      </c>
      <c r="Y11" s="39">
        <f t="shared" si="18"/>
        <v>9.27</v>
      </c>
      <c r="Z11" s="39">
        <f>'Area Parameters'!D$6</f>
        <v>15</v>
      </c>
      <c r="AA11" s="39">
        <f>'Area Parameters'!D$7</f>
        <v>44</v>
      </c>
      <c r="AB11" s="39"/>
      <c r="AC11" s="39"/>
      <c r="AD11" s="39">
        <f>'GHG Parameters'!C$231</f>
        <v>1</v>
      </c>
      <c r="AE11" s="39"/>
      <c r="AF11" s="272">
        <f>VLOOKUP(A11,'Crop parameters'!$A$2:$Z$43,10, FALSE)</f>
        <v>1.7600000000000001E-2</v>
      </c>
      <c r="AG11" s="272">
        <f>VLOOKUP(A11,'Crop parameters'!$A$2:$Z$43,11, FALSE)</f>
        <v>1.7600000000000001E-2</v>
      </c>
      <c r="AH11" s="188"/>
      <c r="AI11" s="39" t="e">
        <f t="shared" ca="1" si="1"/>
        <v>#NAME?</v>
      </c>
      <c r="AJ11" s="39" t="s">
        <v>761</v>
      </c>
      <c r="AK11" s="39">
        <f t="shared" si="19"/>
        <v>182.1404681841781</v>
      </c>
      <c r="AL11" s="39" t="s">
        <v>762</v>
      </c>
      <c r="AM11" s="39" t="e">
        <f t="shared" ca="1" si="20"/>
        <v>#NAME?</v>
      </c>
      <c r="AN11" s="39" t="s">
        <v>763</v>
      </c>
      <c r="AO11" s="598" t="e">
        <f ca="1">IF(D11&gt;0, Non_Symbiotic_Nfixation(V11,D11),0)</f>
        <v>#NAME?</v>
      </c>
      <c r="AP11" s="195" t="e">
        <f ca="1">Symbiotic_Nfixation(B11,D11)</f>
        <v>#NAME?</v>
      </c>
      <c r="AQ11" s="39" t="s">
        <v>764</v>
      </c>
      <c r="AR11" s="188"/>
      <c r="AS11" s="39">
        <f t="shared" si="2"/>
        <v>100.0472691252852</v>
      </c>
      <c r="AT11" s="39" t="s">
        <v>765</v>
      </c>
      <c r="AU11" s="189" t="s">
        <v>766</v>
      </c>
      <c r="AV11" s="39">
        <f>IF(INPUTS!$E75="Main", 0, N_output_Residues(T11,AG11,D11))</f>
        <v>0</v>
      </c>
      <c r="AW11" s="39" t="s">
        <v>767</v>
      </c>
      <c r="AX11" s="292" t="e">
        <f t="shared" ca="1" si="3"/>
        <v>#NAME?</v>
      </c>
      <c r="AY11" s="292" t="s">
        <v>769</v>
      </c>
      <c r="AZ11" s="293" t="e">
        <f t="shared" ca="1" si="4"/>
        <v>#NAME?</v>
      </c>
      <c r="BA11" s="292"/>
      <c r="BB11" s="292" t="s">
        <v>768</v>
      </c>
      <c r="BC11" s="292" t="e">
        <f t="shared" ca="1" si="5"/>
        <v>#NAME?</v>
      </c>
      <c r="BD11" s="39" t="s">
        <v>770</v>
      </c>
      <c r="BE11" s="39">
        <f>'Area Parameters'!D$7</f>
        <v>44</v>
      </c>
      <c r="BF11" s="276" t="e">
        <f t="shared" ca="1" si="6"/>
        <v>#NAME?</v>
      </c>
      <c r="BG11" s="39" t="e">
        <f t="shared" ca="1" si="7"/>
        <v>#NAME?</v>
      </c>
      <c r="BH11" s="39" t="s">
        <v>771</v>
      </c>
      <c r="BI11" s="39">
        <f>('Soil erosion'!I6*W11*1.5)</f>
        <v>0.43222512310863348</v>
      </c>
      <c r="BJ11" t="s">
        <v>783</v>
      </c>
      <c r="BL11" s="39" t="e">
        <f t="shared" ca="1" si="21"/>
        <v>#NAME?</v>
      </c>
      <c r="BM11" s="39" t="e">
        <f t="shared" ca="1" si="22"/>
        <v>#NAME?</v>
      </c>
      <c r="BN11" s="39" t="e">
        <f t="shared" ca="1" si="23"/>
        <v>#NAME?</v>
      </c>
      <c r="BO11" s="39" t="str">
        <f t="shared" ca="1" si="8"/>
        <v/>
      </c>
      <c r="BP11" s="39" t="e">
        <f t="shared" ca="1" si="24"/>
        <v>#NAME?</v>
      </c>
      <c r="BQ11" s="39" t="str">
        <f t="shared" ca="1" si="9"/>
        <v/>
      </c>
      <c r="BS11" s="39">
        <f t="shared" si="10"/>
        <v>0.40367398851420322</v>
      </c>
      <c r="BT11" s="39"/>
      <c r="BU11" s="39" t="str">
        <f t="shared" ca="1" si="25"/>
        <v/>
      </c>
      <c r="BX11" s="370">
        <f t="shared" si="11"/>
        <v>6316.1154750811365</v>
      </c>
      <c r="BY11" s="370">
        <f t="shared" si="12"/>
        <v>0</v>
      </c>
      <c r="BZ11" s="772">
        <f t="shared" si="26"/>
        <v>0</v>
      </c>
    </row>
    <row r="12" spans="1:78">
      <c r="A12" t="str">
        <f>INPUTS!D76</f>
        <v>Purchased</v>
      </c>
      <c r="B12" s="39">
        <f>VLOOKUP(A12,'Crop parameters'!$A$2:$Z$43,13,FALSE)</f>
        <v>0</v>
      </c>
      <c r="C12" s="39"/>
      <c r="D12" s="39">
        <f>'Land requirements'!E7</f>
        <v>0</v>
      </c>
      <c r="E12" s="39"/>
      <c r="F12" s="39">
        <f>INPUTS!E100</f>
        <v>0</v>
      </c>
      <c r="G12" s="39"/>
      <c r="H12" s="39">
        <f>IFERROR(Feed!$O$175*(S12+U12)/($S$16+$U$16),0)</f>
        <v>0</v>
      </c>
      <c r="I12" s="39">
        <f>Feed!$Q$175*INPUTS!F100</f>
        <v>0</v>
      </c>
      <c r="J12" s="39">
        <f>Feed!$S$175*INPUTS!F100</f>
        <v>0</v>
      </c>
      <c r="K12" s="39">
        <f t="shared" si="13"/>
        <v>0</v>
      </c>
      <c r="L12" s="39">
        <f t="shared" si="0"/>
        <v>0</v>
      </c>
      <c r="M12" s="39"/>
      <c r="N12" s="39">
        <f>VLOOKUP(INPUTS!$D76,'Crop parameters'!$A$2:$Z$43,4, FALSE)*1000</f>
        <v>0</v>
      </c>
      <c r="O12" s="39">
        <f>VLOOKUP(INPUTS!$D76,'Crop parameters'!$A$2:$Z$43,8,FALSE)*1000</f>
        <v>0</v>
      </c>
      <c r="P12" s="39">
        <f>INPUTS!F91</f>
        <v>0</v>
      </c>
      <c r="Q12" s="39">
        <f>INPUTS!E91</f>
        <v>1</v>
      </c>
      <c r="R12" s="39">
        <f t="shared" si="14"/>
        <v>0</v>
      </c>
      <c r="S12" s="39">
        <f t="shared" si="15"/>
        <v>0</v>
      </c>
      <c r="T12" s="39">
        <f t="shared" si="16"/>
        <v>0</v>
      </c>
      <c r="U12" s="39">
        <f t="shared" si="17"/>
        <v>0</v>
      </c>
      <c r="V12" s="39">
        <f>'Area Parameters'!D$2</f>
        <v>3000</v>
      </c>
      <c r="W12" s="39">
        <f>'Area Parameters'!D$5</f>
        <v>1.5</v>
      </c>
      <c r="X12" s="39">
        <f>W12*20*'Area Parameters'!D$8*10</f>
        <v>309</v>
      </c>
      <c r="Y12" s="39">
        <f t="shared" si="18"/>
        <v>9.27</v>
      </c>
      <c r="Z12" s="39">
        <f>'Area Parameters'!D$6</f>
        <v>15</v>
      </c>
      <c r="AA12" s="39">
        <f>'Area Parameters'!D$7</f>
        <v>44</v>
      </c>
      <c r="AB12" s="39"/>
      <c r="AC12" s="39"/>
      <c r="AD12" s="39">
        <f>'GHG Parameters'!C$231</f>
        <v>1</v>
      </c>
      <c r="AE12" s="39"/>
      <c r="AF12" s="272">
        <f>VLOOKUP(A12,'Crop parameters'!$A$2:$Z$43,10, FALSE)</f>
        <v>0</v>
      </c>
      <c r="AG12" s="272">
        <f>VLOOKUP(A12,'Crop parameters'!$A$2:$Z$43,11, FALSE)</f>
        <v>0</v>
      </c>
      <c r="AH12" s="188"/>
      <c r="AI12" s="39" t="e">
        <f t="shared" ca="1" si="1"/>
        <v>#NAME?</v>
      </c>
      <c r="AJ12" s="39" t="s">
        <v>761</v>
      </c>
      <c r="AK12" s="39">
        <f t="shared" si="19"/>
        <v>0</v>
      </c>
      <c r="AL12" s="39" t="s">
        <v>762</v>
      </c>
      <c r="AM12" s="39" t="e">
        <f t="shared" ca="1" si="20"/>
        <v>#NAME?</v>
      </c>
      <c r="AN12" s="39" t="s">
        <v>763</v>
      </c>
      <c r="AO12" s="598">
        <f>IF(D12&gt;0, Non_Symbiotic_Nfixation(V12,D12),0)</f>
        <v>0</v>
      </c>
      <c r="AP12" s="195">
        <f ca="1">IFERROR(Symbiotic_Nfixation(B12,D12),0)</f>
        <v>0</v>
      </c>
      <c r="AQ12" s="39" t="s">
        <v>764</v>
      </c>
      <c r="AR12" s="188"/>
      <c r="AS12" s="39">
        <f t="shared" si="2"/>
        <v>0</v>
      </c>
      <c r="AT12" s="39" t="s">
        <v>765</v>
      </c>
      <c r="AU12" s="189" t="s">
        <v>766</v>
      </c>
      <c r="AV12" s="39" t="e">
        <f ca="1">IF(INPUTS!$E76="Main", 0, N_output_Residues(T12,AG12,D12))</f>
        <v>#NAME?</v>
      </c>
      <c r="AW12" s="39" t="s">
        <v>767</v>
      </c>
      <c r="AX12" s="292" t="e">
        <f t="shared" ca="1" si="3"/>
        <v>#NAME?</v>
      </c>
      <c r="AY12" s="292" t="s">
        <v>769</v>
      </c>
      <c r="AZ12" s="293" t="e">
        <f t="shared" ca="1" si="4"/>
        <v>#NAME?</v>
      </c>
      <c r="BA12" s="292"/>
      <c r="BB12" s="292" t="s">
        <v>768</v>
      </c>
      <c r="BC12" s="292" t="e">
        <f t="shared" ca="1" si="5"/>
        <v>#NAME?</v>
      </c>
      <c r="BD12" s="39" t="s">
        <v>770</v>
      </c>
      <c r="BE12" s="39">
        <f>'Area Parameters'!D$7</f>
        <v>44</v>
      </c>
      <c r="BF12" s="276" t="e">
        <f t="shared" ca="1" si="6"/>
        <v>#NAME?</v>
      </c>
      <c r="BG12" s="39" t="e">
        <f t="shared" ca="1" si="7"/>
        <v>#NAME?</v>
      </c>
      <c r="BH12" s="39" t="s">
        <v>771</v>
      </c>
      <c r="BI12" s="39">
        <f>('Soil erosion'!I7*W12*1.5)</f>
        <v>0</v>
      </c>
      <c r="BJ12" t="s">
        <v>783</v>
      </c>
      <c r="BL12" s="39">
        <f t="shared" si="21"/>
        <v>0</v>
      </c>
      <c r="BM12" s="39">
        <f t="shared" si="22"/>
        <v>0</v>
      </c>
      <c r="BN12" s="39">
        <f t="shared" si="23"/>
        <v>0</v>
      </c>
      <c r="BO12" s="39" t="str">
        <f t="shared" si="8"/>
        <v/>
      </c>
      <c r="BP12" s="39">
        <f t="shared" si="24"/>
        <v>0</v>
      </c>
      <c r="BQ12" s="39" t="str">
        <f t="shared" si="9"/>
        <v/>
      </c>
      <c r="BS12" s="39">
        <f t="shared" si="10"/>
        <v>0</v>
      </c>
      <c r="BT12" s="39"/>
      <c r="BU12" s="39" t="str">
        <f t="shared" si="25"/>
        <v/>
      </c>
      <c r="BX12" s="370">
        <f t="shared" si="11"/>
        <v>0</v>
      </c>
      <c r="BY12" s="370">
        <f t="shared" si="12"/>
        <v>0</v>
      </c>
      <c r="BZ12" s="772" t="str">
        <f t="shared" si="26"/>
        <v/>
      </c>
    </row>
    <row r="13" spans="1:78">
      <c r="A13" t="str">
        <f>INPUTS!D77</f>
        <v>Rice</v>
      </c>
      <c r="B13" s="39">
        <f>VLOOKUP(A13,'Crop parameters'!$A$2:$Z$43,13,FALSE)</f>
        <v>14.417685714285716</v>
      </c>
      <c r="C13" s="39"/>
      <c r="D13" s="39">
        <f>'Land requirements'!E8</f>
        <v>1.5403319790111962</v>
      </c>
      <c r="E13" s="39"/>
      <c r="F13" s="39">
        <f>INPUTS!E101</f>
        <v>0</v>
      </c>
      <c r="G13" s="39"/>
      <c r="H13" s="39">
        <f>IFERROR(Feed!$O$175*(S13+U13)/($S$16+$U$16),0)</f>
        <v>13.85104484188386</v>
      </c>
      <c r="I13" s="39">
        <f>Feed!$Q$175*INPUTS!F101</f>
        <v>0</v>
      </c>
      <c r="J13" s="39">
        <f>Feed!$S$175*INPUTS!F101</f>
        <v>0</v>
      </c>
      <c r="K13" s="39">
        <f t="shared" si="13"/>
        <v>13.85104484188386</v>
      </c>
      <c r="L13" s="39">
        <f t="shared" si="0"/>
        <v>8.9922464966126512</v>
      </c>
      <c r="M13" s="39"/>
      <c r="N13" s="39">
        <f>VLOOKUP(INPUTS!$D77,'Crop parameters'!$A$2:$Z$43,4, FALSE)*1000</f>
        <v>1600</v>
      </c>
      <c r="O13" s="39">
        <f>VLOOKUP(INPUTS!$D77,'Crop parameters'!$A$2:$Z$43,8,FALSE)*1000</f>
        <v>2405.8952380952383</v>
      </c>
      <c r="P13" s="39">
        <f>INPUTS!F92</f>
        <v>0.8</v>
      </c>
      <c r="Q13" s="39">
        <f>INPUTS!E92</f>
        <v>1</v>
      </c>
      <c r="R13" s="39">
        <f t="shared" si="14"/>
        <v>1600</v>
      </c>
      <c r="S13" s="39">
        <f t="shared" si="15"/>
        <v>2464.5311664179139</v>
      </c>
      <c r="T13" s="39">
        <f t="shared" si="16"/>
        <v>1924.7161904761906</v>
      </c>
      <c r="U13" s="39">
        <f t="shared" si="17"/>
        <v>2964.7018987110814</v>
      </c>
      <c r="V13" s="39">
        <f>'Area Parameters'!D$2</f>
        <v>3000</v>
      </c>
      <c r="W13" s="39">
        <f>'Area Parameters'!D$5</f>
        <v>1.5</v>
      </c>
      <c r="X13" s="39">
        <f>W13*20*'Area Parameters'!D$8*10</f>
        <v>309</v>
      </c>
      <c r="Y13" s="39">
        <f t="shared" si="18"/>
        <v>9.27</v>
      </c>
      <c r="Z13" s="39">
        <f>'Area Parameters'!D$6</f>
        <v>15</v>
      </c>
      <c r="AA13" s="39">
        <f>'Area Parameters'!D$7</f>
        <v>44</v>
      </c>
      <c r="AB13" s="39"/>
      <c r="AC13" s="39"/>
      <c r="AD13" s="39">
        <f>'GHG Parameters'!C$231</f>
        <v>1</v>
      </c>
      <c r="AE13" s="39"/>
      <c r="AF13" s="272">
        <f>VLOOKUP(A13,'Crop parameters'!$A$2:$Z$43,10, FALSE)</f>
        <v>8.9999999999999993E-3</v>
      </c>
      <c r="AG13" s="272">
        <f>VLOOKUP(A13,'Crop parameters'!$A$2:$Z$43,11, FALSE)</f>
        <v>6.0000000000000001E-3</v>
      </c>
      <c r="AH13" s="188"/>
      <c r="AI13" s="39" t="e">
        <f t="shared" ca="1" si="1"/>
        <v>#NAME?</v>
      </c>
      <c r="AJ13" s="39" t="s">
        <v>761</v>
      </c>
      <c r="AK13" s="39">
        <f t="shared" si="19"/>
        <v>13.85104484188386</v>
      </c>
      <c r="AL13" s="39" t="s">
        <v>762</v>
      </c>
      <c r="AM13" s="39" t="e">
        <f t="shared" ca="1" si="20"/>
        <v>#NAME?</v>
      </c>
      <c r="AN13" s="39" t="s">
        <v>763</v>
      </c>
      <c r="AO13" s="598" t="e">
        <f ca="1">IF(D13&gt;0, Non_Symbiotic_Nfixation(V13,D13),0)</f>
        <v>#NAME?</v>
      </c>
      <c r="AP13" s="195">
        <f ca="1">IFERROR(Symbiotic_Nfixation(B13,D13),0)</f>
        <v>0</v>
      </c>
      <c r="AQ13" s="39" t="s">
        <v>764</v>
      </c>
      <c r="AR13" s="188"/>
      <c r="AS13" s="39">
        <f t="shared" si="2"/>
        <v>22.180780497761223</v>
      </c>
      <c r="AT13" s="39" t="s">
        <v>765</v>
      </c>
      <c r="AU13" s="189" t="s">
        <v>766</v>
      </c>
      <c r="AV13" s="39" t="e">
        <f ca="1">IF(INPUTS!$E77="Main", 0, N_output_Residues(T13,AG13,D13))</f>
        <v>#NAME?</v>
      </c>
      <c r="AW13" s="39" t="s">
        <v>767</v>
      </c>
      <c r="AX13" s="292" t="e">
        <f t="shared" ca="1" si="3"/>
        <v>#NAME?</v>
      </c>
      <c r="AY13" s="292" t="s">
        <v>769</v>
      </c>
      <c r="AZ13" s="293" t="e">
        <f t="shared" ca="1" si="4"/>
        <v>#NAME?</v>
      </c>
      <c r="BA13" s="292"/>
      <c r="BB13" s="292" t="s">
        <v>768</v>
      </c>
      <c r="BC13" s="292" t="e">
        <f t="shared" ca="1" si="5"/>
        <v>#NAME?</v>
      </c>
      <c r="BD13" s="39" t="s">
        <v>770</v>
      </c>
      <c r="BE13" s="39">
        <f>'Area Parameters'!D$7</f>
        <v>44</v>
      </c>
      <c r="BF13" s="276" t="e">
        <f t="shared" ca="1" si="6"/>
        <v>#NAME?</v>
      </c>
      <c r="BG13" s="39" t="e">
        <f t="shared" ca="1" si="7"/>
        <v>#NAME?</v>
      </c>
      <c r="BH13" s="39" t="s">
        <v>771</v>
      </c>
      <c r="BI13" s="39">
        <f>('Soil erosion'!I8*W13*1.5)</f>
        <v>8.2463844364454815</v>
      </c>
      <c r="BJ13" t="s">
        <v>783</v>
      </c>
      <c r="BL13" s="39" t="e">
        <f t="shared" ca="1" si="21"/>
        <v>#NAME?</v>
      </c>
      <c r="BM13" s="39" t="e">
        <f t="shared" ca="1" si="22"/>
        <v>#NAME?</v>
      </c>
      <c r="BN13" s="39" t="e">
        <f t="shared" ca="1" si="23"/>
        <v>#NAME?</v>
      </c>
      <c r="BO13" s="39" t="str">
        <f t="shared" ca="1" si="8"/>
        <v/>
      </c>
      <c r="BP13" s="39" t="e">
        <f t="shared" ca="1" si="24"/>
        <v>#NAME?</v>
      </c>
      <c r="BQ13" s="39" t="str">
        <f t="shared" ca="1" si="9"/>
        <v/>
      </c>
      <c r="BS13" s="39">
        <f t="shared" si="10"/>
        <v>1.5403319790111962</v>
      </c>
      <c r="BT13" s="39"/>
      <c r="BU13" s="39" t="str">
        <f t="shared" ca="1" si="25"/>
        <v/>
      </c>
      <c r="BX13" s="370">
        <f t="shared" si="11"/>
        <v>3705.8773733888515</v>
      </c>
      <c r="BY13" s="370">
        <f t="shared" si="12"/>
        <v>2464.5311664179139</v>
      </c>
      <c r="BZ13" s="772">
        <f t="shared" si="26"/>
        <v>0.66503311310709001</v>
      </c>
    </row>
    <row r="14" spans="1:78">
      <c r="A14" t="str">
        <f>INPUTS!D78</f>
        <v>Natural pasture</v>
      </c>
      <c r="B14" s="39">
        <f>VLOOKUP(A14,'Crop parameters'!$A$2:$Z$43,13,FALSE)</f>
        <v>0</v>
      </c>
      <c r="C14" s="39"/>
      <c r="D14" s="39">
        <f>'Land requirements'!E9</f>
        <v>0</v>
      </c>
      <c r="E14" s="39"/>
      <c r="F14" s="39">
        <f>INPUTS!E102</f>
        <v>0</v>
      </c>
      <c r="G14" s="39"/>
      <c r="H14" s="39">
        <f>IFERROR(Feed!$O$175*(S14+U14)/($S$16+$U$16),0)</f>
        <v>0</v>
      </c>
      <c r="I14" s="39">
        <f>Feed!$Q$175*INPUTS!F102</f>
        <v>0</v>
      </c>
      <c r="J14" s="39">
        <f>Feed!$S$175*INPUTS!F102</f>
        <v>0</v>
      </c>
      <c r="K14" s="39">
        <f t="shared" si="13"/>
        <v>0</v>
      </c>
      <c r="L14" s="39">
        <f t="shared" si="0"/>
        <v>0</v>
      </c>
      <c r="M14" s="39"/>
      <c r="N14" s="39">
        <f>VLOOKUP(INPUTS!$D78,'Crop parameters'!$A$2:$Z$43,4, FALSE)*1000</f>
        <v>0</v>
      </c>
      <c r="O14" s="39">
        <f>VLOOKUP(INPUTS!$D78,'Crop parameters'!$A$2:$Z$43,8,FALSE)*1000</f>
        <v>66.041816870944544</v>
      </c>
      <c r="P14" s="39">
        <f>INPUTS!F93</f>
        <v>0</v>
      </c>
      <c r="Q14" s="39">
        <f>INPUTS!E93</f>
        <v>0.6</v>
      </c>
      <c r="R14" s="39">
        <f t="shared" si="14"/>
        <v>0</v>
      </c>
      <c r="S14" s="39">
        <f t="shared" si="15"/>
        <v>0</v>
      </c>
      <c r="T14" s="39">
        <f t="shared" si="16"/>
        <v>0</v>
      </c>
      <c r="U14" s="39">
        <f t="shared" si="17"/>
        <v>0</v>
      </c>
      <c r="V14" s="39">
        <f>'Area Parameters'!D$2</f>
        <v>3000</v>
      </c>
      <c r="W14" s="39">
        <f>'Area Parameters'!D$5</f>
        <v>1.5</v>
      </c>
      <c r="X14" s="39">
        <f>W14*20*'Area Parameters'!D$8*10</f>
        <v>309</v>
      </c>
      <c r="Y14" s="39">
        <f t="shared" si="18"/>
        <v>9.27</v>
      </c>
      <c r="Z14" s="39">
        <f>'Area Parameters'!D$6</f>
        <v>15</v>
      </c>
      <c r="AA14" s="39">
        <f>'Area Parameters'!D$7</f>
        <v>44</v>
      </c>
      <c r="AB14" s="39"/>
      <c r="AC14" s="39"/>
      <c r="AD14" s="39">
        <f>'GHG Parameters'!C$231</f>
        <v>1</v>
      </c>
      <c r="AE14" s="39"/>
      <c r="AF14" s="272">
        <f>VLOOKUP(A14,'Crop parameters'!$A$2:$Z$43,10, FALSE)</f>
        <v>0</v>
      </c>
      <c r="AG14" s="272">
        <f>VLOOKUP(A14,'Crop parameters'!$A$2:$Z$43,11, FALSE)</f>
        <v>0</v>
      </c>
      <c r="AH14" s="188"/>
      <c r="AI14" s="39" t="e">
        <f t="shared" ca="1" si="1"/>
        <v>#NAME?</v>
      </c>
      <c r="AJ14" s="39" t="s">
        <v>761</v>
      </c>
      <c r="AK14" s="39">
        <f t="shared" si="19"/>
        <v>0</v>
      </c>
      <c r="AL14" s="39" t="s">
        <v>762</v>
      </c>
      <c r="AM14" s="39" t="e">
        <f t="shared" ca="1" si="20"/>
        <v>#NAME?</v>
      </c>
      <c r="AN14" s="39" t="s">
        <v>763</v>
      </c>
      <c r="AO14" s="598">
        <f>IF(D14&gt;0, Non_Symbiotic_Nfixation(V14,D14),0)</f>
        <v>0</v>
      </c>
      <c r="AP14" s="195">
        <f ca="1">IFERROR(Symbiotic_Nfixation(B14,D14),0)</f>
        <v>0</v>
      </c>
      <c r="AQ14" s="39" t="s">
        <v>764</v>
      </c>
      <c r="AR14" s="188"/>
      <c r="AS14" s="39">
        <f t="shared" si="2"/>
        <v>0</v>
      </c>
      <c r="AT14" s="39" t="s">
        <v>765</v>
      </c>
      <c r="AU14" s="189" t="s">
        <v>766</v>
      </c>
      <c r="AV14" s="39">
        <f>IF(INPUTS!$E78="Main", 0, N_output_Residues(T14,AG14,D14))</f>
        <v>0</v>
      </c>
      <c r="AW14" s="39" t="s">
        <v>767</v>
      </c>
      <c r="AX14" s="292" t="e">
        <f t="shared" ca="1" si="3"/>
        <v>#NAME?</v>
      </c>
      <c r="AY14" s="292" t="s">
        <v>769</v>
      </c>
      <c r="AZ14" s="293" t="e">
        <f t="shared" ca="1" si="4"/>
        <v>#NAME?</v>
      </c>
      <c r="BA14" s="292"/>
      <c r="BB14" s="292" t="s">
        <v>768</v>
      </c>
      <c r="BC14" s="292" t="e">
        <f t="shared" ca="1" si="5"/>
        <v>#NAME?</v>
      </c>
      <c r="BD14" s="39" t="s">
        <v>770</v>
      </c>
      <c r="BE14" s="39">
        <f>'Area Parameters'!D$7</f>
        <v>44</v>
      </c>
      <c r="BF14" s="276" t="e">
        <f t="shared" ca="1" si="6"/>
        <v>#NAME?</v>
      </c>
      <c r="BG14" s="39" t="e">
        <f t="shared" ca="1" si="7"/>
        <v>#NAME?</v>
      </c>
      <c r="BH14" s="39" t="s">
        <v>771</v>
      </c>
      <c r="BI14" s="39">
        <f>('Soil erosion'!I9*W14*1.5)</f>
        <v>0</v>
      </c>
      <c r="BJ14" t="s">
        <v>783</v>
      </c>
      <c r="BL14" s="39">
        <f t="shared" si="21"/>
        <v>0</v>
      </c>
      <c r="BM14" s="39">
        <f t="shared" si="22"/>
        <v>0</v>
      </c>
      <c r="BN14" s="39">
        <f t="shared" si="23"/>
        <v>0</v>
      </c>
      <c r="BO14" s="39" t="str">
        <f t="shared" si="8"/>
        <v/>
      </c>
      <c r="BP14" s="39">
        <f t="shared" si="24"/>
        <v>0</v>
      </c>
      <c r="BQ14" s="39" t="str">
        <f t="shared" si="9"/>
        <v/>
      </c>
      <c r="BS14" s="39">
        <f t="shared" si="10"/>
        <v>0</v>
      </c>
      <c r="BT14" s="39"/>
      <c r="BU14" s="39" t="str">
        <f t="shared" si="25"/>
        <v/>
      </c>
      <c r="BX14" s="370">
        <f t="shared" si="11"/>
        <v>0</v>
      </c>
      <c r="BY14" s="370">
        <f t="shared" si="12"/>
        <v>0</v>
      </c>
      <c r="BZ14" s="772" t="str">
        <f t="shared" si="26"/>
        <v/>
      </c>
    </row>
    <row r="15" spans="1:78">
      <c r="A15" t="str">
        <f>INPUTS!D79</f>
        <v>Pennisetum purpureum</v>
      </c>
      <c r="B15" s="39">
        <f>VLOOKUP(A15,'Crop parameters'!$A$2:$Z$43,13,FALSE)</f>
        <v>0</v>
      </c>
      <c r="C15" s="39"/>
      <c r="D15" s="39">
        <f>'Land requirements'!E10</f>
        <v>0.54166270966132413</v>
      </c>
      <c r="E15" s="39"/>
      <c r="F15" s="39">
        <f>INPUTS!E103</f>
        <v>0</v>
      </c>
      <c r="G15" s="39"/>
      <c r="H15" s="39">
        <f>IFERROR(Feed!$O$175*(S15+U15)/($S$16+$U$16),0)</f>
        <v>7.4621976455512744</v>
      </c>
      <c r="I15" s="39">
        <f>Feed!$Q$175*INPUTS!F103</f>
        <v>0</v>
      </c>
      <c r="J15" s="39">
        <f>Feed!$S$175*INPUTS!F103</f>
        <v>0</v>
      </c>
      <c r="K15" s="39">
        <f t="shared" si="13"/>
        <v>7.4621976455512744</v>
      </c>
      <c r="L15" s="39">
        <f t="shared" si="0"/>
        <v>13.77646552449038</v>
      </c>
      <c r="M15" s="39"/>
      <c r="N15" s="39">
        <f>VLOOKUP(INPUTS!$D79,'Crop parameters'!$A$2:$Z$43,4, FALSE)*1000</f>
        <v>6000</v>
      </c>
      <c r="O15" s="39">
        <f>VLOOKUP(INPUTS!$D79,'Crop parameters'!$A$2:$Z$43,8,FALSE)*1000</f>
        <v>0</v>
      </c>
      <c r="P15" s="39">
        <f>INPUTS!F94</f>
        <v>0</v>
      </c>
      <c r="Q15" s="39">
        <f>INPUTS!E94</f>
        <v>0.9</v>
      </c>
      <c r="R15" s="39">
        <f t="shared" si="14"/>
        <v>5400</v>
      </c>
      <c r="S15" s="39">
        <f t="shared" si="15"/>
        <v>2924.9786321711504</v>
      </c>
      <c r="T15" s="39">
        <f t="shared" si="16"/>
        <v>0</v>
      </c>
      <c r="U15" s="39">
        <f t="shared" si="17"/>
        <v>0</v>
      </c>
      <c r="V15" s="39">
        <f>'Area Parameters'!D$2</f>
        <v>3000</v>
      </c>
      <c r="W15" s="39">
        <f>'Area Parameters'!D$5</f>
        <v>1.5</v>
      </c>
      <c r="X15" s="39">
        <f>W15*20*'Area Parameters'!D$8*10</f>
        <v>309</v>
      </c>
      <c r="Y15" s="39">
        <f t="shared" si="18"/>
        <v>9.27</v>
      </c>
      <c r="Z15" s="39">
        <f>'Area Parameters'!D$6</f>
        <v>15</v>
      </c>
      <c r="AA15" s="39">
        <f>'Area Parameters'!D$7</f>
        <v>44</v>
      </c>
      <c r="AB15" s="39"/>
      <c r="AC15" s="39"/>
      <c r="AD15" s="39">
        <f>'GHG Parameters'!C$231</f>
        <v>1</v>
      </c>
      <c r="AE15" s="39"/>
      <c r="AF15" s="272">
        <f>VLOOKUP(A15,'Crop parameters'!$A$2:$Z$43,10, FALSE)</f>
        <v>2.3E-2</v>
      </c>
      <c r="AG15" s="272">
        <f>VLOOKUP(A15,'Crop parameters'!$A$2:$Z$43,11, FALSE)</f>
        <v>2.3E-2</v>
      </c>
      <c r="AH15" s="188"/>
      <c r="AI15" s="39" t="e">
        <f t="shared" ca="1" si="1"/>
        <v>#NAME?</v>
      </c>
      <c r="AJ15" s="39" t="s">
        <v>761</v>
      </c>
      <c r="AK15" s="39">
        <f t="shared" si="19"/>
        <v>7.4621976455512744</v>
      </c>
      <c r="AL15" s="39" t="s">
        <v>762</v>
      </c>
      <c r="AM15" s="39" t="e">
        <f t="shared" ca="1" si="20"/>
        <v>#NAME?</v>
      </c>
      <c r="AN15" s="39" t="s">
        <v>763</v>
      </c>
      <c r="AO15" s="598" t="e">
        <f ca="1">IF(D15&gt;0, Non_Symbiotic_Nfixation(V15,D15),0)</f>
        <v>#NAME?</v>
      </c>
      <c r="AP15" s="195">
        <f ca="1">IFERROR(Symbiotic_Nfixation(B15,D15),0)</f>
        <v>0</v>
      </c>
      <c r="AQ15" s="39" t="s">
        <v>764</v>
      </c>
      <c r="AR15" s="188"/>
      <c r="AS15" s="39">
        <f t="shared" si="2"/>
        <v>67.274508539936463</v>
      </c>
      <c r="AT15" s="39" t="s">
        <v>765</v>
      </c>
      <c r="AU15" s="189" t="s">
        <v>766</v>
      </c>
      <c r="AV15" s="39">
        <f>IF(INPUTS!$E79="Main", 0, N_output_Residues(T15,AG15,D15))</f>
        <v>0</v>
      </c>
      <c r="AW15" s="39" t="s">
        <v>767</v>
      </c>
      <c r="AX15" s="292" t="e">
        <f t="shared" ca="1" si="3"/>
        <v>#NAME?</v>
      </c>
      <c r="AY15" s="292" t="s">
        <v>769</v>
      </c>
      <c r="AZ15" s="293" t="e">
        <f t="shared" ca="1" si="4"/>
        <v>#NAME?</v>
      </c>
      <c r="BA15" s="292"/>
      <c r="BB15" s="292" t="s">
        <v>768</v>
      </c>
      <c r="BC15" s="292" t="e">
        <f t="shared" ca="1" si="5"/>
        <v>#NAME?</v>
      </c>
      <c r="BD15" s="39" t="s">
        <v>770</v>
      </c>
      <c r="BE15" s="39">
        <f>'Area Parameters'!D$7</f>
        <v>44</v>
      </c>
      <c r="BF15" s="276" t="e">
        <f t="shared" ca="1" si="6"/>
        <v>#NAME?</v>
      </c>
      <c r="BG15" s="39" t="e">
        <f t="shared" ca="1" si="7"/>
        <v>#NAME?</v>
      </c>
      <c r="BH15" s="39" t="s">
        <v>771</v>
      </c>
      <c r="BI15" s="39">
        <f>('Soil erosion'!I10*W15*1.5)</f>
        <v>2.899867690613962</v>
      </c>
      <c r="BJ15" t="s">
        <v>783</v>
      </c>
      <c r="BL15" s="39" t="e">
        <f t="shared" ca="1" si="21"/>
        <v>#NAME?</v>
      </c>
      <c r="BM15" s="39" t="e">
        <f t="shared" ca="1" si="22"/>
        <v>#NAME?</v>
      </c>
      <c r="BN15" s="39" t="e">
        <f t="shared" ca="1" si="23"/>
        <v>#NAME?</v>
      </c>
      <c r="BO15" s="39" t="str">
        <f t="shared" ca="1" si="8"/>
        <v/>
      </c>
      <c r="BP15" s="39" t="e">
        <f t="shared" ca="1" si="24"/>
        <v>#NAME?</v>
      </c>
      <c r="BQ15" s="39" t="str">
        <f t="shared" ca="1" si="9"/>
        <v/>
      </c>
      <c r="BS15" s="39">
        <f t="shared" si="10"/>
        <v>0.54166270966132413</v>
      </c>
      <c r="BT15" s="39"/>
      <c r="BU15" s="39" t="str">
        <f t="shared" ca="1" si="25"/>
        <v/>
      </c>
      <c r="BX15" s="370">
        <f t="shared" si="11"/>
        <v>3249.9762579679445</v>
      </c>
      <c r="BY15" s="370">
        <f t="shared" si="12"/>
        <v>0</v>
      </c>
      <c r="BZ15" s="772">
        <f t="shared" si="26"/>
        <v>0</v>
      </c>
    </row>
    <row r="16" spans="1:78" ht="16.5" thickBot="1">
      <c r="A16" s="190"/>
      <c r="B16" s="191"/>
      <c r="C16" s="191"/>
      <c r="D16" s="191">
        <f>SUM(D9:D15)</f>
        <v>2.4856686771867236</v>
      </c>
      <c r="E16" s="191"/>
      <c r="F16" s="191"/>
      <c r="G16" s="191"/>
      <c r="H16" s="191"/>
      <c r="I16" s="191"/>
      <c r="J16" s="191"/>
      <c r="K16" s="191"/>
      <c r="L16" s="191"/>
      <c r="M16" s="191"/>
      <c r="N16" s="191"/>
      <c r="O16" s="191"/>
      <c r="P16" s="191"/>
      <c r="Q16" s="191"/>
      <c r="R16" s="191"/>
      <c r="S16" s="191">
        <f>SUM(S9:S15)</f>
        <v>11074.013726162088</v>
      </c>
      <c r="T16" s="191"/>
      <c r="U16" s="191">
        <f>SUM(U9:U15)</f>
        <v>2964.7018987110814</v>
      </c>
      <c r="V16" s="191"/>
      <c r="W16" s="191"/>
      <c r="X16" s="191"/>
      <c r="Y16" s="191"/>
      <c r="Z16" s="191"/>
      <c r="AA16" s="191"/>
      <c r="AB16" s="191"/>
      <c r="AC16" s="191"/>
      <c r="AD16" s="191"/>
      <c r="AE16" s="191"/>
      <c r="AF16" s="191"/>
      <c r="AG16" s="191"/>
      <c r="AH16" s="192" t="s">
        <v>132</v>
      </c>
      <c r="AI16" s="192" t="e">
        <f ca="1">SUM(AI9:AI15)</f>
        <v>#NAME?</v>
      </c>
      <c r="AJ16" s="191"/>
      <c r="AK16" s="194">
        <f>SUM(AK9:AK15)</f>
        <v>203.45371067161324</v>
      </c>
      <c r="AL16" s="191"/>
      <c r="AM16" s="192" t="e">
        <f ca="1">SUM(AM9:AM15)</f>
        <v>#NAME?</v>
      </c>
      <c r="AN16" s="192"/>
      <c r="AO16" s="192" t="e">
        <f ca="1">SUM(AO9:AO15)</f>
        <v>#NAME?</v>
      </c>
      <c r="AP16" s="192" t="e">
        <f ca="1">SUM(AP9:AP15)</f>
        <v>#NAME?</v>
      </c>
      <c r="AQ16" s="191"/>
      <c r="AR16" s="191"/>
      <c r="AS16" s="192">
        <f>SUM(AS9:AS15)</f>
        <v>189.50255816298289</v>
      </c>
      <c r="AT16" s="191"/>
      <c r="AU16" s="191"/>
      <c r="AV16" s="192" t="e">
        <f ca="1">SUM(AV9:AV15)</f>
        <v>#NAME?</v>
      </c>
      <c r="AW16" s="191"/>
      <c r="AX16" s="196" t="s">
        <v>636</v>
      </c>
      <c r="AY16" s="196" t="s">
        <v>636</v>
      </c>
      <c r="AZ16" s="196" t="s">
        <v>636</v>
      </c>
      <c r="BA16" s="196" t="s">
        <v>636</v>
      </c>
      <c r="BB16" s="196" t="s">
        <v>636</v>
      </c>
      <c r="BC16" s="196" t="s">
        <v>636</v>
      </c>
      <c r="BD16" s="196" t="s">
        <v>636</v>
      </c>
      <c r="BE16" s="196" t="s">
        <v>636</v>
      </c>
      <c r="BF16" s="192" t="e">
        <f ca="1">SUM(BF9:BF15)</f>
        <v>#NAME?</v>
      </c>
      <c r="BG16" s="192" t="e">
        <f ca="1">SUM(BG9:BG15)</f>
        <v>#NAME?</v>
      </c>
      <c r="BH16" s="191"/>
      <c r="BI16" s="192">
        <f>SUM(BI9:BI15)</f>
        <v>11.578477250168078</v>
      </c>
      <c r="BJ16" s="190"/>
      <c r="BK16" s="190"/>
      <c r="BL16" s="192" t="e">
        <f t="shared" ref="BL16:BM16" ca="1" si="27">SUM(BL9:BL15)</f>
        <v>#NAME?</v>
      </c>
      <c r="BM16" s="192" t="e">
        <f t="shared" ca="1" si="27"/>
        <v>#NAME?</v>
      </c>
      <c r="BN16" s="192" t="e">
        <f ca="1">SUM(BN9:BN15)</f>
        <v>#NAME?</v>
      </c>
      <c r="BO16" s="191" t="str">
        <f t="shared" ca="1" si="8"/>
        <v/>
      </c>
      <c r="BP16" s="192" t="e">
        <f ca="1">SUM(BP9:BP15)</f>
        <v>#NAME?</v>
      </c>
      <c r="BQ16" s="191" t="str">
        <f t="shared" ca="1" si="9"/>
        <v/>
      </c>
      <c r="BR16" s="190"/>
      <c r="BS16" s="191">
        <f>SUM(BS9:BS15)</f>
        <v>2.4856686771867236</v>
      </c>
      <c r="BU16" s="39"/>
      <c r="BX16" s="778">
        <f>SUM(BX9:BX15)</f>
        <v>13271.969106437933</v>
      </c>
      <c r="BY16" s="778">
        <f>SUM(BY9:BY15)</f>
        <v>2464.5311664179139</v>
      </c>
      <c r="BZ16" s="779">
        <f t="shared" si="26"/>
        <v>0.18569446226501729</v>
      </c>
    </row>
    <row r="17" spans="37:46">
      <c r="AK17" s="42" t="s">
        <v>1308</v>
      </c>
      <c r="AL17" s="42"/>
      <c r="AM17" s="42"/>
      <c r="AS17" s="42" t="s">
        <v>1307</v>
      </c>
      <c r="AT17" s="42"/>
    </row>
  </sheetData>
  <sheetProtection formatCells="0" formatColumns="0" formatRows="0" insertColumns="0" insertRows="0" insertHyperlinks="0" deleteColumns="0" deleteRows="0" sort="0" autoFilter="0" pivotTables="0"/>
  <mergeCells count="7">
    <mergeCell ref="F6:L6"/>
    <mergeCell ref="V6:AA6"/>
    <mergeCell ref="AC6:AD6"/>
    <mergeCell ref="AF6:AG6"/>
    <mergeCell ref="P7:P8"/>
    <mergeCell ref="O7:O8"/>
    <mergeCell ref="N6:T6"/>
  </mergeCells>
  <pageMargins left="0.7" right="0.7" top="0.75" bottom="0.75" header="0.3" footer="0.3"/>
  <pageSetup paperSize="9" orientation="portrait" horizontalDpi="4294967292" verticalDpi="4294967292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0">
    <tabColor rgb="FF00B050"/>
  </sheetPr>
  <dimension ref="A2:AB18"/>
  <sheetViews>
    <sheetView workbookViewId="0">
      <selection activeCell="F29" sqref="F29:F30"/>
    </sheetView>
  </sheetViews>
  <sheetFormatPr defaultRowHeight="15.75"/>
  <cols>
    <col min="1" max="1" width="36.25" bestFit="1" customWidth="1"/>
    <col min="2" max="2" width="18.5" customWidth="1"/>
    <col min="3" max="3" width="15.5" customWidth="1"/>
    <col min="4" max="4" width="14.625" customWidth="1"/>
    <col min="5" max="5" width="14" customWidth="1"/>
    <col min="6" max="6" width="16.125" customWidth="1"/>
    <col min="7" max="7" width="18.375" customWidth="1"/>
    <col min="8" max="8" width="12.875" customWidth="1"/>
  </cols>
  <sheetData>
    <row r="2" spans="1:28" s="1530" customFormat="1">
      <c r="A2" s="1530" t="s">
        <v>1277</v>
      </c>
    </row>
    <row r="3" spans="1:28" s="145" customFormat="1">
      <c r="B3" s="243"/>
      <c r="C3" s="243"/>
      <c r="D3" s="243"/>
      <c r="E3" s="243"/>
      <c r="F3" s="243"/>
      <c r="G3" s="243"/>
      <c r="H3" s="243"/>
      <c r="O3" s="229"/>
      <c r="S3" s="230"/>
      <c r="V3" s="559"/>
      <c r="AB3" s="228"/>
    </row>
    <row r="4" spans="1:28" s="145" customFormat="1" ht="63">
      <c r="B4" s="666" t="str">
        <f>CONCATENATE("Feed Item 1 - ", INPUTS!B60)</f>
        <v>Feed Item 1 - Rice (Oryza sativa) - bran (with germs)</v>
      </c>
      <c r="C4" s="666" t="str">
        <f>CONCATENATE("Feed Item 2 - ", INPUTS!B61)</f>
        <v>Feed Item 2 - Maize (Zea mays) - whole grain</v>
      </c>
      <c r="D4" s="666" t="str">
        <f>CONCATENATE("Feed Item 3 - ", INPUTS!B62)</f>
        <v>Feed Item 3 - Brachiaria brizantha (forage)</v>
      </c>
      <c r="E4" s="666" t="str">
        <f>CONCATENATE("Feed Item 4 - ", INPUTS!B63)</f>
        <v>Feed Item 4 - Concentrate (commercial)</v>
      </c>
      <c r="F4" s="666" t="str">
        <f>CONCATENATE("Feed Item 5 - ", INPUTS!B64)</f>
        <v>Feed Item 5 - Rice (Oryza sativa) - straw</v>
      </c>
      <c r="G4" s="666" t="str">
        <f>CONCATENATE("Feed Item 6 - ", INPUTS!B65)</f>
        <v>Feed Item 6 - Naturally occuring pasture - grazing</v>
      </c>
      <c r="H4" s="666" t="str">
        <f>CONCATENATE("Feed Item 7 - ", INPUTS!B66)</f>
        <v>Feed Item 7 - Pennisetum purpureum - forage</v>
      </c>
      <c r="I4" s="224"/>
      <c r="J4" s="667" t="s">
        <v>1278</v>
      </c>
      <c r="O4" s="229"/>
      <c r="S4" s="230"/>
      <c r="V4" s="559"/>
      <c r="AB4" s="228"/>
    </row>
    <row r="5" spans="1:28" s="145" customFormat="1">
      <c r="A5" s="145" t="s">
        <v>1279</v>
      </c>
      <c r="B5" s="735">
        <f>'Land requirements'!E4/'Land requirements'!$E$11</f>
        <v>0</v>
      </c>
      <c r="C5" s="735">
        <f>'Land requirements'!E5/'Land requirements'!$E$11</f>
        <v>0</v>
      </c>
      <c r="D5" s="735">
        <f>'Land requirements'!E6/'Land requirements'!$E$11</f>
        <v>0.16240056135360764</v>
      </c>
      <c r="E5" s="735">
        <f>'Land requirements'!E7/'Land requirements'!$E$11</f>
        <v>0</v>
      </c>
      <c r="F5" s="735">
        <f>'Land requirements'!E8/'Land requirements'!$E$11</f>
        <v>0.61968515480290876</v>
      </c>
      <c r="G5" s="735">
        <f>'Land requirements'!E9/'Land requirements'!$E$11</f>
        <v>0</v>
      </c>
      <c r="H5" s="735">
        <f>'Land requirements'!E10/'Land requirements'!$E$11</f>
        <v>0.2179142838434836</v>
      </c>
      <c r="J5" s="668"/>
      <c r="O5" s="229"/>
      <c r="S5" s="230"/>
      <c r="V5" s="559"/>
      <c r="AB5" s="228"/>
    </row>
    <row r="6" spans="1:28" s="145" customFormat="1">
      <c r="A6" s="145" t="s">
        <v>1280</v>
      </c>
      <c r="B6" s="735">
        <f>VLOOKUP(INPUTS!D73,  'Crop parameters'!$A$2:$Z$43, 21, FALSE)</f>
        <v>0</v>
      </c>
      <c r="C6" s="735">
        <f>VLOOKUP(INPUTS!D74, 'Crop parameters'!$A$2:$Z$43, 21, FALSE)</f>
        <v>0.53333333333333333</v>
      </c>
      <c r="D6" s="735">
        <f>VLOOKUP(INPUTS!D75, 'Crop parameters'!$A$2:$Z$43, 21, FALSE)</f>
        <v>0.91666666666666663</v>
      </c>
      <c r="E6" s="735">
        <f>VLOOKUP(INPUTS!D76,  'Crop parameters'!$A$2:$Z$43, 21, FALSE)</f>
        <v>0</v>
      </c>
      <c r="F6" s="735">
        <f>VLOOKUP(INPUTS!D77,'Crop parameters'!$A$2:$Z$43, 21, FALSE)</f>
        <v>1</v>
      </c>
      <c r="G6" s="735">
        <f>VLOOKUP(INPUTS!D78,'Crop parameters'!$A$2:$Z$43, 21, FALSE)</f>
        <v>0.6</v>
      </c>
      <c r="H6" s="735">
        <f>VLOOKUP(INPUTS!D79,  'Crop parameters'!$A$2:$Z$43, 21, FALSE)</f>
        <v>0.91666666666666663</v>
      </c>
      <c r="J6" s="668">
        <f>SUMPRODUCT(B5:H5,B6:H6)</f>
        <v>0.96830709623357569</v>
      </c>
      <c r="O6" s="229"/>
      <c r="S6" s="230"/>
      <c r="V6" s="559"/>
      <c r="AB6" s="228"/>
    </row>
    <row r="7" spans="1:28" s="145" customFormat="1">
      <c r="B7" s="735">
        <f>B5*B6</f>
        <v>0</v>
      </c>
      <c r="C7" s="735">
        <f t="shared" ref="C7:H7" si="0">C5*C6</f>
        <v>0</v>
      </c>
      <c r="D7" s="735">
        <f t="shared" si="0"/>
        <v>0.148867181240807</v>
      </c>
      <c r="E7" s="735">
        <f t="shared" si="0"/>
        <v>0</v>
      </c>
      <c r="F7" s="735">
        <f t="shared" si="0"/>
        <v>0.61968515480290876</v>
      </c>
      <c r="G7" s="735">
        <f t="shared" si="0"/>
        <v>0</v>
      </c>
      <c r="H7" s="735">
        <f t="shared" si="0"/>
        <v>0.19975476018985996</v>
      </c>
      <c r="O7" s="229"/>
      <c r="S7" s="230"/>
      <c r="V7" s="559"/>
      <c r="AB7" s="228"/>
    </row>
    <row r="8" spans="1:28" s="145" customFormat="1">
      <c r="A8" s="145" t="s">
        <v>1282</v>
      </c>
      <c r="B8" s="769">
        <f>'Area Parameters'!$D$10*Water!B7</f>
        <v>0</v>
      </c>
      <c r="C8" s="769">
        <f>'Area Parameters'!$D$10*Water!C7</f>
        <v>0</v>
      </c>
      <c r="D8" s="769">
        <f>'Area Parameters'!$D$10*Water!D7</f>
        <v>193.5273356130491</v>
      </c>
      <c r="E8" s="769">
        <f>'Area Parameters'!$D$10*Water!E7</f>
        <v>0</v>
      </c>
      <c r="F8" s="769">
        <f>'Area Parameters'!$D$10*Water!F7</f>
        <v>805.59070124378138</v>
      </c>
      <c r="G8" s="769">
        <f>'Area Parameters'!$D$10*Water!G7</f>
        <v>0</v>
      </c>
      <c r="H8" s="769">
        <f>'Area Parameters'!$D$10*Water!H7</f>
        <v>259.68118824681795</v>
      </c>
      <c r="O8" s="229"/>
      <c r="S8" s="230"/>
      <c r="V8" s="559"/>
      <c r="AB8" s="228"/>
    </row>
    <row r="9" spans="1:28" s="145" customFormat="1">
      <c r="A9" s="145" t="s">
        <v>1359</v>
      </c>
      <c r="B9" s="771">
        <f>B8*'Land requirements'!$E$11</f>
        <v>0</v>
      </c>
      <c r="C9" s="771">
        <f>C8*'Land requirements'!$E$11</f>
        <v>0</v>
      </c>
      <c r="D9" s="771">
        <f>D8*'Land requirements'!$E$11</f>
        <v>481.04483631275889</v>
      </c>
      <c r="E9" s="771">
        <f>E8*'Land requirements'!$E$11</f>
        <v>0</v>
      </c>
      <c r="F9" s="771">
        <f>F8*'Land requirements'!$E$11</f>
        <v>2002.4315727145552</v>
      </c>
      <c r="G9" s="771">
        <f>G8*'Land requirements'!$E$11</f>
        <v>0</v>
      </c>
      <c r="H9" s="771">
        <f>H8*'Land requirements'!$E$11</f>
        <v>645.48139567974454</v>
      </c>
      <c r="O9" s="229"/>
      <c r="S9" s="230"/>
      <c r="V9" s="559"/>
      <c r="AB9" s="228"/>
    </row>
    <row r="10" spans="1:28" s="145" customFormat="1">
      <c r="A10" s="145" t="s">
        <v>1360</v>
      </c>
      <c r="B10" s="771">
        <f>IFERROR(B9*(1-('Land Requirement '!J21+'Land Requirement '!K21)/('Land Requirement '!H21+'Land Requirement '!I21)),0)</f>
        <v>0</v>
      </c>
      <c r="C10" s="771">
        <f>IFERROR(C9*(1-('Land Requirement '!V21+'Land Requirement '!W21)/('Land Requirement '!T21+'Land Requirement '!U21)),0)</f>
        <v>0</v>
      </c>
      <c r="D10" s="771">
        <f>IFERROR(D9*(1-('Land Requirement '!AH21+'Land Requirement '!AI21)/('Land Requirement '!AF21+'Land Requirement '!AG21)),0)</f>
        <v>481.04483631275889</v>
      </c>
      <c r="E10" s="771">
        <f>IFERROR(E9*(1-('Land Requirement '!AT21+'Land Requirement '!AU21)/('Land Requirement '!AR21+'Land Requirement '!AS21)),0)</f>
        <v>0</v>
      </c>
      <c r="F10" s="771">
        <f>IFERROR(F9*(1-('Land Requirement '!BF21+'Land Requirement '!BG21)/('Land Requirement '!BD21+'Land Requirement '!BE21)),0)</f>
        <v>1093.4532768165129</v>
      </c>
      <c r="G10" s="771">
        <f>IFERROR(G9*(1-('Land Requirement '!BR21+'Land Requirement '!BS21)/('Land Requirement '!BP21+'Land Requirement '!BQ21)),0)</f>
        <v>0</v>
      </c>
      <c r="H10" s="771">
        <f>IFERROR(H9*(1-('Land Requirement '!CD21+'Land Requirement '!CE21)/('Land Requirement '!CB21+'Land Requirement '!CC21)),0)</f>
        <v>645.48139567974454</v>
      </c>
      <c r="O10" s="229"/>
      <c r="S10" s="230"/>
      <c r="V10" s="559"/>
      <c r="AB10" s="228"/>
    </row>
    <row r="11" spans="1:28" s="145" customFormat="1">
      <c r="A11" s="145" t="s">
        <v>1428</v>
      </c>
      <c r="B11" s="771">
        <f>B9-B10</f>
        <v>0</v>
      </c>
      <c r="C11" s="771">
        <f t="shared" ref="C11:H11" si="1">C9-C10</f>
        <v>0</v>
      </c>
      <c r="D11" s="771">
        <f t="shared" si="1"/>
        <v>0</v>
      </c>
      <c r="E11" s="771">
        <f t="shared" si="1"/>
        <v>0</v>
      </c>
      <c r="F11" s="771">
        <f t="shared" si="1"/>
        <v>908.97829589804223</v>
      </c>
      <c r="G11" s="771">
        <f t="shared" si="1"/>
        <v>0</v>
      </c>
      <c r="H11" s="771">
        <f t="shared" si="1"/>
        <v>0</v>
      </c>
      <c r="O11" s="229"/>
      <c r="S11" s="230"/>
      <c r="V11" s="559"/>
      <c r="AB11" s="228"/>
    </row>
    <row r="12" spans="1:28" s="1530" customFormat="1">
      <c r="A12" s="1530" t="s">
        <v>1281</v>
      </c>
    </row>
    <row r="13" spans="1:28" s="145" customFormat="1">
      <c r="A13" s="145" t="s">
        <v>1282</v>
      </c>
      <c r="B13" s="769">
        <f>'Area Parameters'!D10*Water!J6</f>
        <v>1258.7992251036485</v>
      </c>
      <c r="C13" s="243"/>
      <c r="D13" s="243"/>
      <c r="E13" s="243"/>
      <c r="F13" s="243"/>
      <c r="G13" s="243"/>
      <c r="H13" s="243"/>
      <c r="O13" s="229"/>
      <c r="S13" s="230"/>
      <c r="V13" s="559"/>
      <c r="AB13" s="228"/>
    </row>
    <row r="14" spans="1:28" s="145" customFormat="1">
      <c r="A14" s="145" t="s">
        <v>1358</v>
      </c>
      <c r="B14" s="768">
        <f>B13/'Area Parameters'!D2</f>
        <v>0.41959974170121617</v>
      </c>
      <c r="C14" s="243"/>
      <c r="D14" s="243"/>
      <c r="E14" s="243"/>
      <c r="F14" s="243"/>
      <c r="G14" s="243"/>
      <c r="H14" s="243"/>
      <c r="O14" s="229"/>
      <c r="S14" s="230"/>
      <c r="V14" s="559"/>
      <c r="AB14" s="228"/>
    </row>
    <row r="15" spans="1:28" s="145" customFormat="1">
      <c r="A15" s="145" t="s">
        <v>1283</v>
      </c>
      <c r="B15" s="769">
        <f>B13*'Land requirements'!E11</f>
        <v>3128.9578047070586</v>
      </c>
      <c r="C15" s="243"/>
      <c r="D15" s="243"/>
      <c r="E15" s="243"/>
      <c r="F15" s="243"/>
      <c r="G15" s="243"/>
      <c r="H15" s="243"/>
      <c r="O15" s="229"/>
      <c r="S15" s="230"/>
      <c r="V15" s="559"/>
      <c r="AB15" s="228"/>
    </row>
    <row r="16" spans="1:28" s="145" customFormat="1">
      <c r="A16" s="145" t="s">
        <v>1291</v>
      </c>
      <c r="B16" s="770">
        <f>B15/'Meat &amp; Milk '!B33</f>
        <v>0.26045997775006313</v>
      </c>
      <c r="C16" s="243"/>
      <c r="D16" s="243"/>
      <c r="E16" s="243"/>
      <c r="F16" s="243"/>
      <c r="G16" s="243"/>
      <c r="H16" s="243"/>
      <c r="O16" s="229"/>
      <c r="S16" s="230"/>
      <c r="V16" s="559"/>
      <c r="AB16" s="228"/>
    </row>
    <row r="17" spans="1:28" s="145" customFormat="1">
      <c r="A17" s="145" t="s">
        <v>1451</v>
      </c>
      <c r="B17" s="770">
        <f>B15/'Meat &amp; Milk '!B29</f>
        <v>56.377618102829885</v>
      </c>
      <c r="C17" s="243"/>
      <c r="D17" s="243"/>
      <c r="E17" s="243"/>
      <c r="F17" s="243"/>
      <c r="G17" s="243"/>
      <c r="H17" s="243"/>
      <c r="O17" s="229"/>
      <c r="S17" s="230"/>
      <c r="V17" s="559"/>
      <c r="AB17" s="228"/>
    </row>
    <row r="18" spans="1:28">
      <c r="A18" s="145" t="s">
        <v>1319</v>
      </c>
      <c r="B18" s="750">
        <f>B15/'Meat &amp; Milk '!B38</f>
        <v>7.6919032953380597</v>
      </c>
    </row>
  </sheetData>
  <mergeCells count="2">
    <mergeCell ref="A2:XFD2"/>
    <mergeCell ref="A12:XFD12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1">
    <tabColor rgb="FF00B050"/>
  </sheetPr>
  <dimension ref="A1:N113"/>
  <sheetViews>
    <sheetView topLeftCell="D1" workbookViewId="0">
      <selection activeCell="G50" sqref="G50"/>
    </sheetView>
  </sheetViews>
  <sheetFormatPr defaultColWidth="11" defaultRowHeight="15.75"/>
  <cols>
    <col min="2" max="2" width="20.125" customWidth="1"/>
    <col min="3" max="3" width="16.125" customWidth="1"/>
    <col min="4" max="4" width="21.5" customWidth="1"/>
    <col min="5" max="5" width="22.125" customWidth="1"/>
    <col min="6" max="6" width="21.875" customWidth="1"/>
    <col min="7" max="7" width="44.125" bestFit="1" customWidth="1"/>
    <col min="8" max="8" width="22" customWidth="1"/>
    <col min="9" max="9" width="32.5" customWidth="1"/>
    <col min="10" max="10" width="24.5" customWidth="1"/>
    <col min="11" max="11" width="18.875" customWidth="1"/>
    <col min="12" max="12" width="15.125" customWidth="1"/>
  </cols>
  <sheetData>
    <row r="1" spans="1:14">
      <c r="A1" t="s">
        <v>337</v>
      </c>
    </row>
    <row r="2" spans="1:14">
      <c r="E2" t="s">
        <v>378</v>
      </c>
    </row>
    <row r="3" spans="1:14">
      <c r="E3">
        <f>44/12</f>
        <v>3.6666666666666665</v>
      </c>
      <c r="G3" s="80" t="s">
        <v>886</v>
      </c>
      <c r="H3" t="s">
        <v>887</v>
      </c>
    </row>
    <row r="4" spans="1:14">
      <c r="G4" t="s">
        <v>938</v>
      </c>
      <c r="H4">
        <f>1000000*('Area Parameters'!D9/100)*'Area Parameters'!D8</f>
        <v>2060</v>
      </c>
    </row>
    <row r="5" spans="1:14">
      <c r="G5" t="s">
        <v>1407</v>
      </c>
    </row>
    <row r="6" spans="1:14">
      <c r="G6" t="s">
        <v>1408</v>
      </c>
      <c r="H6" s="39">
        <f>H4*'Area Parameters'!D6*0.001</f>
        <v>30.900000000000002</v>
      </c>
    </row>
    <row r="7" spans="1:14">
      <c r="B7" t="s">
        <v>309</v>
      </c>
      <c r="G7" s="37" t="s">
        <v>596</v>
      </c>
    </row>
    <row r="8" spans="1:14">
      <c r="B8" s="1534" t="s">
        <v>254</v>
      </c>
      <c r="C8" s="1534"/>
      <c r="D8" s="26" t="s">
        <v>293</v>
      </c>
      <c r="E8" s="1531" t="s">
        <v>328</v>
      </c>
      <c r="F8" s="1532"/>
      <c r="G8" s="1532"/>
      <c r="H8" s="1532"/>
      <c r="I8" s="1532"/>
      <c r="J8" s="1532"/>
      <c r="K8" s="1533"/>
      <c r="L8" s="11"/>
      <c r="M8" s="11"/>
      <c r="N8" s="11"/>
    </row>
    <row r="9" spans="1:14" ht="47.25">
      <c r="B9" s="1471" t="s">
        <v>295</v>
      </c>
      <c r="C9" s="1471"/>
      <c r="D9" s="1471" t="s">
        <v>598</v>
      </c>
      <c r="E9" s="24" t="s">
        <v>310</v>
      </c>
      <c r="F9" s="24" t="s">
        <v>311</v>
      </c>
      <c r="G9" s="24" t="s">
        <v>312</v>
      </c>
      <c r="H9" s="24" t="s">
        <v>317</v>
      </c>
      <c r="I9" s="24" t="s">
        <v>313</v>
      </c>
      <c r="J9" s="24" t="s">
        <v>314</v>
      </c>
      <c r="K9" s="31" t="s">
        <v>309</v>
      </c>
    </row>
    <row r="10" spans="1:14">
      <c r="B10" s="1471" t="s">
        <v>297</v>
      </c>
      <c r="C10" s="1471" t="s">
        <v>296</v>
      </c>
      <c r="D10" s="1471"/>
      <c r="E10" s="24" t="s">
        <v>215</v>
      </c>
      <c r="F10" s="24" t="s">
        <v>315</v>
      </c>
      <c r="G10" s="24" t="s">
        <v>316</v>
      </c>
      <c r="H10" s="24" t="s">
        <v>153</v>
      </c>
      <c r="I10" s="24" t="s">
        <v>153</v>
      </c>
      <c r="J10" s="24" t="s">
        <v>153</v>
      </c>
      <c r="K10" s="31" t="s">
        <v>318</v>
      </c>
    </row>
    <row r="11" spans="1:14" ht="31.5">
      <c r="B11" s="1471"/>
      <c r="C11" s="1471"/>
      <c r="D11" s="1471"/>
      <c r="E11" s="24"/>
      <c r="F11" s="24" t="s">
        <v>320</v>
      </c>
      <c r="G11" s="24" t="s">
        <v>889</v>
      </c>
      <c r="H11" s="24" t="s">
        <v>573</v>
      </c>
      <c r="I11" s="24" t="s">
        <v>573</v>
      </c>
      <c r="J11" s="24" t="s">
        <v>573</v>
      </c>
      <c r="K11" s="31" t="s">
        <v>327</v>
      </c>
    </row>
    <row r="12" spans="1:14">
      <c r="B12" s="1471"/>
      <c r="C12" s="1471"/>
      <c r="D12" s="1471"/>
      <c r="E12" s="24" t="s">
        <v>319</v>
      </c>
      <c r="F12" s="24" t="s">
        <v>321</v>
      </c>
      <c r="G12" s="24" t="s">
        <v>322</v>
      </c>
      <c r="H12" s="24" t="s">
        <v>323</v>
      </c>
      <c r="I12" s="24" t="s">
        <v>324</v>
      </c>
      <c r="J12" s="24" t="s">
        <v>325</v>
      </c>
      <c r="K12" s="31" t="s">
        <v>326</v>
      </c>
    </row>
    <row r="13" spans="1:14">
      <c r="B13" s="27" t="s">
        <v>308</v>
      </c>
      <c r="C13" s="27" t="s">
        <v>308</v>
      </c>
      <c r="D13" s="13" t="s">
        <v>1390</v>
      </c>
      <c r="E13" s="40">
        <f>'Land requirements'!E11-E14</f>
        <v>1.5403319790111962</v>
      </c>
      <c r="F13" s="40">
        <f>IF(H6&gt;0,H6,30)</f>
        <v>30.900000000000002</v>
      </c>
      <c r="G13" s="13">
        <v>20</v>
      </c>
      <c r="H13" s="166">
        <f>VLOOKUP('Area Parameters'!G13,'SOC parameters'!E6:G38,3,FALSE)</f>
        <v>0.48</v>
      </c>
      <c r="I13" s="166">
        <f>VLOOKUP('Area Parameters'!G14,'SOC parameters'!E6:G38,3, FALSE)</f>
        <v>1.1499999999999999</v>
      </c>
      <c r="J13" s="155">
        <f>VLOOKUP('Area Parameters'!G15,'SOC parameters'!E6:G38,3,FALSE)</f>
        <v>0.92</v>
      </c>
      <c r="K13" s="116">
        <f>((F13*H13*I13*J13)-F13)/G13*E13</f>
        <v>-1.1712487205907822</v>
      </c>
    </row>
    <row r="14" spans="1:14">
      <c r="B14" s="125" t="s">
        <v>377</v>
      </c>
      <c r="C14" s="125" t="s">
        <v>377</v>
      </c>
      <c r="D14" s="13" t="s">
        <v>654</v>
      </c>
      <c r="E14" s="40">
        <f>'Land requirements'!G11+'Land requirements'!H11</f>
        <v>0.94533669817552735</v>
      </c>
      <c r="F14" s="13">
        <v>40</v>
      </c>
      <c r="G14" s="13">
        <v>20</v>
      </c>
      <c r="H14" s="165">
        <f>'SOC parameters'!E44</f>
        <v>1</v>
      </c>
      <c r="I14" s="166">
        <f>VLOOKUP('Area Parameters'!G16,'SOC parameters'!D45:E52,2, FALSE)</f>
        <v>0.97</v>
      </c>
      <c r="J14" s="166">
        <f>VLOOKUP('Area Parameters'!G17,'SOC parameters'!D53:E55,2, FALSE)</f>
        <v>1</v>
      </c>
      <c r="K14" s="116">
        <f>((F14*H14*I14*J14)-F14)/G14*E14</f>
        <v>-5.6720201890531778E-2</v>
      </c>
      <c r="L14" s="39"/>
    </row>
    <row r="15" spans="1:14">
      <c r="B15" s="125" t="s">
        <v>955</v>
      </c>
      <c r="C15" s="125" t="s">
        <v>955</v>
      </c>
      <c r="D15" s="122" t="s">
        <v>910</v>
      </c>
      <c r="E15" s="215"/>
      <c r="F15" s="122">
        <v>40</v>
      </c>
      <c r="G15" s="122">
        <v>20</v>
      </c>
      <c r="H15" s="165">
        <f>'SOC parameters'!E44</f>
        <v>1</v>
      </c>
      <c r="I15" s="166"/>
      <c r="J15" s="166"/>
      <c r="K15" s="116">
        <f>((F15*H15*I15*J15)-F15)/G15*E15</f>
        <v>0</v>
      </c>
      <c r="L15" s="39"/>
    </row>
    <row r="16" spans="1:14">
      <c r="B16" s="1535" t="s">
        <v>551</v>
      </c>
      <c r="C16" s="1535"/>
      <c r="D16" s="1535"/>
      <c r="E16" s="150"/>
      <c r="F16" s="150"/>
      <c r="G16" s="150"/>
      <c r="H16" s="19"/>
      <c r="I16" s="19"/>
      <c r="J16" s="19"/>
      <c r="K16" s="114">
        <f>SUM(K13:K15)</f>
        <v>-1.227968922481314</v>
      </c>
    </row>
    <row r="17" spans="2:12">
      <c r="B17" s="27" t="s">
        <v>377</v>
      </c>
      <c r="C17" s="27" t="s">
        <v>308</v>
      </c>
      <c r="D17" s="13"/>
      <c r="E17" s="13">
        <f>'Area Parameters'!G18</f>
        <v>0</v>
      </c>
      <c r="F17" s="13">
        <v>30</v>
      </c>
      <c r="G17" s="13">
        <v>20</v>
      </c>
      <c r="H17" s="151"/>
      <c r="I17" s="151"/>
      <c r="J17" s="151"/>
      <c r="K17" s="152">
        <f>((F17*H17*I17*J17)-F17)/G17*E17</f>
        <v>0</v>
      </c>
    </row>
    <row r="18" spans="2:12">
      <c r="B18" s="27" t="s">
        <v>308</v>
      </c>
      <c r="C18" s="27" t="s">
        <v>377</v>
      </c>
      <c r="D18" s="13"/>
      <c r="E18" s="13">
        <f>'Area Parameters'!G19</f>
        <v>0</v>
      </c>
      <c r="F18" s="13">
        <v>40</v>
      </c>
      <c r="G18" s="13">
        <v>20</v>
      </c>
      <c r="H18" s="151"/>
      <c r="I18" s="151"/>
      <c r="J18" s="151"/>
      <c r="K18" s="152">
        <f>((F18*H18*I18*J18)-F18)/G18*E18</f>
        <v>0</v>
      </c>
    </row>
    <row r="19" spans="2:12">
      <c r="B19" s="1536" t="s">
        <v>132</v>
      </c>
      <c r="C19" s="1537"/>
      <c r="D19" s="1537"/>
      <c r="E19" s="1537"/>
      <c r="F19" s="1537"/>
      <c r="G19" s="1537"/>
      <c r="H19" s="1537"/>
      <c r="I19" s="1537"/>
      <c r="J19" s="1538"/>
      <c r="K19" s="116">
        <f>K16+SUM(K17:K18)</f>
        <v>-1.227968922481314</v>
      </c>
      <c r="L19" t="s">
        <v>1406</v>
      </c>
    </row>
    <row r="22" spans="2:12">
      <c r="B22" t="s">
        <v>329</v>
      </c>
    </row>
    <row r="23" spans="2:12">
      <c r="B23" s="1542" t="s">
        <v>254</v>
      </c>
      <c r="C23" s="1544"/>
      <c r="D23" s="26" t="s">
        <v>293</v>
      </c>
      <c r="E23" s="1542" t="s">
        <v>335</v>
      </c>
      <c r="F23" s="1543"/>
      <c r="G23" s="1544"/>
    </row>
    <row r="24" spans="2:12" ht="30" customHeight="1">
      <c r="B24" s="1462" t="s">
        <v>295</v>
      </c>
      <c r="C24" s="1464"/>
      <c r="D24" s="1470" t="s">
        <v>598</v>
      </c>
      <c r="E24" s="24" t="s">
        <v>330</v>
      </c>
      <c r="F24" s="24" t="s">
        <v>333</v>
      </c>
      <c r="G24" s="24" t="s">
        <v>334</v>
      </c>
    </row>
    <row r="25" spans="2:12" ht="15" customHeight="1">
      <c r="B25" s="1470" t="s">
        <v>297</v>
      </c>
      <c r="C25" s="1470" t="s">
        <v>296</v>
      </c>
      <c r="D25" s="1468"/>
      <c r="E25" s="24" t="s">
        <v>215</v>
      </c>
      <c r="F25" s="24" t="s">
        <v>300</v>
      </c>
      <c r="G25" s="24" t="s">
        <v>318</v>
      </c>
    </row>
    <row r="26" spans="2:12" ht="63">
      <c r="B26" s="1468"/>
      <c r="C26" s="1468"/>
      <c r="D26" s="1468"/>
      <c r="E26" s="24"/>
      <c r="F26" s="24" t="s">
        <v>336</v>
      </c>
      <c r="G26" s="24" t="s">
        <v>332</v>
      </c>
    </row>
    <row r="27" spans="2:12">
      <c r="B27" s="1469"/>
      <c r="C27" s="1469"/>
      <c r="D27" s="1469"/>
      <c r="E27" s="24" t="s">
        <v>144</v>
      </c>
      <c r="F27" s="24" t="s">
        <v>0</v>
      </c>
      <c r="G27" s="24" t="s">
        <v>331</v>
      </c>
    </row>
    <row r="28" spans="2:12">
      <c r="B28" s="1482" t="s">
        <v>308</v>
      </c>
      <c r="C28" s="1482" t="s">
        <v>308</v>
      </c>
      <c r="D28" s="13" t="s">
        <v>98</v>
      </c>
      <c r="E28" s="24"/>
      <c r="F28" s="24"/>
      <c r="G28" s="24">
        <f>E28*F28</f>
        <v>0</v>
      </c>
    </row>
    <row r="29" spans="2:12">
      <c r="B29" s="1548"/>
      <c r="C29" s="1548"/>
      <c r="D29" s="13" t="s">
        <v>99</v>
      </c>
      <c r="E29" s="24"/>
      <c r="F29" s="24"/>
      <c r="G29" s="24">
        <f>E29*F29</f>
        <v>0</v>
      </c>
    </row>
    <row r="30" spans="2:12">
      <c r="B30" s="1549"/>
      <c r="C30" s="1549"/>
      <c r="D30" s="13" t="s">
        <v>100</v>
      </c>
      <c r="E30" s="24"/>
      <c r="F30" s="24"/>
      <c r="G30" s="24">
        <f>E30*F30</f>
        <v>0</v>
      </c>
    </row>
    <row r="31" spans="2:12">
      <c r="B31" s="1545" t="s">
        <v>127</v>
      </c>
      <c r="C31" s="1546"/>
      <c r="D31" s="1547"/>
      <c r="E31" s="26"/>
      <c r="F31" s="24"/>
      <c r="G31" s="24">
        <f>SUM(G28:G30)</f>
        <v>0</v>
      </c>
    </row>
    <row r="35" spans="1:7">
      <c r="A35" t="s">
        <v>338</v>
      </c>
    </row>
    <row r="37" spans="1:7">
      <c r="B37" t="s">
        <v>339</v>
      </c>
    </row>
    <row r="39" spans="1:7">
      <c r="B39" s="1542" t="s">
        <v>254</v>
      </c>
      <c r="C39" s="1544"/>
      <c r="D39" s="25"/>
      <c r="E39" s="26"/>
      <c r="F39" s="24"/>
      <c r="G39" s="67" t="s">
        <v>346</v>
      </c>
    </row>
    <row r="40" spans="1:7" ht="47.25">
      <c r="B40" s="1542" t="s">
        <v>295</v>
      </c>
      <c r="C40" s="1544"/>
      <c r="D40" s="24" t="s">
        <v>309</v>
      </c>
      <c r="E40" s="24" t="s">
        <v>334</v>
      </c>
      <c r="F40" s="24" t="s">
        <v>340</v>
      </c>
      <c r="G40" s="31" t="s">
        <v>343</v>
      </c>
    </row>
    <row r="41" spans="1:7">
      <c r="B41" s="1539" t="s">
        <v>297</v>
      </c>
      <c r="C41" s="1539" t="s">
        <v>296</v>
      </c>
      <c r="D41" s="24" t="s">
        <v>318</v>
      </c>
      <c r="E41" s="24" t="s">
        <v>318</v>
      </c>
      <c r="F41" s="24" t="s">
        <v>318</v>
      </c>
      <c r="G41" s="31" t="s">
        <v>318</v>
      </c>
    </row>
    <row r="42" spans="1:7" ht="31.5">
      <c r="B42" s="1540"/>
      <c r="C42" s="1540"/>
      <c r="D42" s="20" t="s">
        <v>327</v>
      </c>
      <c r="E42" s="24" t="s">
        <v>332</v>
      </c>
      <c r="F42" s="24" t="s">
        <v>341</v>
      </c>
      <c r="G42" s="31" t="s">
        <v>345</v>
      </c>
    </row>
    <row r="43" spans="1:7">
      <c r="B43" s="1541"/>
      <c r="C43" s="1541"/>
      <c r="D43" s="20" t="s">
        <v>326</v>
      </c>
      <c r="E43" s="24" t="s">
        <v>331</v>
      </c>
      <c r="F43" s="24" t="s">
        <v>342</v>
      </c>
      <c r="G43" s="31" t="s">
        <v>344</v>
      </c>
    </row>
    <row r="44" spans="1:7">
      <c r="B44" s="25" t="s">
        <v>308</v>
      </c>
      <c r="C44" s="25" t="s">
        <v>308</v>
      </c>
      <c r="D44" s="40">
        <f>K16</f>
        <v>-1.227968922481314</v>
      </c>
      <c r="E44" s="40">
        <f>G31</f>
        <v>0</v>
      </c>
      <c r="F44" s="40">
        <v>0</v>
      </c>
      <c r="G44" s="47">
        <f>D44-E44+F44</f>
        <v>-1.227968922481314</v>
      </c>
    </row>
    <row r="45" spans="1:7" s="1210" customFormat="1">
      <c r="B45" s="1216"/>
      <c r="C45" s="1216"/>
      <c r="D45" s="1217"/>
      <c r="E45" s="1217"/>
      <c r="F45" s="1217"/>
      <c r="G45" s="1218"/>
    </row>
    <row r="46" spans="1:7">
      <c r="D46" s="12" t="s">
        <v>1743</v>
      </c>
      <c r="E46" s="1219" t="s">
        <v>1744</v>
      </c>
      <c r="G46" s="1220" t="s">
        <v>1745</v>
      </c>
    </row>
    <row r="47" spans="1:7">
      <c r="B47" t="s">
        <v>1742</v>
      </c>
      <c r="D47" s="1221">
        <f>Biomass!Q28</f>
        <v>0</v>
      </c>
      <c r="E47" s="1221">
        <f>D47/2</f>
        <v>0</v>
      </c>
      <c r="F47" s="1209"/>
      <c r="G47" s="8">
        <f>E47/1000</f>
        <v>0</v>
      </c>
    </row>
    <row r="49" spans="7:7">
      <c r="G49" s="1220" t="s">
        <v>1746</v>
      </c>
    </row>
    <row r="50" spans="7:7">
      <c r="G50" s="1222">
        <f>G44+G47+'Trees-Carbon'!P9</f>
        <v>-1.227968922481314</v>
      </c>
    </row>
    <row r="53" spans="7:7" ht="31.5" customHeight="1"/>
    <row r="58" spans="7:7" ht="27" customHeight="1"/>
    <row r="60" spans="7:7" ht="31.5" customHeight="1"/>
    <row r="69" ht="15.75" customHeight="1"/>
    <row r="89" ht="15.75" customHeight="1"/>
    <row r="93" ht="15.75" customHeight="1"/>
    <row r="98" ht="57" customHeight="1"/>
    <row r="99" ht="31.5" customHeight="1"/>
    <row r="102" ht="24" customHeight="1"/>
    <row r="103" ht="36" customHeight="1"/>
    <row r="108" ht="15.75" customHeight="1"/>
    <row r="111" ht="46.5" customHeight="1"/>
    <row r="112" ht="59.25" customHeight="1"/>
    <row r="113" ht="96.75" customHeight="1"/>
  </sheetData>
  <mergeCells count="21">
    <mergeCell ref="B16:D16"/>
    <mergeCell ref="D24:D27"/>
    <mergeCell ref="B19:J19"/>
    <mergeCell ref="B41:B43"/>
    <mergeCell ref="C41:C43"/>
    <mergeCell ref="E23:G23"/>
    <mergeCell ref="C25:C27"/>
    <mergeCell ref="B39:C39"/>
    <mergeCell ref="B31:D31"/>
    <mergeCell ref="C28:C30"/>
    <mergeCell ref="B28:B30"/>
    <mergeCell ref="B25:B27"/>
    <mergeCell ref="B24:C24"/>
    <mergeCell ref="B23:C23"/>
    <mergeCell ref="B40:C40"/>
    <mergeCell ref="E8:K8"/>
    <mergeCell ref="B8:C8"/>
    <mergeCell ref="B9:C9"/>
    <mergeCell ref="D9:D12"/>
    <mergeCell ref="B10:B12"/>
    <mergeCell ref="C10:C12"/>
  </mergeCells>
  <pageMargins left="0.75" right="0.75" top="1" bottom="1" header="0.5" footer="0.5"/>
  <pageSetup paperSize="9" orientation="portrait" horizontalDpi="4294967292" verticalDpi="429496729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2">
    <tabColor rgb="FF00B050"/>
  </sheetPr>
  <dimension ref="A2:S30"/>
  <sheetViews>
    <sheetView topLeftCell="A10" workbookViewId="0">
      <selection activeCell="D21" sqref="D21"/>
    </sheetView>
  </sheetViews>
  <sheetFormatPr defaultColWidth="11" defaultRowHeight="15.75"/>
  <cols>
    <col min="2" max="2" width="21.875" customWidth="1"/>
    <col min="5" max="5" width="15.375" customWidth="1"/>
    <col min="6" max="6" width="21.875" customWidth="1"/>
    <col min="12" max="12" width="14.625" customWidth="1"/>
  </cols>
  <sheetData>
    <row r="2" spans="1:8" s="72" customFormat="1">
      <c r="A2" s="72" t="s">
        <v>1405</v>
      </c>
    </row>
    <row r="4" spans="1:8">
      <c r="B4" t="s">
        <v>97</v>
      </c>
    </row>
    <row r="5" spans="1:8">
      <c r="B5" s="1534" t="s">
        <v>254</v>
      </c>
      <c r="C5" s="1534"/>
      <c r="D5" s="26" t="s">
        <v>293</v>
      </c>
      <c r="E5" s="1542" t="s">
        <v>294</v>
      </c>
      <c r="F5" s="1543"/>
      <c r="G5" s="1543"/>
      <c r="H5" s="1544"/>
    </row>
    <row r="6" spans="1:8" ht="110.25">
      <c r="B6" s="1471" t="s">
        <v>295</v>
      </c>
      <c r="C6" s="1471"/>
      <c r="D6" s="1471" t="s">
        <v>167</v>
      </c>
      <c r="E6" s="20" t="s">
        <v>298</v>
      </c>
      <c r="F6" s="20" t="s">
        <v>299</v>
      </c>
      <c r="G6" s="20" t="s">
        <v>305</v>
      </c>
      <c r="H6" s="20" t="s">
        <v>1405</v>
      </c>
    </row>
    <row r="7" spans="1:8" ht="31.5">
      <c r="B7" s="1471" t="s">
        <v>297</v>
      </c>
      <c r="C7" s="1471" t="s">
        <v>296</v>
      </c>
      <c r="D7" s="1471"/>
      <c r="E7" s="20" t="s">
        <v>215</v>
      </c>
      <c r="F7" s="20" t="s">
        <v>300</v>
      </c>
      <c r="G7" s="20" t="s">
        <v>300</v>
      </c>
      <c r="H7" s="20" t="s">
        <v>306</v>
      </c>
    </row>
    <row r="8" spans="1:8" ht="31.5">
      <c r="B8" s="1471"/>
      <c r="C8" s="1471"/>
      <c r="D8" s="1471"/>
      <c r="E8" s="20"/>
      <c r="F8" s="20" t="s">
        <v>301</v>
      </c>
      <c r="G8" s="20" t="s">
        <v>301</v>
      </c>
      <c r="H8" s="20" t="s">
        <v>307</v>
      </c>
    </row>
    <row r="9" spans="1:8">
      <c r="B9" s="1471"/>
      <c r="C9" s="1471"/>
      <c r="D9" s="1471"/>
      <c r="E9" s="20" t="s">
        <v>144</v>
      </c>
      <c r="F9" s="38" t="s">
        <v>303</v>
      </c>
      <c r="G9" s="20" t="s">
        <v>304</v>
      </c>
      <c r="H9" s="20" t="s">
        <v>302</v>
      </c>
    </row>
    <row r="10" spans="1:8">
      <c r="B10" s="1478" t="s">
        <v>308</v>
      </c>
      <c r="C10" s="1478" t="s">
        <v>308</v>
      </c>
      <c r="D10" s="13" t="s">
        <v>98</v>
      </c>
      <c r="E10" s="40">
        <f>'Land requirements'!H11</f>
        <v>0</v>
      </c>
      <c r="F10" s="40">
        <v>2.6</v>
      </c>
      <c r="G10" s="40">
        <v>2.5</v>
      </c>
      <c r="H10" s="40">
        <f>E10*(F10-G10)</f>
        <v>0</v>
      </c>
    </row>
    <row r="11" spans="1:8">
      <c r="B11" s="1478"/>
      <c r="C11" s="1478"/>
      <c r="D11" s="13" t="s">
        <v>99</v>
      </c>
      <c r="E11" s="40"/>
      <c r="F11" s="40"/>
      <c r="G11" s="40"/>
      <c r="H11" s="40">
        <f>E11*(F11-G11)</f>
        <v>0</v>
      </c>
    </row>
    <row r="12" spans="1:8">
      <c r="B12" s="1478"/>
      <c r="C12" s="1478"/>
      <c r="D12" s="13" t="s">
        <v>100</v>
      </c>
      <c r="E12" s="40"/>
      <c r="F12" s="40"/>
      <c r="G12" s="40"/>
      <c r="H12" s="40">
        <f>E12*(F12-G12)</f>
        <v>0</v>
      </c>
    </row>
    <row r="13" spans="1:8">
      <c r="B13" s="1550" t="s">
        <v>127</v>
      </c>
      <c r="C13" s="1550"/>
      <c r="D13" s="1550"/>
      <c r="E13" s="19"/>
      <c r="F13" s="19"/>
      <c r="G13" s="19"/>
      <c r="H13" s="40">
        <f>SUM(H10:H12)</f>
        <v>0</v>
      </c>
    </row>
    <row r="16" spans="1:8">
      <c r="A16" t="s">
        <v>823</v>
      </c>
      <c r="B16" t="s">
        <v>479</v>
      </c>
    </row>
    <row r="17" spans="2:19" s="30" customFormat="1" ht="78.75">
      <c r="B17" s="1470" t="s">
        <v>462</v>
      </c>
      <c r="C17" s="87" t="s">
        <v>1347</v>
      </c>
      <c r="D17" s="24" t="s">
        <v>1394</v>
      </c>
      <c r="E17" s="24" t="s">
        <v>463</v>
      </c>
      <c r="F17" s="24" t="s">
        <v>480</v>
      </c>
      <c r="G17" s="24" t="s">
        <v>481</v>
      </c>
      <c r="H17" s="24" t="s">
        <v>468</v>
      </c>
      <c r="I17" s="24" t="s">
        <v>469</v>
      </c>
      <c r="J17" s="24" t="s">
        <v>1395</v>
      </c>
      <c r="K17" s="24" t="s">
        <v>1396</v>
      </c>
      <c r="L17" s="113" t="s">
        <v>1403</v>
      </c>
      <c r="M17" s="157" t="s">
        <v>657</v>
      </c>
      <c r="N17" s="157" t="s">
        <v>657</v>
      </c>
      <c r="O17" s="113" t="s">
        <v>1404</v>
      </c>
      <c r="P17" s="157" t="s">
        <v>656</v>
      </c>
      <c r="Q17" s="24" t="s">
        <v>601</v>
      </c>
      <c r="R17" s="24" t="s">
        <v>655</v>
      </c>
      <c r="S17"/>
    </row>
    <row r="18" spans="2:19" ht="31.5">
      <c r="B18" s="1468"/>
      <c r="C18" s="767" t="s">
        <v>126</v>
      </c>
      <c r="D18" s="24" t="s">
        <v>465</v>
      </c>
      <c r="E18" s="24" t="s">
        <v>466</v>
      </c>
      <c r="F18" s="24" t="s">
        <v>467</v>
      </c>
      <c r="G18" s="24" t="s">
        <v>476</v>
      </c>
      <c r="H18" s="24" t="s">
        <v>482</v>
      </c>
      <c r="I18" s="27" t="s">
        <v>471</v>
      </c>
      <c r="J18" s="24" t="s">
        <v>1397</v>
      </c>
      <c r="K18" s="24" t="s">
        <v>822</v>
      </c>
      <c r="L18" s="113" t="s">
        <v>818</v>
      </c>
      <c r="M18" s="157" t="s">
        <v>1397</v>
      </c>
      <c r="N18" s="157" t="s">
        <v>658</v>
      </c>
      <c r="O18" s="113" t="s">
        <v>1346</v>
      </c>
      <c r="P18" s="157" t="s">
        <v>819</v>
      </c>
      <c r="Q18" s="24" t="s">
        <v>822</v>
      </c>
      <c r="R18" s="24" t="s">
        <v>821</v>
      </c>
    </row>
    <row r="19" spans="2:19" ht="63">
      <c r="B19" s="1469"/>
      <c r="C19" s="34"/>
      <c r="D19" s="24"/>
      <c r="E19" s="24" t="s">
        <v>599</v>
      </c>
      <c r="F19" s="24" t="s">
        <v>460</v>
      </c>
      <c r="G19" s="24" t="s">
        <v>478</v>
      </c>
      <c r="H19" s="24"/>
      <c r="I19" s="24" t="s">
        <v>473</v>
      </c>
      <c r="J19" s="24"/>
      <c r="K19" s="24"/>
      <c r="L19" s="113"/>
      <c r="M19" s="157"/>
      <c r="N19" s="157"/>
      <c r="O19" s="113"/>
      <c r="P19" s="157"/>
      <c r="Q19" s="24" t="s">
        <v>602</v>
      </c>
      <c r="R19" s="24" t="s">
        <v>475</v>
      </c>
    </row>
    <row r="20" spans="2:19" ht="31.5">
      <c r="B20" s="24" t="s">
        <v>470</v>
      </c>
      <c r="C20" s="24"/>
      <c r="D20" s="24" t="s">
        <v>474</v>
      </c>
      <c r="E20" s="24" t="s">
        <v>464</v>
      </c>
      <c r="F20" s="24" t="s">
        <v>477</v>
      </c>
      <c r="G20" s="27" t="s">
        <v>459</v>
      </c>
      <c r="H20" s="24" t="s">
        <v>461</v>
      </c>
      <c r="I20" s="27" t="s">
        <v>472</v>
      </c>
      <c r="J20" s="24" t="s">
        <v>817</v>
      </c>
      <c r="K20" s="24"/>
      <c r="L20" s="113"/>
      <c r="M20" s="157" t="s">
        <v>820</v>
      </c>
      <c r="N20" s="157" t="s">
        <v>820</v>
      </c>
      <c r="O20" s="113"/>
      <c r="P20" s="157" t="s">
        <v>600</v>
      </c>
      <c r="Q20" s="24" t="s">
        <v>603</v>
      </c>
      <c r="R20" s="24" t="s">
        <v>603</v>
      </c>
    </row>
    <row r="21" spans="2:19">
      <c r="B21" s="24" t="str">
        <f>'Land requirements'!B4</f>
        <v>Purchased</v>
      </c>
      <c r="C21" s="45">
        <f>'Land requirements'!H4</f>
        <v>0</v>
      </c>
      <c r="D21" s="24" t="str">
        <f>IF(VLOOKUP(B21,'Crop parameters'!$A$2:$Z$43,23)&gt;0,VLOOKUP(B21,'Crop parameters'!$A$2:$Z$43,23),"")</f>
        <v/>
      </c>
      <c r="E21" s="24" t="str">
        <f>IF(VLOOKUP(B21,'Crop parameters'!$A$2:$Z$43,24)&gt;0,VLOOKUP(B21,'Crop parameters'!$A$2:$Z$43,24),"")</f>
        <v/>
      </c>
      <c r="F21" s="45">
        <f>IFERROR(0.091*(E21)^2.472,0)</f>
        <v>0</v>
      </c>
      <c r="G21" s="68">
        <f t="shared" ref="G21:G27" si="0">F21+((2.69/100)*F21)</f>
        <v>0</v>
      </c>
      <c r="H21" s="45">
        <v>0.48</v>
      </c>
      <c r="I21" s="45">
        <f t="shared" ref="I21:I27" si="1">G21*H21</f>
        <v>0</v>
      </c>
      <c r="J21" s="45">
        <f>IFERROR(I21*D21,0)</f>
        <v>0</v>
      </c>
      <c r="K21" s="45">
        <f>J21*C21</f>
        <v>0</v>
      </c>
      <c r="L21" s="24" t="str">
        <f>IF(VLOOKUP(B21,'Crop parameters'!$A$2:$Z$43,25)&gt;0,VLOOKUP(B21,'Crop parameters'!$A$2:$Z$43,25),"")</f>
        <v/>
      </c>
      <c r="M21" s="158">
        <f>IFERROR(L21*H21*D21,0)</f>
        <v>0</v>
      </c>
      <c r="N21" s="158">
        <f>M21*C21</f>
        <v>0</v>
      </c>
      <c r="O21" s="24" t="str">
        <f>IF(VLOOKUP(B21,'Crop parameters'!$A$2:$Z$43,26)&gt;0,VLOOKUP(B21,'Crop parameters'!$A$2:$Z$43,26),"")</f>
        <v/>
      </c>
      <c r="P21" s="158">
        <f>IFERROR(O21*H21,0)</f>
        <v>0</v>
      </c>
      <c r="Q21" s="120">
        <f>N21-P21</f>
        <v>0</v>
      </c>
      <c r="R21" s="120">
        <f>Q21*(44/12)</f>
        <v>0</v>
      </c>
    </row>
    <row r="22" spans="2:19">
      <c r="B22" s="24" t="str">
        <f>'Land requirements'!B5</f>
        <v>Maize</v>
      </c>
      <c r="C22" s="45">
        <f>'Land requirements'!H5</f>
        <v>0</v>
      </c>
      <c r="D22" s="24" t="str">
        <f>IF(VLOOKUP(B22,'Crop parameters'!$A$2:$Z$43,23)&gt;0,VLOOKUP(B22,'Crop parameters'!$A$2:$Z$43,23),"")</f>
        <v/>
      </c>
      <c r="E22" s="24" t="str">
        <f>IF(VLOOKUP(B22,'Crop parameters'!$A$2:$Z$43,24)&gt;0,VLOOKUP(B22,'Crop parameters'!$A$2:$Z$43,24),"")</f>
        <v/>
      </c>
      <c r="F22" s="45">
        <f t="shared" ref="F22:F27" si="2">IFERROR(0.091*(E22)^2.472,0)</f>
        <v>0</v>
      </c>
      <c r="G22" s="68">
        <f t="shared" si="0"/>
        <v>0</v>
      </c>
      <c r="H22" s="45">
        <v>0.48</v>
      </c>
      <c r="I22" s="45">
        <f t="shared" si="1"/>
        <v>0</v>
      </c>
      <c r="J22" s="45">
        <f t="shared" ref="J22:J27" si="3">IFERROR(I22*D22,0)</f>
        <v>0</v>
      </c>
      <c r="K22" s="45">
        <f t="shared" ref="K22:K27" si="4">J22*C22</f>
        <v>0</v>
      </c>
      <c r="L22" s="24" t="str">
        <f>IF(VLOOKUP(B22,'Crop parameters'!$A$2:$Z$43,25)&gt;0,VLOOKUP(B22,'Crop parameters'!$A$2:$Z$43,25),"")</f>
        <v/>
      </c>
      <c r="M22" s="158">
        <f t="shared" ref="M22:M27" si="5">IFERROR(L22*H22*D22,0)</f>
        <v>0</v>
      </c>
      <c r="N22" s="158">
        <f t="shared" ref="N22:N27" si="6">M22*C22</f>
        <v>0</v>
      </c>
      <c r="O22" s="24" t="str">
        <f>IF(VLOOKUP(B22,'Crop parameters'!$A$2:$Z$43,26)&gt;0,VLOOKUP(B22,'Crop parameters'!$A$2:$Z$43,26),"")</f>
        <v/>
      </c>
      <c r="P22" s="158">
        <f t="shared" ref="P22:P27" si="7">IFERROR(O22*H22,0)</f>
        <v>0</v>
      </c>
      <c r="Q22" s="120">
        <f t="shared" ref="Q22:Q27" si="8">N22-P22</f>
        <v>0</v>
      </c>
      <c r="R22" s="120">
        <f t="shared" ref="R22:R27" si="9">Q22*(44/12)</f>
        <v>0</v>
      </c>
    </row>
    <row r="23" spans="2:19">
      <c r="B23" s="24" t="str">
        <f>'Land requirements'!B6</f>
        <v xml:space="preserve">Brachiaria brizantha </v>
      </c>
      <c r="C23" s="45">
        <f>'Land requirements'!H6</f>
        <v>0</v>
      </c>
      <c r="D23" s="24" t="str">
        <f>IF(VLOOKUP(B23,'Crop parameters'!$A$2:$Z$43,23)&gt;0,VLOOKUP(B23,'Crop parameters'!$A$2:$Z$43,23),"")</f>
        <v/>
      </c>
      <c r="E23" s="24" t="str">
        <f>IF(VLOOKUP(B23,'Crop parameters'!$A$2:$Z$43,24)&gt;0,VLOOKUP(B23,'Crop parameters'!$A$2:$Z$43,24),"")</f>
        <v/>
      </c>
      <c r="F23" s="45">
        <f t="shared" si="2"/>
        <v>0</v>
      </c>
      <c r="G23" s="68">
        <f t="shared" si="0"/>
        <v>0</v>
      </c>
      <c r="H23" s="45">
        <v>0.48</v>
      </c>
      <c r="I23" s="45">
        <f t="shared" si="1"/>
        <v>0</v>
      </c>
      <c r="J23" s="45">
        <f t="shared" si="3"/>
        <v>0</v>
      </c>
      <c r="K23" s="45">
        <f t="shared" si="4"/>
        <v>0</v>
      </c>
      <c r="L23" s="24" t="str">
        <f>IF(VLOOKUP(B23,'Crop parameters'!$A$2:$Z$43,25)&gt;0,VLOOKUP(B23,'Crop parameters'!$A$2:$Z$43,25),"")</f>
        <v/>
      </c>
      <c r="M23" s="158">
        <f t="shared" si="5"/>
        <v>0</v>
      </c>
      <c r="N23" s="158">
        <f t="shared" si="6"/>
        <v>0</v>
      </c>
      <c r="O23" s="24" t="str">
        <f>IF(VLOOKUP(B23,'Crop parameters'!$A$2:$Z$43,26)&gt;0,VLOOKUP(B23,'Crop parameters'!$A$2:$Z$43,26),"")</f>
        <v/>
      </c>
      <c r="P23" s="158">
        <f t="shared" si="7"/>
        <v>0</v>
      </c>
      <c r="Q23" s="120">
        <f t="shared" si="8"/>
        <v>0</v>
      </c>
      <c r="R23" s="120">
        <f t="shared" si="9"/>
        <v>0</v>
      </c>
    </row>
    <row r="24" spans="2:19">
      <c r="B24" s="24" t="str">
        <f>'Land requirements'!B7</f>
        <v>Purchased</v>
      </c>
      <c r="C24" s="45">
        <f>'Land requirements'!H7</f>
        <v>0</v>
      </c>
      <c r="D24" s="24" t="str">
        <f>IF(VLOOKUP(B24,'Crop parameters'!$A$2:$Z$43,23)&gt;0,VLOOKUP(B24,'Crop parameters'!$A$2:$Z$43,23),"")</f>
        <v/>
      </c>
      <c r="E24" s="24" t="str">
        <f>IF(VLOOKUP(B24,'Crop parameters'!$A$2:$Z$43,24)&gt;0,VLOOKUP(B24,'Crop parameters'!$A$2:$Z$43,24),"")</f>
        <v/>
      </c>
      <c r="F24" s="45">
        <f t="shared" si="2"/>
        <v>0</v>
      </c>
      <c r="G24" s="68">
        <f t="shared" si="0"/>
        <v>0</v>
      </c>
      <c r="H24" s="45">
        <v>0.48</v>
      </c>
      <c r="I24" s="45">
        <f t="shared" si="1"/>
        <v>0</v>
      </c>
      <c r="J24" s="45">
        <f t="shared" si="3"/>
        <v>0</v>
      </c>
      <c r="K24" s="45">
        <f t="shared" si="4"/>
        <v>0</v>
      </c>
      <c r="L24" s="24" t="str">
        <f>IF(VLOOKUP(B24,'Crop parameters'!$A$2:$Z$43,25)&gt;0,VLOOKUP(B24,'Crop parameters'!$A$2:$Z$43,25),"")</f>
        <v/>
      </c>
      <c r="M24" s="158">
        <f t="shared" si="5"/>
        <v>0</v>
      </c>
      <c r="N24" s="158">
        <f t="shared" si="6"/>
        <v>0</v>
      </c>
      <c r="O24" s="24" t="str">
        <f>IF(VLOOKUP(B24,'Crop parameters'!$A$2:$Z$43,26)&gt;0,VLOOKUP(B24,'Crop parameters'!$A$2:$Z$43,26),"")</f>
        <v/>
      </c>
      <c r="P24" s="158">
        <f t="shared" si="7"/>
        <v>0</v>
      </c>
      <c r="Q24" s="120">
        <f t="shared" si="8"/>
        <v>0</v>
      </c>
      <c r="R24" s="120">
        <f t="shared" si="9"/>
        <v>0</v>
      </c>
    </row>
    <row r="25" spans="2:19">
      <c r="B25" s="24" t="str">
        <f>'Land requirements'!B8</f>
        <v>Rice</v>
      </c>
      <c r="C25" s="45">
        <f>'Land requirements'!H8</f>
        <v>0</v>
      </c>
      <c r="D25" s="24" t="str">
        <f>IF(VLOOKUP(B25,'Crop parameters'!$A$2:$Z$43,23)&gt;0,VLOOKUP(B25,'Crop parameters'!$A$2:$Z$43,23),"")</f>
        <v/>
      </c>
      <c r="E25" s="24" t="str">
        <f>IF(VLOOKUP(B25,'Crop parameters'!$A$2:$Z$43,24)&gt;0,VLOOKUP(B25,'Crop parameters'!$A$2:$Z$43,24),"")</f>
        <v/>
      </c>
      <c r="F25" s="45">
        <f t="shared" si="2"/>
        <v>0</v>
      </c>
      <c r="G25" s="68">
        <f t="shared" si="0"/>
        <v>0</v>
      </c>
      <c r="H25" s="45">
        <v>0.48</v>
      </c>
      <c r="I25" s="45">
        <f t="shared" si="1"/>
        <v>0</v>
      </c>
      <c r="J25" s="45">
        <f t="shared" si="3"/>
        <v>0</v>
      </c>
      <c r="K25" s="45">
        <f t="shared" si="4"/>
        <v>0</v>
      </c>
      <c r="L25" s="24" t="str">
        <f>IF(VLOOKUP(B25,'Crop parameters'!$A$2:$Z$43,25)&gt;0,VLOOKUP(B25,'Crop parameters'!$A$2:$Z$43,25),"")</f>
        <v/>
      </c>
      <c r="M25" s="158">
        <f t="shared" si="5"/>
        <v>0</v>
      </c>
      <c r="N25" s="158">
        <f t="shared" si="6"/>
        <v>0</v>
      </c>
      <c r="O25" s="24" t="str">
        <f>IF(VLOOKUP(B25,'Crop parameters'!$A$2:$Z$43,26)&gt;0,VLOOKUP(B25,'Crop parameters'!$A$2:$Z$43,26),"")</f>
        <v/>
      </c>
      <c r="P25" s="158">
        <f t="shared" si="7"/>
        <v>0</v>
      </c>
      <c r="Q25" s="120">
        <f t="shared" si="8"/>
        <v>0</v>
      </c>
      <c r="R25" s="120">
        <f t="shared" si="9"/>
        <v>0</v>
      </c>
    </row>
    <row r="26" spans="2:19">
      <c r="B26" s="24" t="str">
        <f>'Land requirements'!B9</f>
        <v>Natural pasture</v>
      </c>
      <c r="C26" s="45">
        <f>'Land requirements'!H9</f>
        <v>0</v>
      </c>
      <c r="D26" s="24" t="str">
        <f>IF(VLOOKUP(B26,'Crop parameters'!$A$2:$Z$43,23)&gt;0,VLOOKUP(B26,'Crop parameters'!$A$2:$Z$43,23),"")</f>
        <v/>
      </c>
      <c r="E26" s="24" t="str">
        <f>IF(VLOOKUP(B26,'Crop parameters'!$A$2:$Z$43,24)&gt;0,VLOOKUP(B26,'Crop parameters'!$A$2:$Z$43,24),"")</f>
        <v/>
      </c>
      <c r="F26" s="45">
        <f t="shared" si="2"/>
        <v>0</v>
      </c>
      <c r="G26" s="68">
        <f t="shared" si="0"/>
        <v>0</v>
      </c>
      <c r="H26" s="45">
        <v>0.48</v>
      </c>
      <c r="I26" s="45">
        <f t="shared" si="1"/>
        <v>0</v>
      </c>
      <c r="J26" s="45">
        <f t="shared" si="3"/>
        <v>0</v>
      </c>
      <c r="K26" s="45">
        <f t="shared" si="4"/>
        <v>0</v>
      </c>
      <c r="L26" s="24" t="str">
        <f>IF(VLOOKUP(B26,'Crop parameters'!$A$2:$Z$43,25)&gt;0,VLOOKUP(B26,'Crop parameters'!$A$2:$Z$43,25),"")</f>
        <v/>
      </c>
      <c r="M26" s="158">
        <f t="shared" si="5"/>
        <v>0</v>
      </c>
      <c r="N26" s="158">
        <f t="shared" si="6"/>
        <v>0</v>
      </c>
      <c r="O26" s="24" t="str">
        <f>IF(VLOOKUP(B26,'Crop parameters'!$A$2:$Z$43,26)&gt;0,VLOOKUP(B26,'Crop parameters'!$A$2:$Z$43,26),"")</f>
        <v/>
      </c>
      <c r="P26" s="158">
        <f t="shared" si="7"/>
        <v>0</v>
      </c>
      <c r="Q26" s="120">
        <f t="shared" si="8"/>
        <v>0</v>
      </c>
      <c r="R26" s="120">
        <f t="shared" si="9"/>
        <v>0</v>
      </c>
    </row>
    <row r="27" spans="2:19" ht="17.25" customHeight="1">
      <c r="B27" s="24" t="str">
        <f>'Land requirements'!B10</f>
        <v>Pennisetum purpureum</v>
      </c>
      <c r="C27" s="45">
        <f>'Land requirements'!H10</f>
        <v>0</v>
      </c>
      <c r="D27" s="24" t="str">
        <f>IF(VLOOKUP(B27,'Crop parameters'!$A$2:$Z$43,23)&gt;0,VLOOKUP(B27,'Crop parameters'!$A$2:$Z$43,23),"")</f>
        <v/>
      </c>
      <c r="E27" s="24" t="str">
        <f>IF(VLOOKUP(B27,'Crop parameters'!$A$2:$Z$43,24)&gt;0,VLOOKUP(B27,'Crop parameters'!$A$2:$Z$43,24),"")</f>
        <v/>
      </c>
      <c r="F27" s="45">
        <f t="shared" si="2"/>
        <v>0</v>
      </c>
      <c r="G27" s="68">
        <f t="shared" si="0"/>
        <v>0</v>
      </c>
      <c r="H27" s="45">
        <v>0.48</v>
      </c>
      <c r="I27" s="45">
        <f t="shared" si="1"/>
        <v>0</v>
      </c>
      <c r="J27" s="45">
        <f t="shared" si="3"/>
        <v>0</v>
      </c>
      <c r="K27" s="45">
        <f t="shared" si="4"/>
        <v>0</v>
      </c>
      <c r="L27" s="24" t="str">
        <f>IF(VLOOKUP(B27,'Crop parameters'!$A$2:$Z$43,25)&gt;0,VLOOKUP(B27,'Crop parameters'!$A$2:$Z$43,25),"")</f>
        <v/>
      </c>
      <c r="M27" s="158">
        <f t="shared" si="5"/>
        <v>0</v>
      </c>
      <c r="N27" s="158">
        <f t="shared" si="6"/>
        <v>0</v>
      </c>
      <c r="O27" s="24" t="str">
        <f>IF(VLOOKUP(B27,'Crop parameters'!$A$2:$Z$43,26)&gt;0,VLOOKUP(B27,'Crop parameters'!$A$2:$Z$43,26),"")</f>
        <v/>
      </c>
      <c r="P27" s="158">
        <f t="shared" si="7"/>
        <v>0</v>
      </c>
      <c r="Q27" s="120">
        <f t="shared" si="8"/>
        <v>0</v>
      </c>
      <c r="R27" s="120">
        <f t="shared" si="9"/>
        <v>0</v>
      </c>
    </row>
    <row r="28" spans="2:19">
      <c r="B28" s="16" t="s">
        <v>209</v>
      </c>
      <c r="C28" s="124"/>
      <c r="D28" s="124"/>
      <c r="E28" s="124"/>
      <c r="F28" s="45">
        <f>SUM(F21:F27)</f>
        <v>0</v>
      </c>
      <c r="G28" s="45">
        <f>SUM(G21:G27)</f>
        <v>0</v>
      </c>
      <c r="H28" s="45"/>
      <c r="I28" s="45">
        <f>SUM(I21:I27)</f>
        <v>0</v>
      </c>
      <c r="J28" s="45">
        <f>SUM(J21:J27)</f>
        <v>0</v>
      </c>
      <c r="K28" s="45">
        <f>SUM(K21:K27)</f>
        <v>0</v>
      </c>
      <c r="L28" s="124"/>
      <c r="M28" s="124"/>
      <c r="N28" s="124"/>
      <c r="O28" s="805"/>
      <c r="P28" s="159" t="s">
        <v>1694</v>
      </c>
      <c r="Q28" s="161">
        <f>SUM(Q21:Q27)</f>
        <v>0</v>
      </c>
      <c r="R28" s="161">
        <f>SUM(R21:R27)</f>
        <v>0</v>
      </c>
    </row>
    <row r="30" spans="2:19">
      <c r="Q30" s="1235">
        <f>'Trees-Carbon'!N9</f>
        <v>0</v>
      </c>
      <c r="R30" s="1235">
        <f>'Trees-Carbon'!O9</f>
        <v>0</v>
      </c>
    </row>
  </sheetData>
  <mergeCells count="10">
    <mergeCell ref="B17:B19"/>
    <mergeCell ref="E5:H5"/>
    <mergeCell ref="B13:D13"/>
    <mergeCell ref="B10:B12"/>
    <mergeCell ref="C10:C12"/>
    <mergeCell ref="B7:B9"/>
    <mergeCell ref="C7:C9"/>
    <mergeCell ref="B5:C5"/>
    <mergeCell ref="B6:C6"/>
    <mergeCell ref="D6:D9"/>
  </mergeCells>
  <pageMargins left="0.75" right="0.75" top="1" bottom="1" header="0.5" footer="0.5"/>
  <pageSetup paperSize="9" orientation="portrait" horizontalDpi="4294967292" verticalDpi="429496729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0">
    <tabColor rgb="FF00B050"/>
  </sheetPr>
  <dimension ref="A1:Q32"/>
  <sheetViews>
    <sheetView workbookViewId="0">
      <selection activeCell="L28" sqref="L28"/>
    </sheetView>
  </sheetViews>
  <sheetFormatPr defaultColWidth="8.875" defaultRowHeight="15.75"/>
  <cols>
    <col min="1" max="1" width="17.125" customWidth="1"/>
    <col min="2" max="2" width="11.125" customWidth="1"/>
    <col min="8" max="8" width="8.875" bestFit="1" customWidth="1"/>
    <col min="13" max="13" width="18.125" customWidth="1"/>
    <col min="15" max="15" width="10.625" bestFit="1" customWidth="1"/>
    <col min="16" max="16" width="7.25" customWidth="1"/>
  </cols>
  <sheetData>
    <row r="1" spans="1:17" s="1412" customFormat="1"/>
    <row r="2" spans="1:17" s="2" customFormat="1" ht="51">
      <c r="A2" s="1551" t="s">
        <v>881</v>
      </c>
      <c r="B2" s="1551" t="s">
        <v>855</v>
      </c>
      <c r="C2" s="185" t="s">
        <v>773</v>
      </c>
      <c r="D2" s="185" t="s">
        <v>774</v>
      </c>
      <c r="E2" s="185" t="s">
        <v>775</v>
      </c>
      <c r="F2" s="185" t="s">
        <v>776</v>
      </c>
      <c r="G2" s="185" t="s">
        <v>777</v>
      </c>
      <c r="H2" s="186" t="s">
        <v>926</v>
      </c>
      <c r="I2" s="186" t="s">
        <v>926</v>
      </c>
      <c r="J2" s="217" t="s">
        <v>965</v>
      </c>
      <c r="M2" s="184"/>
      <c r="N2" s="184"/>
      <c r="O2" s="184"/>
      <c r="P2" s="184" t="s">
        <v>816</v>
      </c>
      <c r="Q2" s="184" t="s">
        <v>923</v>
      </c>
    </row>
    <row r="3" spans="1:17" ht="50.25" customHeight="1">
      <c r="A3" s="1551"/>
      <c r="B3" s="1551"/>
      <c r="C3" s="218" t="s">
        <v>778</v>
      </c>
      <c r="D3" s="218" t="s">
        <v>779</v>
      </c>
      <c r="E3" s="218" t="s">
        <v>780</v>
      </c>
      <c r="F3" s="218" t="s">
        <v>781</v>
      </c>
      <c r="G3" s="218" t="s">
        <v>782</v>
      </c>
      <c r="H3" s="218" t="s">
        <v>963</v>
      </c>
      <c r="I3" s="219" t="s">
        <v>964</v>
      </c>
      <c r="J3" s="216"/>
      <c r="M3" s="193" t="s">
        <v>966</v>
      </c>
      <c r="O3" s="197">
        <f>SUM(I4:I16)</f>
        <v>5.14598988896359</v>
      </c>
      <c r="P3" s="197">
        <f>SUM(I20:I32)</f>
        <v>0</v>
      </c>
      <c r="Q3" s="197">
        <f>O3+P3</f>
        <v>5.14598988896359</v>
      </c>
    </row>
    <row r="4" spans="1:17" ht="56.25">
      <c r="A4" s="13" t="str">
        <f>INPUTS!D73</f>
        <v>Purchased</v>
      </c>
      <c r="B4" s="13" t="str">
        <f>'Area Parameters'!D$4</f>
        <v>Andosol</v>
      </c>
      <c r="C4" s="40">
        <f>0.55*('Area Parameters'!$D$2/'Area Parameters'!$D$3)-4.7</f>
        <v>178.63333333333335</v>
      </c>
      <c r="D4" s="13">
        <f>VLOOKUP('Area Parameters'!D$4,'Soil erosion parameters'!B$12:D$20,3,FALSE)</f>
        <v>0.15</v>
      </c>
      <c r="E4" s="40">
        <f>VLOOKUP(INPUTS!J73,'Soil erosion parameters'!$B$44:$H$48,MATCH(INPUTS!K73, 'Soil erosion parameters'!$B$44:$H$44,0), FALSE)</f>
        <v>2.2200000000000002</v>
      </c>
      <c r="F4" s="40">
        <f>VLOOKUP(INPUTS!I73,'Soil erosion parameters'!B$23:C$36,2,FALSE)</f>
        <v>0.05</v>
      </c>
      <c r="G4" s="13">
        <v>0.8</v>
      </c>
      <c r="H4" s="40">
        <f t="shared" ref="H4:H16" si="0">IF(ISERROR(C4*D4*E4*F4*G4),0,(C4*D4*E4*F4*G4))</f>
        <v>2.3793960000000007</v>
      </c>
      <c r="I4" s="372">
        <f>H4*'Land requirements'!E4*('N balance'!C$4/365)</f>
        <v>0</v>
      </c>
      <c r="M4" s="193" t="s">
        <v>981</v>
      </c>
      <c r="O4" s="197">
        <f>AVERAGEIF(H4:H16,"&lt;&gt;0")</f>
        <v>1.2916721142857146</v>
      </c>
      <c r="P4" s="197" t="e">
        <f>AVERAGEIF(H20:H32,"&lt;&gt;0")</f>
        <v>#DIV/0!</v>
      </c>
      <c r="Q4" s="197"/>
    </row>
    <row r="5" spans="1:17">
      <c r="A5" s="13" t="str">
        <f>INPUTS!D74</f>
        <v>Maize</v>
      </c>
      <c r="B5" s="13" t="str">
        <f>'Area Parameters'!D$4</f>
        <v>Andosol</v>
      </c>
      <c r="C5" s="40">
        <f>0.55*('Area Parameters'!$D$2/'Area Parameters'!$D$3)-4.7</f>
        <v>178.63333333333335</v>
      </c>
      <c r="D5" s="13">
        <f>VLOOKUP('Area Parameters'!D$4,'Soil erosion parameters'!B$12:D$20,3,FALSE)</f>
        <v>0.15</v>
      </c>
      <c r="E5" s="40">
        <f>VLOOKUP(INPUTS!J74,'Soil erosion parameters'!$B$44:$H$48,MATCH(INPUTS!K74, 'Soil erosion parameters'!$B$44:$H$44,0), FALSE)</f>
        <v>2.2200000000000002</v>
      </c>
      <c r="F5" s="40">
        <f>VLOOKUP(INPUTS!I74,'Soil erosion parameters'!B$23:C$36,2,FALSE)</f>
        <v>0.01</v>
      </c>
      <c r="G5" s="13">
        <v>0.8</v>
      </c>
      <c r="H5" s="40">
        <f t="shared" si="0"/>
        <v>0.47587920000000006</v>
      </c>
      <c r="I5" s="372">
        <f>H5*'Land requirements'!E5*('N balance'!C$4/365)</f>
        <v>0</v>
      </c>
    </row>
    <row r="6" spans="1:17">
      <c r="A6" s="13" t="str">
        <f>INPUTS!D75</f>
        <v xml:space="preserve">Brachiaria brizantha </v>
      </c>
      <c r="B6" s="13" t="str">
        <f>'Area Parameters'!D$4</f>
        <v>Andosol</v>
      </c>
      <c r="C6" s="40">
        <f>0.55*('Area Parameters'!$D$2/'Area Parameters'!$D$3)-4.7</f>
        <v>178.63333333333335</v>
      </c>
      <c r="D6" s="13">
        <f>VLOOKUP('Area Parameters'!D$4,'Soil erosion parameters'!B$12:D$20,3,FALSE)</f>
        <v>0.15</v>
      </c>
      <c r="E6" s="40">
        <f>VLOOKUP(INPUTS!J75,'Soil erosion parameters'!$B$44:$H$48,MATCH(INPUTS!K75, 'Soil erosion parameters'!$B$44:$H$44,0), FALSE)</f>
        <v>2.2200000000000002</v>
      </c>
      <c r="F6" s="40">
        <f>VLOOKUP(INPUTS!I75,'Soil erosion parameters'!B$23:C$36,2,FALSE)</f>
        <v>0.01</v>
      </c>
      <c r="G6" s="13">
        <v>0.8</v>
      </c>
      <c r="H6" s="40">
        <f t="shared" si="0"/>
        <v>0.47587920000000006</v>
      </c>
      <c r="I6" s="372">
        <f>H6*'Land requirements'!E6*('N balance'!C$4/365)</f>
        <v>0.19210005471494823</v>
      </c>
    </row>
    <row r="7" spans="1:17">
      <c r="A7" s="13" t="str">
        <f>INPUTS!D76</f>
        <v>Purchased</v>
      </c>
      <c r="B7" s="13" t="str">
        <f>'Area Parameters'!D$4</f>
        <v>Andosol</v>
      </c>
      <c r="C7" s="40">
        <f>0.55*('Area Parameters'!$D$2/'Area Parameters'!$D$3)-4.7</f>
        <v>178.63333333333335</v>
      </c>
      <c r="D7" s="13">
        <f>VLOOKUP('Area Parameters'!D$4,'Soil erosion parameters'!B$12:D$20,3,FALSE)</f>
        <v>0.15</v>
      </c>
      <c r="E7" s="40">
        <f>VLOOKUP(INPUTS!J76,'Soil erosion parameters'!$B$44:$H$48,MATCH(INPUTS!K76, 'Soil erosion parameters'!$B$44:$H$44,0), FALSE)</f>
        <v>2.2200000000000002</v>
      </c>
      <c r="F7" s="40">
        <f>VLOOKUP(INPUTS!I76,'Soil erosion parameters'!B$23:C$36,2,FALSE)</f>
        <v>0.01</v>
      </c>
      <c r="G7" s="13">
        <v>0.8</v>
      </c>
      <c r="H7" s="40">
        <f t="shared" si="0"/>
        <v>0.47587920000000006</v>
      </c>
      <c r="I7" s="372">
        <f>H7*'Land requirements'!E7*('N balance'!C$4/365)</f>
        <v>0</v>
      </c>
      <c r="O7" s="39"/>
    </row>
    <row r="8" spans="1:17">
      <c r="A8" s="13" t="str">
        <f>INPUTS!D77</f>
        <v>Rice</v>
      </c>
      <c r="B8" s="13" t="str">
        <f>'Area Parameters'!D$4</f>
        <v>Andosol</v>
      </c>
      <c r="C8" s="40">
        <f>0.55*('Area Parameters'!$D$2/'Area Parameters'!$D$3)-4.7</f>
        <v>178.63333333333335</v>
      </c>
      <c r="D8" s="13">
        <f>VLOOKUP('Area Parameters'!D$4,'Soil erosion parameters'!B$12:D$20,3,FALSE)</f>
        <v>0.15</v>
      </c>
      <c r="E8" s="40">
        <f>VLOOKUP(INPUTS!J77,'Soil erosion parameters'!$B$44:$H$48,MATCH(INPUTS!K77, 'Soil erosion parameters'!$B$44:$H$44,0), FALSE)</f>
        <v>2.2200000000000002</v>
      </c>
      <c r="F8" s="40">
        <f>VLOOKUP(INPUTS!I77,'Soil erosion parameters'!B$23:C$36,2,FALSE)</f>
        <v>0.05</v>
      </c>
      <c r="G8" s="13">
        <v>0.8</v>
      </c>
      <c r="H8" s="40">
        <f t="shared" si="0"/>
        <v>2.3793960000000007</v>
      </c>
      <c r="I8" s="372">
        <f>H8*'Land requirements'!E8*('N balance'!C$4/365)</f>
        <v>3.6650597495313253</v>
      </c>
    </row>
    <row r="9" spans="1:17">
      <c r="A9" s="13" t="str">
        <f>INPUTS!D78</f>
        <v>Natural pasture</v>
      </c>
      <c r="B9" s="13" t="str">
        <f>'Area Parameters'!D$4</f>
        <v>Andosol</v>
      </c>
      <c r="C9" s="40">
        <f>0.55*('Area Parameters'!$D$2/'Area Parameters'!$D$3)-4.7</f>
        <v>178.63333333333335</v>
      </c>
      <c r="D9" s="13">
        <f>VLOOKUP('Area Parameters'!D$4,'Soil erosion parameters'!B$12:D$20,3,FALSE)</f>
        <v>0.15</v>
      </c>
      <c r="E9" s="40">
        <f>VLOOKUP(INPUTS!J78,'Soil erosion parameters'!$B$44:$H$48,MATCH(INPUTS!K78, 'Soil erosion parameters'!$B$44:$H$44,0), FALSE)</f>
        <v>2.2200000000000002</v>
      </c>
      <c r="F9" s="40">
        <f>VLOOKUP(INPUTS!I78,'Soil erosion parameters'!B$23:C$36,2,FALSE)</f>
        <v>0.01</v>
      </c>
      <c r="G9" s="13">
        <v>0.8</v>
      </c>
      <c r="H9" s="40">
        <f t="shared" si="0"/>
        <v>0.47587920000000006</v>
      </c>
      <c r="I9" s="372">
        <f>H9*'Land requirements'!E9*('N balance'!C$4/365)</f>
        <v>0</v>
      </c>
    </row>
    <row r="10" spans="1:17">
      <c r="A10" s="13" t="str">
        <f>INPUTS!D79</f>
        <v>Pennisetum purpureum</v>
      </c>
      <c r="B10" s="13" t="str">
        <f>'Area Parameters'!D$4</f>
        <v>Andosol</v>
      </c>
      <c r="C10" s="40">
        <f>0.55*('Area Parameters'!$D$2/'Area Parameters'!$D$3)-4.7</f>
        <v>178.63333333333335</v>
      </c>
      <c r="D10" s="13">
        <f>VLOOKUP('Area Parameters'!D$4,'Soil erosion parameters'!B$12:D$20,3,FALSE)</f>
        <v>0.15</v>
      </c>
      <c r="E10" s="40">
        <f>VLOOKUP(INPUTS!J79,'Soil erosion parameters'!$B$44:$H$48,MATCH(INPUTS!K79, 'Soil erosion parameters'!$B$44:$H$44,0), FALSE)</f>
        <v>2.2200000000000002</v>
      </c>
      <c r="F10" s="40">
        <f>VLOOKUP(INPUTS!I79,'Soil erosion parameters'!B$23:C$36,2,FALSE)</f>
        <v>0.05</v>
      </c>
      <c r="G10" s="13">
        <v>0.8</v>
      </c>
      <c r="H10" s="40">
        <f t="shared" si="0"/>
        <v>2.3793960000000007</v>
      </c>
      <c r="I10" s="372">
        <f>H10*'Land requirements'!E10*('N balance'!C$4/365)</f>
        <v>1.2888300847173164</v>
      </c>
    </row>
    <row r="11" spans="1:17">
      <c r="A11" s="13" t="e">
        <f>INPUTS!#REF!</f>
        <v>#REF!</v>
      </c>
      <c r="B11" s="13" t="str">
        <f>'Area Parameters'!D$4</f>
        <v>Andosol</v>
      </c>
      <c r="C11" s="40">
        <f>0.55*('Area Parameters'!$D$2/'Area Parameters'!$D$3)-4.7</f>
        <v>178.63333333333335</v>
      </c>
      <c r="D11" s="13">
        <f>VLOOKUP('Area Parameters'!D$4,'Soil erosion parameters'!B$12:D$20,3,FALSE)</f>
        <v>0.15</v>
      </c>
      <c r="E11" s="40" t="s">
        <v>44</v>
      </c>
      <c r="F11" s="40"/>
      <c r="G11" s="13">
        <v>0.8</v>
      </c>
      <c r="H11" s="40">
        <f t="shared" si="0"/>
        <v>0</v>
      </c>
      <c r="I11" s="372">
        <f>H11*INPUTS!F79*('N balance'!C$4/365)</f>
        <v>0</v>
      </c>
    </row>
    <row r="12" spans="1:17">
      <c r="A12" s="13" t="e">
        <f>INPUTS!#REF!</f>
        <v>#REF!</v>
      </c>
      <c r="B12" s="13" t="str">
        <f>'Area Parameters'!D$4</f>
        <v>Andosol</v>
      </c>
      <c r="C12" s="40">
        <f>0.55*('Area Parameters'!$D$2/'Area Parameters'!$D$3)-4.7</f>
        <v>178.63333333333335</v>
      </c>
      <c r="D12" s="13">
        <f>VLOOKUP('Area Parameters'!D$4,'Soil erosion parameters'!B$12:D$20,3,FALSE)</f>
        <v>0.15</v>
      </c>
      <c r="E12" s="40" t="str">
        <f>IFERROR(VLOOKUP(INPUTS!#REF!,'Soil erosion parameters'!$B$44:$H$48,MATCH(INPUTS!#REF!, 'Soil erosion parameters'!$B$44:$H$44,0), FALSE), "")</f>
        <v/>
      </c>
      <c r="F12" s="40"/>
      <c r="G12" s="13">
        <v>0.8</v>
      </c>
      <c r="H12" s="40">
        <f t="shared" si="0"/>
        <v>0</v>
      </c>
      <c r="I12" s="372">
        <f>H12*INPUTS!F80*('N balance'!C$4/365)</f>
        <v>0</v>
      </c>
    </row>
    <row r="13" spans="1:17">
      <c r="A13" s="13" t="e">
        <f>INPUTS!#REF!</f>
        <v>#REF!</v>
      </c>
      <c r="B13" s="13" t="str">
        <f>'Area Parameters'!D$4</f>
        <v>Andosol</v>
      </c>
      <c r="C13" s="40">
        <f>0.55*('Area Parameters'!$D$2/'Area Parameters'!$D$3)-4.7</f>
        <v>178.63333333333335</v>
      </c>
      <c r="D13" s="13">
        <f>VLOOKUP('Area Parameters'!D$4,'Soil erosion parameters'!B$12:D$20,3,FALSE)</f>
        <v>0.15</v>
      </c>
      <c r="E13" s="40" t="str">
        <f>IFERROR(VLOOKUP(INPUTS!#REF!,'Soil erosion parameters'!$B$44:$H$48,MATCH(INPUTS!#REF!, 'Soil erosion parameters'!$B$44:$H$44,0), FALSE), "")</f>
        <v/>
      </c>
      <c r="F13" s="40"/>
      <c r="G13" s="13">
        <v>0.8</v>
      </c>
      <c r="H13" s="40">
        <f t="shared" si="0"/>
        <v>0</v>
      </c>
      <c r="I13" s="372">
        <f>H13*INPUTS!F81*('N balance'!C$4/365)</f>
        <v>0</v>
      </c>
    </row>
    <row r="14" spans="1:17">
      <c r="A14" s="13" t="e">
        <f>INPUTS!#REF!</f>
        <v>#REF!</v>
      </c>
      <c r="B14" s="13" t="str">
        <f>'Area Parameters'!D$4</f>
        <v>Andosol</v>
      </c>
      <c r="C14" s="40">
        <f>0.55*('Area Parameters'!$D$2/'Area Parameters'!$D$3)-4.7</f>
        <v>178.63333333333335</v>
      </c>
      <c r="D14" s="13">
        <f>VLOOKUP('Area Parameters'!D$4,'Soil erosion parameters'!B$12:D$20,3,FALSE)</f>
        <v>0.15</v>
      </c>
      <c r="E14" s="40" t="str">
        <f>IFERROR(VLOOKUP(INPUTS!#REF!,'Soil erosion parameters'!$B$44:$H$48,MATCH(INPUTS!#REF!, 'Soil erosion parameters'!$B$44:$H$44,0), FALSE), "")</f>
        <v/>
      </c>
      <c r="F14" s="40"/>
      <c r="G14" s="13">
        <v>0.8</v>
      </c>
      <c r="H14" s="40">
        <f t="shared" si="0"/>
        <v>0</v>
      </c>
      <c r="I14" s="372">
        <f>H14*INPUTS!F82*('N balance'!C$4/365)</f>
        <v>0</v>
      </c>
    </row>
    <row r="15" spans="1:17">
      <c r="A15" s="13" t="e">
        <f>INPUTS!#REF!</f>
        <v>#REF!</v>
      </c>
      <c r="B15" s="13" t="str">
        <f>'Area Parameters'!D$4</f>
        <v>Andosol</v>
      </c>
      <c r="C15" s="40">
        <f>0.55*('Area Parameters'!$D$2/'Area Parameters'!$D$3)-4.7</f>
        <v>178.63333333333335</v>
      </c>
      <c r="D15" s="13">
        <f>VLOOKUP('Area Parameters'!D$4,'Soil erosion parameters'!B$12:D$20,3,FALSE)</f>
        <v>0.15</v>
      </c>
      <c r="E15" s="40" t="str">
        <f>IFERROR(VLOOKUP(INPUTS!#REF!,'Soil erosion parameters'!$B$44:$H$48,MATCH(INPUTS!#REF!, 'Soil erosion parameters'!$B$44:$H$44,0), FALSE), "")</f>
        <v/>
      </c>
      <c r="F15" s="40"/>
      <c r="G15" s="13">
        <v>0.8</v>
      </c>
      <c r="H15" s="40">
        <f t="shared" si="0"/>
        <v>0</v>
      </c>
      <c r="I15" s="372">
        <f>H15*INPUTS!F83*('N balance'!C$4/365)</f>
        <v>0</v>
      </c>
    </row>
    <row r="16" spans="1:17">
      <c r="A16" s="13" t="e">
        <f>INPUTS!#REF!</f>
        <v>#REF!</v>
      </c>
      <c r="B16" s="13" t="str">
        <f>'Area Parameters'!D$4</f>
        <v>Andosol</v>
      </c>
      <c r="C16" s="40">
        <f>0.55*('Area Parameters'!$D$2/'Area Parameters'!$D$3)-4.7</f>
        <v>178.63333333333335</v>
      </c>
      <c r="D16" s="13">
        <f>VLOOKUP('Area Parameters'!D$4,'Soil erosion parameters'!B$12:D$20,3,FALSE)</f>
        <v>0.15</v>
      </c>
      <c r="E16" s="40" t="str">
        <f>IFERROR(VLOOKUP(INPUTS!#REF!,'Soil erosion parameters'!$B$44:$H$48,MATCH(INPUTS!#REF!, 'Soil erosion parameters'!$B$44:$H$44,0), FALSE), "")</f>
        <v/>
      </c>
      <c r="F16" s="40"/>
      <c r="G16" s="13">
        <v>0.8</v>
      </c>
      <c r="H16" s="40">
        <f t="shared" si="0"/>
        <v>0</v>
      </c>
      <c r="I16" s="372">
        <f>H16*INPUTS!F84*('N balance'!C$4/365)</f>
        <v>0</v>
      </c>
    </row>
    <row r="17" spans="1:9" s="1552" customFormat="1" ht="15"/>
    <row r="18" spans="1:9" s="375" customFormat="1" ht="60">
      <c r="A18" s="1553" t="s">
        <v>881</v>
      </c>
      <c r="B18" s="1553" t="s">
        <v>855</v>
      </c>
      <c r="C18" s="373" t="s">
        <v>773</v>
      </c>
      <c r="D18" s="373" t="s">
        <v>774</v>
      </c>
      <c r="E18" s="373" t="s">
        <v>775</v>
      </c>
      <c r="F18" s="373" t="s">
        <v>776</v>
      </c>
      <c r="G18" s="373" t="s">
        <v>777</v>
      </c>
      <c r="H18" s="374" t="s">
        <v>926</v>
      </c>
      <c r="I18" s="374" t="s">
        <v>926</v>
      </c>
    </row>
    <row r="19" spans="1:9" s="377" customFormat="1" ht="45">
      <c r="A19" s="1553"/>
      <c r="B19" s="1553"/>
      <c r="C19" s="376" t="s">
        <v>778</v>
      </c>
      <c r="D19" s="376" t="s">
        <v>779</v>
      </c>
      <c r="E19" s="376" t="s">
        <v>780</v>
      </c>
      <c r="F19" s="376" t="s">
        <v>781</v>
      </c>
      <c r="G19" s="376" t="s">
        <v>782</v>
      </c>
      <c r="H19" s="376" t="s">
        <v>963</v>
      </c>
      <c r="I19" s="376" t="s">
        <v>1126</v>
      </c>
    </row>
    <row r="20" spans="1:9" s="377" customFormat="1" ht="15">
      <c r="A20" s="378" t="str">
        <f>A4</f>
        <v>Purchased</v>
      </c>
      <c r="B20" s="378" t="str">
        <f>'Area Parameters'!D$4</f>
        <v>Andosol</v>
      </c>
      <c r="C20" s="379">
        <f>0.55*('Area Parameters'!$D$2/'Area Parameters'!$D$3)-4.7</f>
        <v>178.63333333333335</v>
      </c>
      <c r="D20" s="378">
        <f>VLOOKUP('Area Parameters'!D$4,'Soil erosion parameters'!B$12:D$20,3,FALSE)</f>
        <v>0.15</v>
      </c>
      <c r="E20" s="378" t="e">
        <f>VLOOKUP(INPUTS!K95,'Soil erosion parameters'!$B$44:$H$48,MATCH(INPUTS!L95, 'Soil erosion parameters'!$B$44:$H$44,0), FALSE)</f>
        <v>#N/A</v>
      </c>
      <c r="F20" s="378" t="e">
        <f>VLOOKUP(INPUTS!AI64,'Soil erosion parameters'!B$23:C$36,2,FALSE)</f>
        <v>#N/A</v>
      </c>
      <c r="G20" s="378">
        <v>0.8</v>
      </c>
      <c r="H20" s="379">
        <f t="shared" ref="H20:H32" si="1">IF(ISERROR(C20*D20*E20*F20*G20),0,(C20*D20*E20*F20*G20))</f>
        <v>0</v>
      </c>
      <c r="I20" s="380">
        <f>H20*INPUTS!AI64*(1-('N balance'!C$4/365))</f>
        <v>0</v>
      </c>
    </row>
    <row r="21" spans="1:9" s="377" customFormat="1" ht="15">
      <c r="A21" s="378" t="str">
        <f t="shared" ref="A21:A26" si="2">A5</f>
        <v>Maize</v>
      </c>
      <c r="B21" s="378" t="str">
        <f>'Area Parameters'!D$4</f>
        <v>Andosol</v>
      </c>
      <c r="C21" s="379">
        <f>0.55*('Area Parameters'!$D$2/'Area Parameters'!$D$3)-4.7</f>
        <v>178.63333333333335</v>
      </c>
      <c r="D21" s="378">
        <f>VLOOKUP('Area Parameters'!D$4,'Soil erosion parameters'!B$12:D$20,3,FALSE)</f>
        <v>0.15</v>
      </c>
      <c r="E21" s="378" t="e">
        <f>VLOOKUP(INPUTS!K96,'Soil erosion parameters'!$B$44:$H$48,MATCH(INPUTS!L96, 'Soil erosion parameters'!$B$44:$H$44,0), FALSE)</f>
        <v>#N/A</v>
      </c>
      <c r="F21" s="378" t="e">
        <f>VLOOKUP(INPUTS!AI65,'Soil erosion parameters'!B$23:C$36,2,FALSE)</f>
        <v>#N/A</v>
      </c>
      <c r="G21" s="378">
        <v>0.8</v>
      </c>
      <c r="H21" s="379">
        <f t="shared" si="1"/>
        <v>0</v>
      </c>
      <c r="I21" s="380">
        <f>H21*INPUTS!AI65*(1-('N balance'!C$4/365))</f>
        <v>0</v>
      </c>
    </row>
    <row r="22" spans="1:9" s="377" customFormat="1" ht="15">
      <c r="A22" s="378" t="str">
        <f t="shared" si="2"/>
        <v xml:space="preserve">Brachiaria brizantha </v>
      </c>
      <c r="B22" s="378" t="str">
        <f>'Area Parameters'!D$4</f>
        <v>Andosol</v>
      </c>
      <c r="C22" s="379">
        <f>0.55*('Area Parameters'!$D$2/'Area Parameters'!$D$3)-4.7</f>
        <v>178.63333333333335</v>
      </c>
      <c r="D22" s="378">
        <f>VLOOKUP('Area Parameters'!D$4,'Soil erosion parameters'!B$12:D$20,3,FALSE)</f>
        <v>0.15</v>
      </c>
      <c r="E22" s="378" t="e">
        <f>VLOOKUP(INPUTS!K97,'Soil erosion parameters'!$B$44:$H$48,MATCH(INPUTS!L97, 'Soil erosion parameters'!$B$44:$H$44,0), FALSE)</f>
        <v>#N/A</v>
      </c>
      <c r="F22" s="378" t="e">
        <f>VLOOKUP(INPUTS!AI66,'Soil erosion parameters'!B$23:C$36,2,FALSE)</f>
        <v>#N/A</v>
      </c>
      <c r="G22" s="378">
        <v>0.8</v>
      </c>
      <c r="H22" s="379">
        <f t="shared" si="1"/>
        <v>0</v>
      </c>
      <c r="I22" s="380">
        <f>H22*INPUTS!AI66*(1-('N balance'!C$4/365))</f>
        <v>0</v>
      </c>
    </row>
    <row r="23" spans="1:9" s="377" customFormat="1" ht="15">
      <c r="A23" s="378" t="str">
        <f t="shared" si="2"/>
        <v>Purchased</v>
      </c>
      <c r="B23" s="378" t="str">
        <f>'Area Parameters'!D$4</f>
        <v>Andosol</v>
      </c>
      <c r="C23" s="379">
        <f>0.55*('Area Parameters'!$D$2/'Area Parameters'!$D$3)-4.7</f>
        <v>178.63333333333335</v>
      </c>
      <c r="D23" s="378">
        <f>VLOOKUP('Area Parameters'!D$4,'Soil erosion parameters'!B$12:D$20,3,FALSE)</f>
        <v>0.15</v>
      </c>
      <c r="E23" s="378" t="e">
        <f>VLOOKUP(INPUTS!K98,'Soil erosion parameters'!$B$44:$H$48,MATCH(INPUTS!L98, 'Soil erosion parameters'!$B$44:$H$44,0), FALSE)</f>
        <v>#N/A</v>
      </c>
      <c r="F23" s="378" t="e">
        <f>VLOOKUP(INPUTS!AG67,'Soil erosion parameters'!B$23:C$36,2,FALSE)</f>
        <v>#N/A</v>
      </c>
      <c r="G23" s="378">
        <v>0.8</v>
      </c>
      <c r="H23" s="379">
        <f t="shared" si="1"/>
        <v>0</v>
      </c>
      <c r="I23" s="380">
        <f>H23*INPUTS!AG67*(1-('N balance'!C$4/365))</f>
        <v>0</v>
      </c>
    </row>
    <row r="24" spans="1:9" s="377" customFormat="1" ht="15">
      <c r="A24" s="378" t="str">
        <f t="shared" si="2"/>
        <v>Rice</v>
      </c>
      <c r="B24" s="378" t="str">
        <f>'Area Parameters'!D$4</f>
        <v>Andosol</v>
      </c>
      <c r="C24" s="379">
        <f>0.55*('Area Parameters'!$D$2/'Area Parameters'!$D$3)-4.7</f>
        <v>178.63333333333335</v>
      </c>
      <c r="D24" s="378">
        <f>VLOOKUP('Area Parameters'!D$4,'Soil erosion parameters'!B$12:D$20,3,FALSE)</f>
        <v>0.15</v>
      </c>
      <c r="E24" s="378" t="e">
        <f>VLOOKUP(INPUTS!K99,'Soil erosion parameters'!$B$44:$H$48,MATCH(INPUTS!L99, 'Soil erosion parameters'!$B$44:$H$44,0), FALSE)</f>
        <v>#N/A</v>
      </c>
      <c r="F24" s="378" t="e">
        <f>VLOOKUP(INPUTS!AG68,'Soil erosion parameters'!B$23:C$36,2,FALSE)</f>
        <v>#N/A</v>
      </c>
      <c r="G24" s="378">
        <v>0.8</v>
      </c>
      <c r="H24" s="379">
        <f t="shared" si="1"/>
        <v>0</v>
      </c>
      <c r="I24" s="380">
        <f>H24*INPUTS!AG68*(1-('N balance'!C$4/365))</f>
        <v>0</v>
      </c>
    </row>
    <row r="25" spans="1:9" s="377" customFormat="1" ht="15">
      <c r="A25" s="378" t="str">
        <f t="shared" si="2"/>
        <v>Natural pasture</v>
      </c>
      <c r="B25" s="378" t="str">
        <f>'Area Parameters'!D$4</f>
        <v>Andosol</v>
      </c>
      <c r="C25" s="379">
        <f>0.55*('Area Parameters'!$D$2/'Area Parameters'!$D$3)-4.7</f>
        <v>178.63333333333335</v>
      </c>
      <c r="D25" s="378">
        <f>VLOOKUP('Area Parameters'!D$4,'Soil erosion parameters'!B$12:D$20,3,FALSE)</f>
        <v>0.15</v>
      </c>
      <c r="E25" s="378" t="e">
        <f>VLOOKUP(INPUTS!K100,'Soil erosion parameters'!$B$44:$H$48,MATCH(INPUTS!L100, 'Soil erosion parameters'!$B$44:$H$44,0), FALSE)</f>
        <v>#N/A</v>
      </c>
      <c r="F25" s="378" t="e">
        <f>VLOOKUP(INPUTS!AG69,'Soil erosion parameters'!B$23:C$36,2,FALSE)</f>
        <v>#N/A</v>
      </c>
      <c r="G25" s="378">
        <v>0.8</v>
      </c>
      <c r="H25" s="379">
        <f t="shared" si="1"/>
        <v>0</v>
      </c>
      <c r="I25" s="380">
        <f>H25*INPUTS!AG69*(1-('N balance'!C$4/365))</f>
        <v>0</v>
      </c>
    </row>
    <row r="26" spans="1:9" s="377" customFormat="1" ht="15">
      <c r="A26" s="378" t="str">
        <f t="shared" si="2"/>
        <v>Pennisetum purpureum</v>
      </c>
      <c r="B26" s="378" t="str">
        <f>'Area Parameters'!D$4</f>
        <v>Andosol</v>
      </c>
      <c r="C26" s="379">
        <f>0.55*('Area Parameters'!$D$2/'Area Parameters'!$D$3)-4.7</f>
        <v>178.63333333333335</v>
      </c>
      <c r="D26" s="378">
        <f>VLOOKUP('Area Parameters'!D$4,'Soil erosion parameters'!B$12:D$20,3,FALSE)</f>
        <v>0.15</v>
      </c>
      <c r="E26" s="378" t="e">
        <f>VLOOKUP(INPUTS!K101,'Soil erosion parameters'!$B$44:$H$48,MATCH(INPUTS!L101, 'Soil erosion parameters'!$B$44:$H$44,0), FALSE)</f>
        <v>#N/A</v>
      </c>
      <c r="F26" s="378" t="e">
        <f>VLOOKUP(INPUTS!AG70,'Soil erosion parameters'!B$23:C$36,2,FALSE)</f>
        <v>#N/A</v>
      </c>
      <c r="G26" s="378">
        <v>0.8</v>
      </c>
      <c r="H26" s="379">
        <f t="shared" si="1"/>
        <v>0</v>
      </c>
      <c r="I26" s="380">
        <f>H26*INPUTS!AG70*(1-('N balance'!C$4/365))</f>
        <v>0</v>
      </c>
    </row>
    <row r="27" spans="1:9" s="377" customFormat="1" ht="15">
      <c r="A27" s="378" t="e">
        <f>INPUTS!#REF!</f>
        <v>#REF!</v>
      </c>
      <c r="B27" s="378" t="str">
        <f>'Area Parameters'!D$4</f>
        <v>Andosol</v>
      </c>
      <c r="C27" s="379">
        <f>0.55*('Area Parameters'!$D$2/'Area Parameters'!$D$3)-4.7</f>
        <v>178.63333333333335</v>
      </c>
      <c r="D27" s="378">
        <f>VLOOKUP('Area Parameters'!D$4,'Soil erosion parameters'!B$12:D$20,3,FALSE)</f>
        <v>0.15</v>
      </c>
      <c r="E27" s="378"/>
      <c r="F27" s="378"/>
      <c r="G27" s="378">
        <v>0.8</v>
      </c>
      <c r="H27" s="379">
        <f t="shared" si="1"/>
        <v>0</v>
      </c>
      <c r="I27" s="380">
        <f>H27*INPUTS!AG71*(1-('N balance'!C$4/365))</f>
        <v>0</v>
      </c>
    </row>
    <row r="28" spans="1:9" s="377" customFormat="1" ht="15">
      <c r="A28" s="378" t="e">
        <f>INPUTS!#REF!</f>
        <v>#REF!</v>
      </c>
      <c r="B28" s="378" t="str">
        <f>'Area Parameters'!D$4</f>
        <v>Andosol</v>
      </c>
      <c r="C28" s="379">
        <f>0.55*('Area Parameters'!$D$2/'Area Parameters'!$D$3)-4.7</f>
        <v>178.63333333333335</v>
      </c>
      <c r="D28" s="378">
        <f>VLOOKUP('Area Parameters'!D$4,'Soil erosion parameters'!B$12:D$20,3,FALSE)</f>
        <v>0.15</v>
      </c>
      <c r="E28" s="378"/>
      <c r="F28" s="378"/>
      <c r="G28" s="378">
        <v>0.8</v>
      </c>
      <c r="H28" s="379">
        <f t="shared" si="1"/>
        <v>0</v>
      </c>
      <c r="I28" s="380">
        <f>H28*INPUTS!AG72*(1-('N balance'!C$4/365))</f>
        <v>0</v>
      </c>
    </row>
    <row r="29" spans="1:9" s="377" customFormat="1" ht="15">
      <c r="A29" s="378" t="e">
        <f>INPUTS!#REF!</f>
        <v>#REF!</v>
      </c>
      <c r="B29" s="378" t="str">
        <f>'Area Parameters'!D$4</f>
        <v>Andosol</v>
      </c>
      <c r="C29" s="379">
        <f>0.55*('Area Parameters'!$D$2/'Area Parameters'!$D$3)-4.7</f>
        <v>178.63333333333335</v>
      </c>
      <c r="D29" s="378">
        <f>VLOOKUP('Area Parameters'!D$4,'Soil erosion parameters'!B$12:D$20,3,FALSE)</f>
        <v>0.15</v>
      </c>
      <c r="E29" s="378"/>
      <c r="F29" s="378"/>
      <c r="G29" s="378">
        <v>0.8</v>
      </c>
      <c r="H29" s="379">
        <f t="shared" si="1"/>
        <v>0</v>
      </c>
      <c r="I29" s="380">
        <f>H29*INPUTS!AG73*(1-('N balance'!C$4/365))</f>
        <v>0</v>
      </c>
    </row>
    <row r="30" spans="1:9" s="377" customFormat="1" ht="15">
      <c r="A30" s="378" t="e">
        <f>INPUTS!#REF!</f>
        <v>#REF!</v>
      </c>
      <c r="B30" s="378" t="str">
        <f>'Area Parameters'!D$4</f>
        <v>Andosol</v>
      </c>
      <c r="C30" s="379">
        <f>0.55*('Area Parameters'!$D$2/'Area Parameters'!$D$3)-4.7</f>
        <v>178.63333333333335</v>
      </c>
      <c r="D30" s="378">
        <f>VLOOKUP('Area Parameters'!D$4,'Soil erosion parameters'!B$12:D$20,3,FALSE)</f>
        <v>0.15</v>
      </c>
      <c r="E30" s="378"/>
      <c r="F30" s="378"/>
      <c r="G30" s="378">
        <v>0.8</v>
      </c>
      <c r="H30" s="379">
        <f t="shared" si="1"/>
        <v>0</v>
      </c>
      <c r="I30" s="380">
        <f>H30*INPUTS!AB68*(1-('N balance'!C$4/365))</f>
        <v>0</v>
      </c>
    </row>
    <row r="31" spans="1:9" s="377" customFormat="1" ht="15">
      <c r="A31" s="378" t="e">
        <f>INPUTS!#REF!</f>
        <v>#REF!</v>
      </c>
      <c r="B31" s="378" t="str">
        <f>'Area Parameters'!D$4</f>
        <v>Andosol</v>
      </c>
      <c r="C31" s="379">
        <f>0.55*('Area Parameters'!$D$2/'Area Parameters'!$D$3)-4.7</f>
        <v>178.63333333333335</v>
      </c>
      <c r="D31" s="378">
        <f>VLOOKUP('Area Parameters'!D$4,'Soil erosion parameters'!B$12:D$20,3,FALSE)</f>
        <v>0.15</v>
      </c>
      <c r="E31" s="378"/>
      <c r="F31" s="378"/>
      <c r="G31" s="378">
        <v>0.8</v>
      </c>
      <c r="H31" s="379">
        <f t="shared" si="1"/>
        <v>0</v>
      </c>
      <c r="I31" s="380">
        <f>H31*INPUTS!AB69*(1-('N balance'!C$4/365))</f>
        <v>0</v>
      </c>
    </row>
    <row r="32" spans="1:9" s="377" customFormat="1" ht="15">
      <c r="A32" s="378" t="e">
        <f>INPUTS!#REF!</f>
        <v>#REF!</v>
      </c>
      <c r="B32" s="378" t="str">
        <f>'Area Parameters'!D$4</f>
        <v>Andosol</v>
      </c>
      <c r="C32" s="379">
        <f>0.55*('Area Parameters'!$D$2/'Area Parameters'!$D$3)-4.7</f>
        <v>178.63333333333335</v>
      </c>
      <c r="D32" s="378">
        <f>VLOOKUP('Area Parameters'!D$4,'Soil erosion parameters'!B$12:D$20,3,FALSE)</f>
        <v>0.15</v>
      </c>
      <c r="E32" s="378"/>
      <c r="F32" s="378"/>
      <c r="G32" s="378">
        <v>0.8</v>
      </c>
      <c r="H32" s="379">
        <f t="shared" si="1"/>
        <v>0</v>
      </c>
      <c r="I32" s="380">
        <f>H32*INPUTS!AB70*(1-('N balance'!C$4/365))</f>
        <v>0</v>
      </c>
    </row>
  </sheetData>
  <mergeCells count="6">
    <mergeCell ref="B2:B3"/>
    <mergeCell ref="A2:A3"/>
    <mergeCell ref="A1:XFD1"/>
    <mergeCell ref="A17:XFD17"/>
    <mergeCell ref="A18:A19"/>
    <mergeCell ref="B18:B19"/>
  </mergeCells>
  <pageMargins left="0.7" right="0.7" top="0.75" bottom="0.75" header="0.3" footer="0.3"/>
  <pageSetup paperSize="9" orientation="portrait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3">
    <tabColor rgb="FF00B050"/>
  </sheetPr>
  <dimension ref="A1:H110"/>
  <sheetViews>
    <sheetView topLeftCell="A22" workbookViewId="0">
      <selection activeCell="D8" sqref="D8"/>
    </sheetView>
  </sheetViews>
  <sheetFormatPr defaultColWidth="11" defaultRowHeight="15.75"/>
  <cols>
    <col min="2" max="2" width="28.625" customWidth="1"/>
    <col min="3" max="3" width="23.5" bestFit="1" customWidth="1"/>
    <col min="4" max="4" width="12.125" bestFit="1" customWidth="1"/>
    <col min="5" max="5" width="21.625" customWidth="1"/>
    <col min="6" max="6" width="31.125" customWidth="1"/>
    <col min="7" max="7" width="39.625" customWidth="1"/>
    <col min="8" max="9" width="21.625" customWidth="1"/>
    <col min="10" max="10" width="21.375" customWidth="1"/>
    <col min="11" max="11" width="24" customWidth="1"/>
  </cols>
  <sheetData>
    <row r="1" spans="1:7">
      <c r="A1" t="s">
        <v>101</v>
      </c>
    </row>
    <row r="2" spans="1:7">
      <c r="B2" s="1" t="s">
        <v>1</v>
      </c>
    </row>
    <row r="3" spans="1:7">
      <c r="B3" s="19" t="s">
        <v>172</v>
      </c>
      <c r="C3" s="1556" t="s">
        <v>266</v>
      </c>
      <c r="D3" s="1556"/>
      <c r="E3" s="19" t="s">
        <v>267</v>
      </c>
    </row>
    <row r="4" spans="1:7" s="30" customFormat="1" ht="63">
      <c r="B4" s="1557" t="s">
        <v>258</v>
      </c>
      <c r="C4" s="33" t="s">
        <v>259</v>
      </c>
      <c r="D4" s="33" t="s">
        <v>262</v>
      </c>
      <c r="E4" s="29" t="s">
        <v>268</v>
      </c>
      <c r="F4"/>
    </row>
    <row r="5" spans="1:7" s="30" customFormat="1" ht="31.5">
      <c r="B5" s="1558"/>
      <c r="C5" s="24" t="s">
        <v>260</v>
      </c>
      <c r="D5" s="24" t="s">
        <v>263</v>
      </c>
      <c r="E5" s="31" t="s">
        <v>269</v>
      </c>
    </row>
    <row r="6" spans="1:7" s="30" customFormat="1" ht="31.5">
      <c r="B6" s="1559"/>
      <c r="C6" s="24"/>
      <c r="D6" s="24" t="s">
        <v>264</v>
      </c>
      <c r="E6" s="31" t="s">
        <v>270</v>
      </c>
    </row>
    <row r="7" spans="1:7" s="30" customFormat="1">
      <c r="B7" s="24" t="s">
        <v>143</v>
      </c>
      <c r="C7" s="24" t="s">
        <v>261</v>
      </c>
      <c r="D7" s="24" t="s">
        <v>265</v>
      </c>
      <c r="E7" s="31" t="s">
        <v>271</v>
      </c>
    </row>
    <row r="8" spans="1:7">
      <c r="B8" s="286" t="str">
        <f>'Livestock parameters'!A2</f>
        <v>Cows (local)</v>
      </c>
      <c r="C8" s="1034">
        <f>INPUTS!D21</f>
        <v>1</v>
      </c>
      <c r="D8" s="1121">
        <f>VLOOKUP(VLOOKUP(B8,'Livestock parameters'!$A$20:$AO$35,38,FALSE),'GHG Parameters'!$A$10:$D$16,MATCH(INPUTS!$E$3,'GHG Parameters'!$A$8:$D$8,0),FALSE)</f>
        <v>64</v>
      </c>
      <c r="E8" s="43">
        <f t="shared" ref="E8:E21" si="0">C8*D8</f>
        <v>64</v>
      </c>
      <c r="G8" s="1387" t="s">
        <v>1846</v>
      </c>
    </row>
    <row r="9" spans="1:7">
      <c r="B9" s="286" t="str">
        <f>'Livestock parameters'!A3</f>
        <v>Cows (improved)</v>
      </c>
      <c r="C9" s="1034">
        <f>INPUTS!D22</f>
        <v>1</v>
      </c>
      <c r="D9" s="1121">
        <f>VLOOKUP(VLOOKUP(B9,'Livestock parameters'!$A$20:$AO$35,38,FALSE),'GHG Parameters'!$A$10:$D$16,MATCH(INPUTS!$E$3,'GHG Parameters'!$A$8:$D$8,0),FALSE)</f>
        <v>72</v>
      </c>
      <c r="E9" s="43">
        <f t="shared" si="0"/>
        <v>72</v>
      </c>
    </row>
    <row r="10" spans="1:7">
      <c r="B10" s="286" t="str">
        <f>'Livestock parameters'!A4</f>
        <v>Adult cattle - male</v>
      </c>
      <c r="C10" s="1034">
        <f>INPUTS!D23</f>
        <v>1</v>
      </c>
      <c r="D10" s="1121">
        <f>VLOOKUP(VLOOKUP(B10,'Livestock parameters'!$A$20:$AO$35,38,FALSE),'GHG Parameters'!$A$10:$D$16,MATCH(INPUTS!$E$3,'GHG Parameters'!$A$8:$D$8,0),FALSE)</f>
        <v>61</v>
      </c>
      <c r="E10" s="43">
        <f t="shared" si="0"/>
        <v>61</v>
      </c>
    </row>
    <row r="11" spans="1:7">
      <c r="B11" s="286" t="str">
        <f>'Livestock parameters'!A5</f>
        <v>Calves</v>
      </c>
      <c r="C11" s="1034">
        <f>INPUTS!D24</f>
        <v>1</v>
      </c>
      <c r="D11" s="1121">
        <f>VLOOKUP(VLOOKUP(B11,'Livestock parameters'!$A$20:$AO$35,38,FALSE),'GHG Parameters'!$A$10:$D$16,MATCH(INPUTS!$E$3,'GHG Parameters'!$A$8:$D$8,0),FALSE)</f>
        <v>49</v>
      </c>
      <c r="E11" s="43">
        <f t="shared" si="0"/>
        <v>49</v>
      </c>
    </row>
    <row r="12" spans="1:7">
      <c r="B12" s="286" t="str">
        <f>'Livestock parameters'!A6</f>
        <v>Buffalo (dairy)</v>
      </c>
      <c r="C12" s="1034">
        <f>INPUTS!D25</f>
        <v>1</v>
      </c>
      <c r="D12" s="1121">
        <f>VLOOKUP(VLOOKUP(B12,'Livestock parameters'!$A$20:$AO$35,38,FALSE),'GHG Parameters'!$A$10:$D$16,MATCH(INPUTS!$E$3,'GHG Parameters'!$A$8:$D$8,0),FALSE)</f>
        <v>61</v>
      </c>
      <c r="E12" s="43">
        <f t="shared" si="0"/>
        <v>61</v>
      </c>
    </row>
    <row r="13" spans="1:7">
      <c r="B13" s="286" t="str">
        <f>'Livestock parameters'!A7</f>
        <v>Sheep/Goats - Ewes/Does</v>
      </c>
      <c r="C13" s="1034">
        <f>INPUTS!D26</f>
        <v>1</v>
      </c>
      <c r="D13" s="1121">
        <f>VLOOKUP(VLOOKUP(B13,'Livestock parameters'!$A$20:$AO$35,38,FALSE),'GHG Parameters'!$A$10:$D$16,MATCH(INPUTS!$E$3,'GHG Parameters'!$A$8:$D$8,0),FALSE)</f>
        <v>5</v>
      </c>
      <c r="E13" s="43">
        <f t="shared" si="0"/>
        <v>5</v>
      </c>
    </row>
    <row r="14" spans="1:7">
      <c r="B14" s="286" t="str">
        <f>'Livestock parameters'!A8</f>
        <v>Pigs - lactating/pregnant sows</v>
      </c>
      <c r="C14" s="1034">
        <f>INPUTS!D27</f>
        <v>1</v>
      </c>
      <c r="D14" s="1121">
        <f>VLOOKUP(VLOOKUP(B14,'Livestock parameters'!$A$20:$AO$35,38,FALSE),'GHG Parameters'!$A$10:$D$16,MATCH(INPUTS!$E$3,'GHG Parameters'!$A$8:$D$8,0),FALSE)</f>
        <v>1</v>
      </c>
      <c r="E14" s="43">
        <f t="shared" si="0"/>
        <v>1</v>
      </c>
    </row>
    <row r="15" spans="1:7">
      <c r="B15" s="286" t="str">
        <f>'Livestock parameters'!A9</f>
        <v>Calves</v>
      </c>
      <c r="C15" s="1034">
        <f>INPUTS!D28</f>
        <v>3</v>
      </c>
      <c r="D15" s="1121">
        <f>VLOOKUP(VLOOKUP(B15,'Livestock parameters'!$A$20:$AO$35,38,FALSE),'GHG Parameters'!$A$10:$D$16,MATCH(INPUTS!$E$3,'GHG Parameters'!$A$8:$D$8,0),FALSE)</f>
        <v>49</v>
      </c>
      <c r="E15" s="43">
        <f t="shared" si="0"/>
        <v>147</v>
      </c>
    </row>
    <row r="16" spans="1:7" s="1237" customFormat="1">
      <c r="B16" s="286" t="str">
        <f>'Livestock parameters'!A10</f>
        <v>Cows (high productive)</v>
      </c>
      <c r="C16" s="1034">
        <f>INPUTS!D29</f>
        <v>2</v>
      </c>
      <c r="D16" s="1121">
        <f>VLOOKUP(VLOOKUP(B16,'Livestock parameters'!$A$20:$AO$35,38,FALSE),'GHG Parameters'!$A$10:$D$16,MATCH(INPUTS!$E$3,'GHG Parameters'!$A$8:$D$8,0),FALSE)</f>
        <v>72</v>
      </c>
      <c r="E16" s="43">
        <f t="shared" si="0"/>
        <v>144</v>
      </c>
    </row>
    <row r="17" spans="2:8" s="1237" customFormat="1">
      <c r="B17" s="286">
        <f>'Livestock parameters'!A11</f>
        <v>0</v>
      </c>
      <c r="C17" s="1034">
        <f>INPUTS!D30</f>
        <v>0</v>
      </c>
      <c r="D17" s="1121" t="e">
        <f>VLOOKUP(VLOOKUP(B17,'Livestock parameters'!$A$20:$AO$35,38,FALSE),'GHG Parameters'!$A$10:$D$16,MATCH(INPUTS!$E$3,'GHG Parameters'!$A$8:$D$8,0),FALSE)</f>
        <v>#N/A</v>
      </c>
      <c r="E17" s="43" t="e">
        <f t="shared" si="0"/>
        <v>#N/A</v>
      </c>
    </row>
    <row r="18" spans="2:8">
      <c r="B18" s="286">
        <f>'Livestock parameters'!A12</f>
        <v>0</v>
      </c>
      <c r="C18" s="1034">
        <f>INPUTS!D31</f>
        <v>0</v>
      </c>
      <c r="D18" s="1121" t="e">
        <f>VLOOKUP(VLOOKUP(B18,'Livestock parameters'!$A$20:$AO$35,38,FALSE),'GHG Parameters'!$A$10:$D$16,MATCH(INPUTS!$E$3,'GHG Parameters'!$A$8:$D$8,0),FALSE)</f>
        <v>#N/A</v>
      </c>
      <c r="E18" s="43" t="e">
        <f t="shared" si="0"/>
        <v>#N/A</v>
      </c>
    </row>
    <row r="19" spans="2:8" s="1144" customFormat="1">
      <c r="B19" s="286">
        <f>'Livestock parameters'!A13</f>
        <v>0</v>
      </c>
      <c r="C19" s="1034">
        <f>INPUTS!D32</f>
        <v>0</v>
      </c>
      <c r="D19" s="1121" t="e">
        <f>VLOOKUP(VLOOKUP(B19,'Livestock parameters'!$A$20:$AO$35,38,FALSE),'GHG Parameters'!$A$10:$D$16,MATCH(INPUTS!$E$3,'GHG Parameters'!$A$8:$D$8,0),FALSE)</f>
        <v>#N/A</v>
      </c>
      <c r="E19" s="43" t="e">
        <f t="shared" si="0"/>
        <v>#N/A</v>
      </c>
    </row>
    <row r="20" spans="2:8" s="1144" customFormat="1">
      <c r="B20" s="286">
        <f>'Livestock parameters'!A14</f>
        <v>0</v>
      </c>
      <c r="C20" s="1034">
        <f>INPUTS!D33</f>
        <v>0</v>
      </c>
      <c r="D20" s="1121" t="e">
        <f>VLOOKUP(VLOOKUP(B20,'Livestock parameters'!$A$20:$AO$35,38,FALSE),'GHG Parameters'!$A$10:$D$16,MATCH(INPUTS!$E$3,'GHG Parameters'!$A$8:$D$8,0),FALSE)</f>
        <v>#N/A</v>
      </c>
      <c r="E20" s="43" t="e">
        <f t="shared" si="0"/>
        <v>#N/A</v>
      </c>
    </row>
    <row r="21" spans="2:8" s="1122" customFormat="1">
      <c r="B21" s="286">
        <f>'Livestock parameters'!A15</f>
        <v>0</v>
      </c>
      <c r="C21" s="1034">
        <f>INPUTS!D34</f>
        <v>0</v>
      </c>
      <c r="D21" s="1121" t="e">
        <f>VLOOKUP(VLOOKUP(B21,'Livestock parameters'!$A$20:$AO$35,38,FALSE),'GHG Parameters'!$A$10:$D$16,MATCH(INPUTS!$E$3,'GHG Parameters'!$A$8:$D$8,0),FALSE)</f>
        <v>#N/A</v>
      </c>
      <c r="E21" s="43" t="e">
        <f t="shared" si="0"/>
        <v>#N/A</v>
      </c>
    </row>
    <row r="22" spans="2:8">
      <c r="B22" s="32"/>
      <c r="C22" s="32"/>
      <c r="D22" s="32" t="s">
        <v>2</v>
      </c>
      <c r="E22" s="79">
        <f>SUMIF(E8:E21,"&lt;&gt;#N/A")</f>
        <v>604</v>
      </c>
    </row>
    <row r="24" spans="2:8">
      <c r="B24" s="1" t="s">
        <v>90</v>
      </c>
    </row>
    <row r="26" spans="2:8">
      <c r="B26" s="23" t="s">
        <v>172</v>
      </c>
      <c r="C26" s="23"/>
      <c r="D26" s="23"/>
      <c r="E26" s="23" t="s">
        <v>277</v>
      </c>
      <c r="F26" s="23"/>
    </row>
    <row r="27" spans="2:8" ht="47.25">
      <c r="B27" s="1550" t="s">
        <v>258</v>
      </c>
      <c r="C27" s="27" t="s">
        <v>375</v>
      </c>
      <c r="D27" s="33" t="s">
        <v>259</v>
      </c>
      <c r="E27" s="113" t="s">
        <v>280</v>
      </c>
      <c r="F27" s="29" t="s">
        <v>1312</v>
      </c>
    </row>
    <row r="28" spans="2:8">
      <c r="B28" s="1550"/>
      <c r="C28" s="27" t="s">
        <v>276</v>
      </c>
      <c r="D28" s="24" t="s">
        <v>260</v>
      </c>
      <c r="E28" s="24" t="s">
        <v>269</v>
      </c>
      <c r="F28" s="31" t="s">
        <v>269</v>
      </c>
    </row>
    <row r="29" spans="2:8" ht="31.5">
      <c r="B29" s="1550"/>
      <c r="C29" s="27"/>
      <c r="D29" s="24"/>
      <c r="E29" s="24" t="s">
        <v>278</v>
      </c>
      <c r="F29" s="31" t="s">
        <v>270</v>
      </c>
    </row>
    <row r="30" spans="2:8">
      <c r="B30" s="23" t="s">
        <v>143</v>
      </c>
      <c r="C30" s="35" t="s">
        <v>89</v>
      </c>
      <c r="D30" s="34" t="s">
        <v>261</v>
      </c>
      <c r="E30" s="34" t="s">
        <v>279</v>
      </c>
      <c r="F30" s="44" t="s">
        <v>271</v>
      </c>
    </row>
    <row r="31" spans="2:8">
      <c r="B31" s="286" t="str">
        <f t="shared" ref="B31:B38" si="1">B8</f>
        <v>Cows (local)</v>
      </c>
      <c r="C31" s="560">
        <f>Feed!L143/365</f>
        <v>123.6096058048218</v>
      </c>
      <c r="D31" s="121">
        <f>INPUTS!D21</f>
        <v>1</v>
      </c>
      <c r="E31" s="68">
        <f>((C31*(VLOOKUP(VLOOKUP(B31,'Livestock parameters'!$A$20:$AO$35,39,FALSE),'GHG Parameters'!$A$24:$B$29,2,FALSE)/100)*365)/55.65)/D31</f>
        <v>52.697895736197616</v>
      </c>
      <c r="F31" s="69">
        <f t="shared" ref="F31:F44" si="2">E31*D31</f>
        <v>52.697895736197616</v>
      </c>
      <c r="H31" s="72"/>
    </row>
    <row r="32" spans="2:8">
      <c r="B32" s="286" t="str">
        <f t="shared" si="1"/>
        <v>Cows (improved)</v>
      </c>
      <c r="C32" s="560">
        <f>Feed!L144/365</f>
        <v>147.56910545209729</v>
      </c>
      <c r="D32" s="121">
        <f>INPUTS!D22</f>
        <v>1</v>
      </c>
      <c r="E32" s="68">
        <f>((C32*(VLOOKUP(VLOOKUP(B32,'Livestock parameters'!$A$20:$AO$35,39,FALSE),'GHG Parameters'!$A$24:$B$29,2,FALSE)/100)*365)/55.65)/D32</f>
        <v>62.912435343234648</v>
      </c>
      <c r="F32" s="69">
        <f t="shared" si="2"/>
        <v>62.912435343234648</v>
      </c>
    </row>
    <row r="33" spans="2:7">
      <c r="B33" s="286" t="str">
        <f t="shared" si="1"/>
        <v>Adult cattle - male</v>
      </c>
      <c r="C33" s="560">
        <f>Feed!L145/365</f>
        <v>127.53655052638648</v>
      </c>
      <c r="D33" s="121">
        <f>INPUTS!D23</f>
        <v>1</v>
      </c>
      <c r="E33" s="68">
        <f>((C33*(VLOOKUP(VLOOKUP(B33,'Livestock parameters'!$A$20:$AO$35,39,FALSE),'GHG Parameters'!$A$24:$B$29,2,FALSE)/100)*365)/55.65)/D33</f>
        <v>54.372051414888034</v>
      </c>
      <c r="F33" s="69">
        <f t="shared" si="2"/>
        <v>54.372051414888034</v>
      </c>
    </row>
    <row r="34" spans="2:7">
      <c r="B34" s="286" t="str">
        <f t="shared" si="1"/>
        <v>Calves</v>
      </c>
      <c r="C34" s="560">
        <f>Feed!L146/365</f>
        <v>31.674429560288104</v>
      </c>
      <c r="D34" s="121">
        <f>INPUTS!D24</f>
        <v>1</v>
      </c>
      <c r="E34" s="68">
        <f>((C34*(VLOOKUP(VLOOKUP(B34,'Livestock parameters'!$A$20:$AO$35,39,FALSE),'GHG Parameters'!$A$24:$B$29,2,FALSE)/100)*365)/55.65)/D34</f>
        <v>13.503609008406743</v>
      </c>
      <c r="F34" s="69">
        <f t="shared" si="2"/>
        <v>13.503609008406743</v>
      </c>
    </row>
    <row r="35" spans="2:7">
      <c r="B35" s="286" t="str">
        <f t="shared" si="1"/>
        <v>Buffalo (dairy)</v>
      </c>
      <c r="C35" s="560">
        <f>Feed!L147/365</f>
        <v>145.87863218374113</v>
      </c>
      <c r="D35" s="121">
        <f>INPUTS!D25</f>
        <v>1</v>
      </c>
      <c r="E35" s="68">
        <f>((C35*(VLOOKUP(VLOOKUP(B35,'Livestock parameters'!$A$20:$AO$35,39,FALSE),'GHG Parameters'!$A$24:$B$29,2,FALSE)/100)*365)/55.65)/D35</f>
        <v>62.191743909420637</v>
      </c>
      <c r="F35" s="69">
        <f t="shared" si="2"/>
        <v>62.191743909420637</v>
      </c>
    </row>
    <row r="36" spans="2:7" ht="17.45" customHeight="1">
      <c r="B36" s="286" t="str">
        <f t="shared" si="1"/>
        <v>Sheep/Goats - Ewes/Does</v>
      </c>
      <c r="C36" s="560">
        <f>Feed!L148/365</f>
        <v>26.899094845398707</v>
      </c>
      <c r="D36" s="121">
        <f>INPUTS!D26</f>
        <v>1</v>
      </c>
      <c r="E36" s="68">
        <f>((C36*(VLOOKUP(VLOOKUP(B36,'Livestock parameters'!$A$20:$AO$35,39,FALSE),'GHG Parameters'!$A$24:$B$29,2,FALSE)/100)*365)/55.65)/D36</f>
        <v>11.467763256191992</v>
      </c>
      <c r="F36" s="69">
        <f t="shared" si="2"/>
        <v>11.467763256191992</v>
      </c>
    </row>
    <row r="37" spans="2:7">
      <c r="B37" s="286" t="str">
        <f t="shared" si="1"/>
        <v>Pigs - lactating/pregnant sows</v>
      </c>
      <c r="C37" s="560">
        <f>Feed!L149/365</f>
        <v>73.113074663079246</v>
      </c>
      <c r="D37" s="121">
        <f>INPUTS!D27</f>
        <v>1</v>
      </c>
      <c r="E37" s="68">
        <f>((C37*(VLOOKUP(VLOOKUP(B37,'Livestock parameters'!$A$20:$AO$35,39,FALSE),'GHG Parameters'!$A$24:$B$29,2,FALSE)/100)*365)/55.65)/D37</f>
        <v>0</v>
      </c>
      <c r="F37" s="69">
        <f t="shared" si="2"/>
        <v>0</v>
      </c>
    </row>
    <row r="38" spans="2:7">
      <c r="B38" s="286" t="str">
        <f t="shared" si="1"/>
        <v>Calves</v>
      </c>
      <c r="C38" s="560">
        <f>Feed!L150/365</f>
        <v>90.103131823078257</v>
      </c>
      <c r="D38" s="1120">
        <f>INPUTS!D28</f>
        <v>3</v>
      </c>
      <c r="E38" s="68">
        <f>((C38*(VLOOKUP(VLOOKUP(B38,'Livestock parameters'!$A$20:$AO$35,39,FALSE),'GHG Parameters'!$A$24:$B$29,2,FALSE)/100)*365)/55.65)/D38</f>
        <v>12.804413312384137</v>
      </c>
      <c r="F38" s="69">
        <f t="shared" si="2"/>
        <v>38.413239937152412</v>
      </c>
      <c r="G38" s="39"/>
    </row>
    <row r="39" spans="2:7" s="1237" customFormat="1">
      <c r="B39" s="286" t="str">
        <f t="shared" ref="B39:B40" si="3">B16</f>
        <v>Cows (high productive)</v>
      </c>
      <c r="C39" s="560">
        <f>Feed!L151/365</f>
        <v>347.9698533903474</v>
      </c>
      <c r="D39" s="1120">
        <f>INPUTS!D29</f>
        <v>2</v>
      </c>
      <c r="E39" s="68">
        <f>((C39*(VLOOKUP(VLOOKUP(B39,'Livestock parameters'!$A$20:$AO$35,39,FALSE),'GHG Parameters'!$A$24:$B$29,2,FALSE)/100)*365)/55.65)/D39</f>
        <v>74.174166861509363</v>
      </c>
      <c r="F39" s="69">
        <f t="shared" si="2"/>
        <v>148.34833372301873</v>
      </c>
    </row>
    <row r="40" spans="2:7" s="1237" customFormat="1">
      <c r="B40" s="286">
        <f t="shared" si="3"/>
        <v>0</v>
      </c>
      <c r="C40" s="560">
        <f>Feed!L152/365</f>
        <v>0</v>
      </c>
      <c r="D40" s="1120">
        <f>INPUTS!D30</f>
        <v>0</v>
      </c>
      <c r="E40" s="68" t="e">
        <f>((C40*(VLOOKUP(VLOOKUP(B40,'Livestock parameters'!$A$20:$AO$35,39,FALSE),'GHG Parameters'!$A$24:$B$29,2,FALSE)/100)*365)/55.65)/D40</f>
        <v>#N/A</v>
      </c>
      <c r="F40" s="69" t="e">
        <f t="shared" si="2"/>
        <v>#N/A</v>
      </c>
    </row>
    <row r="41" spans="2:7">
      <c r="B41" s="286">
        <f t="shared" ref="B41" si="4">B18</f>
        <v>0</v>
      </c>
      <c r="C41" s="560">
        <f>Feed!L153/365</f>
        <v>0</v>
      </c>
      <c r="D41" s="1120">
        <f>INPUTS!D31</f>
        <v>0</v>
      </c>
      <c r="E41" s="68" t="e">
        <f>((C41*(VLOOKUP(VLOOKUP(B41,'Livestock parameters'!$A$20:$AO$35,39,FALSE),'GHG Parameters'!$A$24:$B$29,2,FALSE)/100)*365)/55.65)/D41</f>
        <v>#N/A</v>
      </c>
      <c r="F41" s="69" t="e">
        <f t="shared" si="2"/>
        <v>#N/A</v>
      </c>
    </row>
    <row r="42" spans="2:7" s="1144" customFormat="1">
      <c r="B42" s="286">
        <f>B19</f>
        <v>0</v>
      </c>
      <c r="C42" s="560">
        <f>Feed!L154/365</f>
        <v>0</v>
      </c>
      <c r="D42" s="1120">
        <f>INPUTS!D32</f>
        <v>0</v>
      </c>
      <c r="E42" s="68" t="e">
        <f>((C42*(VLOOKUP(VLOOKUP(B42,'Livestock parameters'!$A$20:$AO$35,39,FALSE),'GHG Parameters'!$A$24:$B$29,2,FALSE)/100)*365)/55.65)/D42</f>
        <v>#N/A</v>
      </c>
      <c r="F42" s="69" t="e">
        <f t="shared" si="2"/>
        <v>#N/A</v>
      </c>
    </row>
    <row r="43" spans="2:7" s="1144" customFormat="1">
      <c r="B43" s="286">
        <f>B20</f>
        <v>0</v>
      </c>
      <c r="C43" s="560">
        <f>Feed!L155/365</f>
        <v>0</v>
      </c>
      <c r="D43" s="1120">
        <f>INPUTS!D33</f>
        <v>0</v>
      </c>
      <c r="E43" s="68" t="e">
        <f>((C43*(VLOOKUP(VLOOKUP(B43,'Livestock parameters'!$A$20:$AO$35,39,FALSE),'GHG Parameters'!$A$24:$B$29,2,FALSE)/100)*365)/55.65)/D43</f>
        <v>#N/A</v>
      </c>
      <c r="F43" s="69" t="e">
        <f t="shared" si="2"/>
        <v>#N/A</v>
      </c>
    </row>
    <row r="44" spans="2:7" s="1136" customFormat="1">
      <c r="B44" s="286">
        <f>B21</f>
        <v>0</v>
      </c>
      <c r="C44" s="560">
        <f>Feed!L156/365</f>
        <v>0</v>
      </c>
      <c r="D44" s="1120">
        <f>INPUTS!D34</f>
        <v>0</v>
      </c>
      <c r="E44" s="68" t="e">
        <f>((C44*(VLOOKUP(VLOOKUP(B44,'Livestock parameters'!$A$20:$AO$35,39,FALSE),'GHG Parameters'!$A$24:$B$29,2,FALSE)/100)*365)/55.65)/D44</f>
        <v>#N/A</v>
      </c>
      <c r="F44" s="69" t="e">
        <f t="shared" si="2"/>
        <v>#N/A</v>
      </c>
    </row>
    <row r="45" spans="2:7">
      <c r="B45" s="19"/>
      <c r="C45" s="19"/>
      <c r="D45" s="19"/>
      <c r="E45" s="71" t="s">
        <v>2</v>
      </c>
      <c r="F45" s="79">
        <f>SUMIF(F31:F44,"&lt;&gt;#N/A")</f>
        <v>443.90707232851082</v>
      </c>
    </row>
    <row r="49" spans="2:5">
      <c r="B49" s="37"/>
    </row>
    <row r="50" spans="2:5">
      <c r="B50" s="37"/>
    </row>
    <row r="53" spans="2:5">
      <c r="B53" s="12"/>
      <c r="C53" s="1555"/>
      <c r="D53" s="1555"/>
      <c r="E53" s="1555"/>
    </row>
    <row r="54" spans="2:5">
      <c r="B54" s="2"/>
      <c r="C54" s="1041"/>
      <c r="D54" s="154"/>
      <c r="E54" s="51"/>
    </row>
    <row r="55" spans="2:5">
      <c r="B55" s="2"/>
      <c r="C55" s="30"/>
      <c r="D55" s="782"/>
      <c r="E55" s="51"/>
    </row>
    <row r="56" spans="2:5">
      <c r="B56" s="2"/>
      <c r="C56" s="30"/>
      <c r="D56" s="51"/>
      <c r="E56" s="51"/>
    </row>
    <row r="57" spans="2:5">
      <c r="B57" s="12"/>
      <c r="C57" s="30"/>
      <c r="D57" s="12"/>
      <c r="E57" s="51"/>
    </row>
    <row r="58" spans="2:5">
      <c r="B58" s="154"/>
      <c r="C58" s="1042"/>
      <c r="D58" s="63"/>
      <c r="E58" s="12"/>
    </row>
    <row r="59" spans="2:5">
      <c r="B59" s="154"/>
      <c r="C59" s="1042"/>
      <c r="D59" s="63"/>
      <c r="E59" s="12"/>
    </row>
    <row r="60" spans="2:5">
      <c r="B60" s="154"/>
      <c r="C60" s="1042"/>
      <c r="D60" s="63"/>
      <c r="E60" s="12"/>
    </row>
    <row r="61" spans="2:5">
      <c r="B61" s="154"/>
      <c r="C61" s="1042"/>
      <c r="D61" s="63"/>
      <c r="E61" s="12"/>
    </row>
    <row r="62" spans="2:5">
      <c r="B62" s="154"/>
      <c r="C62" s="1042"/>
      <c r="D62" s="63"/>
      <c r="E62" s="12"/>
    </row>
    <row r="63" spans="2:5">
      <c r="B63" s="154"/>
      <c r="C63" s="1042"/>
      <c r="D63" s="63"/>
      <c r="E63" s="12"/>
    </row>
    <row r="64" spans="2:5">
      <c r="B64" s="154"/>
      <c r="C64" s="1042"/>
      <c r="D64" s="63"/>
      <c r="E64" s="12"/>
    </row>
    <row r="65" spans="2:5">
      <c r="B65" s="154"/>
      <c r="C65" s="1042"/>
      <c r="D65" s="63"/>
      <c r="E65" s="12"/>
    </row>
    <row r="66" spans="2:5">
      <c r="B66" s="154"/>
      <c r="C66" s="1042"/>
      <c r="D66" s="63"/>
      <c r="E66" s="12"/>
    </row>
    <row r="67" spans="2:5">
      <c r="B67" s="1554"/>
      <c r="C67" s="1554"/>
      <c r="D67" s="1554"/>
      <c r="E67" s="213"/>
    </row>
    <row r="110" spans="2:4">
      <c r="B110" s="1"/>
      <c r="C110" s="1"/>
      <c r="D110" s="1"/>
    </row>
  </sheetData>
  <mergeCells count="5">
    <mergeCell ref="B67:D67"/>
    <mergeCell ref="C53:E53"/>
    <mergeCell ref="C3:D3"/>
    <mergeCell ref="B4:B6"/>
    <mergeCell ref="B27:B29"/>
  </mergeCells>
  <pageMargins left="0.75" right="0.75" top="1" bottom="1" header="0.5" footer="0.5"/>
  <pageSetup paperSize="9" orientation="portrait" horizontalDpi="4294967292" verticalDpi="429496729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4">
    <tabColor rgb="FF00B050"/>
  </sheetPr>
  <dimension ref="A1:S220"/>
  <sheetViews>
    <sheetView topLeftCell="A163" zoomScale="70" zoomScaleNormal="70" workbookViewId="0">
      <selection activeCell="F13" sqref="F13"/>
    </sheetView>
  </sheetViews>
  <sheetFormatPr defaultColWidth="11" defaultRowHeight="15.75"/>
  <cols>
    <col min="1" max="1" width="27.875" customWidth="1"/>
    <col min="2" max="2" width="29.75" customWidth="1"/>
    <col min="3" max="3" width="26.5" customWidth="1"/>
    <col min="4" max="4" width="24" customWidth="1"/>
    <col min="5" max="5" width="37.875" customWidth="1"/>
    <col min="6" max="6" width="33.625" customWidth="1"/>
    <col min="7" max="7" width="22.125" customWidth="1"/>
    <col min="8" max="8" width="32.125" customWidth="1"/>
    <col min="9" max="9" width="37.125" customWidth="1"/>
    <col min="10" max="10" width="28.625" customWidth="1"/>
    <col min="11" max="11" width="26.125" customWidth="1"/>
    <col min="12" max="12" width="20.875" customWidth="1"/>
    <col min="13" max="13" width="20.5" customWidth="1"/>
    <col min="14" max="14" width="39.625" customWidth="1"/>
    <col min="15" max="15" width="26" customWidth="1"/>
    <col min="16" max="16" width="25" customWidth="1"/>
  </cols>
  <sheetData>
    <row r="1" spans="1:5">
      <c r="A1" t="s">
        <v>115</v>
      </c>
    </row>
    <row r="3" spans="1:5">
      <c r="A3" s="1" t="s">
        <v>114</v>
      </c>
    </row>
    <row r="4" spans="1:5">
      <c r="B4" s="19" t="s">
        <v>172</v>
      </c>
      <c r="C4" s="1561" t="s">
        <v>275</v>
      </c>
      <c r="D4" s="1562"/>
      <c r="E4" s="1563"/>
    </row>
    <row r="5" spans="1:5" ht="31.5">
      <c r="B5" s="1557" t="s">
        <v>258</v>
      </c>
      <c r="C5" s="33" t="s">
        <v>259</v>
      </c>
      <c r="D5" s="33" t="s">
        <v>1842</v>
      </c>
      <c r="E5" s="29" t="s">
        <v>660</v>
      </c>
    </row>
    <row r="6" spans="1:5">
      <c r="B6" s="1558"/>
      <c r="C6" s="24" t="s">
        <v>260</v>
      </c>
      <c r="D6" s="24" t="s">
        <v>263</v>
      </c>
      <c r="E6" s="31" t="s">
        <v>269</v>
      </c>
    </row>
    <row r="7" spans="1:5">
      <c r="B7" s="1559"/>
      <c r="C7" s="24"/>
      <c r="D7" s="24" t="s">
        <v>274</v>
      </c>
      <c r="E7" s="31" t="s">
        <v>272</v>
      </c>
    </row>
    <row r="8" spans="1:5">
      <c r="B8" s="24" t="s">
        <v>143</v>
      </c>
      <c r="C8" s="24" t="s">
        <v>261</v>
      </c>
      <c r="D8" s="24" t="s">
        <v>265</v>
      </c>
      <c r="E8" s="31" t="s">
        <v>273</v>
      </c>
    </row>
    <row r="9" spans="1:5">
      <c r="B9" s="113" t="str">
        <f>INPUTS!C21</f>
        <v>Cows (local)</v>
      </c>
      <c r="C9" s="24">
        <f>INPUTS!D21</f>
        <v>1</v>
      </c>
      <c r="D9" s="82">
        <f>VLOOKUP(VLOOKUP(B9,'Livestock parameters'!$A$20:$AO$35,40,FALSE),'GHG Parameters'!$A$32:$D$37,MATCH(INPUTS!$E$3,'GHG Parameters'!$A$32:$D$32,0),FALSE)</f>
        <v>1</v>
      </c>
      <c r="E9" s="31">
        <f t="shared" ref="E9:E16" si="0">C9*D9</f>
        <v>1</v>
      </c>
    </row>
    <row r="10" spans="1:5">
      <c r="B10" s="113" t="str">
        <f>INPUTS!C22</f>
        <v>Cows (improved)</v>
      </c>
      <c r="C10" s="24">
        <f>INPUTS!D22</f>
        <v>1</v>
      </c>
      <c r="D10" s="82">
        <f>VLOOKUP(VLOOKUP(B10,'Livestock parameters'!$A$20:$AO$35,40,FALSE),'GHG Parameters'!$A$32:$D$37,MATCH(INPUTS!$E$3,'GHG Parameters'!$A$32:$D$32,0),FALSE)</f>
        <v>1</v>
      </c>
      <c r="E10" s="31">
        <f t="shared" si="0"/>
        <v>1</v>
      </c>
    </row>
    <row r="11" spans="1:5">
      <c r="B11" s="113" t="str">
        <f>INPUTS!C23</f>
        <v>Adult cattle - male</v>
      </c>
      <c r="C11" s="24">
        <f>INPUTS!D23</f>
        <v>1</v>
      </c>
      <c r="D11" s="82">
        <f>VLOOKUP(VLOOKUP(B11,'Livestock parameters'!$A$20:$AO$35,40,FALSE),'GHG Parameters'!$A$32:$D$37,MATCH(INPUTS!$E$3,'GHG Parameters'!$A$32:$D$32,0),FALSE)</f>
        <v>1</v>
      </c>
      <c r="E11" s="31">
        <f t="shared" si="0"/>
        <v>1</v>
      </c>
    </row>
    <row r="12" spans="1:5">
      <c r="B12" s="113" t="str">
        <f>INPUTS!C24</f>
        <v>Calves</v>
      </c>
      <c r="C12" s="24">
        <f>INPUTS!D24</f>
        <v>1</v>
      </c>
      <c r="D12" s="82">
        <f>VLOOKUP(VLOOKUP(B12,'Livestock parameters'!$A$20:$AO$35,40,FALSE),'GHG Parameters'!$A$32:$D$37,MATCH(INPUTS!$E$3,'GHG Parameters'!$A$32:$D$32,0),FALSE)</f>
        <v>1</v>
      </c>
      <c r="E12" s="31">
        <f t="shared" si="0"/>
        <v>1</v>
      </c>
    </row>
    <row r="13" spans="1:5">
      <c r="B13" s="113" t="str">
        <f>INPUTS!C25</f>
        <v>Buffalo (dairy)</v>
      </c>
      <c r="C13" s="24">
        <f>INPUTS!D25</f>
        <v>1</v>
      </c>
      <c r="D13" s="82">
        <f>VLOOKUP(VLOOKUP(B13,'Livestock parameters'!$A$20:$AO$35,40,FALSE),'GHG Parameters'!$A$32:$D$37,MATCH(INPUTS!$E$3,'GHG Parameters'!$A$32:$D$32,0),FALSE)</f>
        <v>1</v>
      </c>
      <c r="E13" s="31">
        <f t="shared" si="0"/>
        <v>1</v>
      </c>
    </row>
    <row r="14" spans="1:5" ht="17.25" customHeight="1">
      <c r="B14" s="113" t="str">
        <f>INPUTS!C26</f>
        <v>Sheep/Goats - Ewes/Does</v>
      </c>
      <c r="C14" s="24">
        <f>INPUTS!D26</f>
        <v>1</v>
      </c>
      <c r="D14" s="82">
        <f>VLOOKUP(VLOOKUP(B14,'Livestock parameters'!$A$20:$AO$35,40,FALSE),'GHG Parameters'!$A$32:$D$37,MATCH(INPUTS!$E$3,'GHG Parameters'!$A$32:$D$32,0),FALSE)</f>
        <v>0.15</v>
      </c>
      <c r="E14" s="31">
        <f t="shared" si="0"/>
        <v>0.15</v>
      </c>
    </row>
    <row r="15" spans="1:5">
      <c r="B15" s="113" t="str">
        <f>INPUTS!C27</f>
        <v>Pigs - lactating/pregnant sows</v>
      </c>
      <c r="C15" s="24">
        <f>INPUTS!D27</f>
        <v>1</v>
      </c>
      <c r="D15" s="82">
        <f>VLOOKUP(VLOOKUP(B15,'Livestock parameters'!$A$20:$AO$35,40,FALSE),'GHG Parameters'!$A$32:$D$37,MATCH(INPUTS!$E$3,'GHG Parameters'!$A$32:$D$32,0),FALSE)</f>
        <v>1</v>
      </c>
      <c r="E15" s="31">
        <f t="shared" si="0"/>
        <v>1</v>
      </c>
    </row>
    <row r="16" spans="1:5">
      <c r="B16" s="113" t="str">
        <f>INPUTS!C28</f>
        <v>Calves</v>
      </c>
      <c r="C16" s="24">
        <f>INPUTS!D28</f>
        <v>3</v>
      </c>
      <c r="D16" s="82">
        <f>VLOOKUP(VLOOKUP(B16,'Livestock parameters'!$A$20:$AO$35,40,FALSE),'GHG Parameters'!$A$32:$D$37,MATCH(INPUTS!$E$3,'GHG Parameters'!$A$32:$D$32,0),FALSE)</f>
        <v>1</v>
      </c>
      <c r="E16" s="31">
        <f t="shared" si="0"/>
        <v>3</v>
      </c>
    </row>
    <row r="17" spans="2:16" s="1136" customFormat="1">
      <c r="B17" s="1135" t="str">
        <f>INPUTS!C29</f>
        <v>Cows (high productive)</v>
      </c>
      <c r="C17" s="1134">
        <f>INPUTS!D29</f>
        <v>2</v>
      </c>
      <c r="D17" s="82">
        <f>VLOOKUP(VLOOKUP(B17,'Livestock parameters'!$A$20:$AO$35,40,FALSE),'GHG Parameters'!$A$32:$D$37,MATCH(INPUTS!$E$3,'GHG Parameters'!$A$32:$D$32,0),FALSE)</f>
        <v>1</v>
      </c>
      <c r="E17" s="1137">
        <f t="shared" ref="E17:E22" si="1">C17*D17</f>
        <v>2</v>
      </c>
    </row>
    <row r="18" spans="2:16" s="1237" customFormat="1">
      <c r="B18" s="1283">
        <f>INPUTS!C30</f>
        <v>0</v>
      </c>
      <c r="C18" s="1282">
        <f>INPUTS!D30</f>
        <v>0</v>
      </c>
      <c r="D18" s="82" t="e">
        <f>VLOOKUP(VLOOKUP(B18,'Livestock parameters'!$A$20:$AO$35,40,FALSE),'GHG Parameters'!$A$32:$D$37,MATCH(INPUTS!$E$3,'GHG Parameters'!$A$32:$D$32,0),FALSE)</f>
        <v>#N/A</v>
      </c>
      <c r="E18" s="1238" t="e">
        <f t="shared" ref="E18:E19" si="2">C18*D18</f>
        <v>#N/A</v>
      </c>
    </row>
    <row r="19" spans="2:16" s="1237" customFormat="1">
      <c r="B19" s="1283">
        <f>INPUTS!C31</f>
        <v>0</v>
      </c>
      <c r="C19" s="1282">
        <f>INPUTS!D31</f>
        <v>0</v>
      </c>
      <c r="D19" s="82" t="e">
        <f>VLOOKUP(VLOOKUP(B19,'Livestock parameters'!$A$20:$AO$35,40,FALSE),'GHG Parameters'!$A$32:$D$37,MATCH(INPUTS!$E$3,'GHG Parameters'!$A$32:$D$32,0),FALSE)</f>
        <v>#N/A</v>
      </c>
      <c r="E19" s="1238" t="e">
        <f t="shared" si="2"/>
        <v>#N/A</v>
      </c>
    </row>
    <row r="20" spans="2:16" s="1144" customFormat="1" ht="15.75" customHeight="1">
      <c r="B20" s="1283">
        <f>INPUTS!C32</f>
        <v>0</v>
      </c>
      <c r="C20" s="1282">
        <f>INPUTS!D32</f>
        <v>0</v>
      </c>
      <c r="D20" s="82" t="e">
        <f>VLOOKUP(VLOOKUP(B20,'Livestock parameters'!$A$20:$AO$35,40,FALSE),'GHG Parameters'!$A$32:$D$37,MATCH(INPUTS!$E$3,'GHG Parameters'!$A$32:$D$32,0),FALSE)</f>
        <v>#N/A</v>
      </c>
      <c r="E20" s="1145" t="e">
        <f t="shared" si="1"/>
        <v>#N/A</v>
      </c>
    </row>
    <row r="21" spans="2:16" s="1144" customFormat="1">
      <c r="B21" s="1283">
        <f>INPUTS!C33</f>
        <v>0</v>
      </c>
      <c r="C21" s="1282">
        <f>INPUTS!D33</f>
        <v>0</v>
      </c>
      <c r="D21" s="82" t="e">
        <f>VLOOKUP(VLOOKUP(B21,'Livestock parameters'!$A$20:$AO$35,40,FALSE),'GHG Parameters'!$A$32:$D$37,MATCH(INPUTS!$E$3,'GHG Parameters'!$A$32:$D$32,0),FALSE)</f>
        <v>#N/A</v>
      </c>
      <c r="E21" s="1145" t="e">
        <f t="shared" si="1"/>
        <v>#N/A</v>
      </c>
    </row>
    <row r="22" spans="2:16">
      <c r="B22" s="1283">
        <f>INPUTS!C34</f>
        <v>0</v>
      </c>
      <c r="C22" s="1282">
        <f>INPUTS!D34</f>
        <v>0</v>
      </c>
      <c r="D22" s="82" t="e">
        <f>VLOOKUP(VLOOKUP(B22,'Livestock parameters'!$A$20:$AO$35,40,FALSE),'GHG Parameters'!$A$32:$D$37,MATCH(INPUTS!$E$3,'GHG Parameters'!$A$32:$D$32,0),FALSE)</f>
        <v>#N/A</v>
      </c>
      <c r="E22" s="31" t="e">
        <f t="shared" si="1"/>
        <v>#N/A</v>
      </c>
    </row>
    <row r="23" spans="2:16">
      <c r="B23" s="26"/>
      <c r="C23" s="26"/>
      <c r="D23" s="26" t="s">
        <v>2</v>
      </c>
      <c r="E23" s="31">
        <f>SUMIF(E9:E22,"&lt;&gt;#N/A")</f>
        <v>11.15</v>
      </c>
    </row>
    <row r="25" spans="2:16">
      <c r="B25" s="1" t="s">
        <v>606</v>
      </c>
    </row>
    <row r="26" spans="2:16" s="10" customFormat="1">
      <c r="B26" s="26" t="s">
        <v>254</v>
      </c>
      <c r="C26" s="26"/>
      <c r="D26" s="26"/>
      <c r="E26" s="26"/>
      <c r="F26" s="26"/>
      <c r="G26" s="26" t="s">
        <v>365</v>
      </c>
      <c r="H26" s="26"/>
      <c r="I26" s="26"/>
      <c r="J26" s="26"/>
      <c r="K26" s="26"/>
      <c r="L26" s="26"/>
      <c r="M26" s="26"/>
      <c r="N26" s="26"/>
      <c r="O26" s="26" t="s">
        <v>384</v>
      </c>
      <c r="P26" s="46"/>
    </row>
    <row r="27" spans="2:16" s="10" customFormat="1" ht="47.25">
      <c r="B27" s="1534" t="s">
        <v>258</v>
      </c>
      <c r="C27" s="24" t="s">
        <v>366</v>
      </c>
      <c r="D27" s="24" t="s">
        <v>367</v>
      </c>
      <c r="E27" s="24" t="s">
        <v>368</v>
      </c>
      <c r="F27" s="24" t="s">
        <v>373</v>
      </c>
      <c r="G27" s="31" t="s">
        <v>372</v>
      </c>
      <c r="H27" s="115" t="s">
        <v>381</v>
      </c>
      <c r="I27" s="1462" t="s">
        <v>659</v>
      </c>
      <c r="J27" s="1463"/>
      <c r="K27" s="1464"/>
      <c r="L27" s="1462" t="s">
        <v>390</v>
      </c>
      <c r="M27" s="1463"/>
      <c r="N27" s="1464"/>
      <c r="O27" s="24" t="s">
        <v>1326</v>
      </c>
      <c r="P27" s="31" t="s">
        <v>660</v>
      </c>
    </row>
    <row r="28" spans="2:16" s="10" customFormat="1">
      <c r="B28" s="1534"/>
      <c r="C28" s="24" t="s">
        <v>370</v>
      </c>
      <c r="D28" s="24" t="s">
        <v>120</v>
      </c>
      <c r="E28" s="24" t="s">
        <v>120</v>
      </c>
      <c r="F28" s="24" t="s">
        <v>120</v>
      </c>
      <c r="G28" s="31" t="s">
        <v>371</v>
      </c>
      <c r="H28" s="115" t="s">
        <v>382</v>
      </c>
      <c r="I28" s="1462" t="s">
        <v>153</v>
      </c>
      <c r="J28" s="1463"/>
      <c r="K28" s="1464"/>
      <c r="L28" s="1462" t="s">
        <v>120</v>
      </c>
      <c r="M28" s="1463"/>
      <c r="N28" s="1464"/>
      <c r="O28" s="24" t="s">
        <v>263</v>
      </c>
      <c r="P28" s="31" t="s">
        <v>269</v>
      </c>
    </row>
    <row r="29" spans="2:16" s="10" customFormat="1" ht="47.25" customHeight="1">
      <c r="B29" s="1534"/>
      <c r="C29" s="1471"/>
      <c r="D29" s="1471"/>
      <c r="E29" s="1471"/>
      <c r="F29" s="1475"/>
      <c r="G29" s="1580" t="s">
        <v>387</v>
      </c>
      <c r="H29" s="115" t="s">
        <v>1671</v>
      </c>
      <c r="I29" s="84"/>
      <c r="J29" s="85"/>
      <c r="K29" s="86"/>
      <c r="L29" s="1471" t="s">
        <v>389</v>
      </c>
      <c r="M29" s="1471"/>
      <c r="N29" s="1471"/>
      <c r="O29" s="24"/>
      <c r="P29" s="31"/>
    </row>
    <row r="30" spans="2:16" s="10" customFormat="1" ht="50.25" customHeight="1">
      <c r="B30" s="1534"/>
      <c r="C30" s="1471"/>
      <c r="D30" s="1471"/>
      <c r="E30" s="1471"/>
      <c r="F30" s="1475"/>
      <c r="G30" s="1580"/>
      <c r="H30" s="117"/>
      <c r="I30" s="1462" t="s">
        <v>385</v>
      </c>
      <c r="J30" s="1463"/>
      <c r="K30" s="1464"/>
      <c r="L30" s="1471" t="s">
        <v>388</v>
      </c>
      <c r="M30" s="1471"/>
      <c r="N30" s="1471"/>
      <c r="O30" s="24" t="s">
        <v>391</v>
      </c>
      <c r="P30" s="31" t="s">
        <v>272</v>
      </c>
    </row>
    <row r="31" spans="2:16" s="10" customFormat="1">
      <c r="B31" s="30" t="s">
        <v>143</v>
      </c>
      <c r="C31" s="24" t="s">
        <v>89</v>
      </c>
      <c r="D31" s="24" t="s">
        <v>369</v>
      </c>
      <c r="E31" s="24" t="s">
        <v>116</v>
      </c>
      <c r="F31" s="1143" t="s">
        <v>117</v>
      </c>
      <c r="G31" s="31" t="s">
        <v>118</v>
      </c>
      <c r="H31" s="113" t="s">
        <v>380</v>
      </c>
      <c r="I31" s="84" t="str">
        <f>INPUTS!D37</f>
        <v>solid storage</v>
      </c>
      <c r="J31" s="84" t="s">
        <v>1327</v>
      </c>
      <c r="K31" s="24" t="s">
        <v>1645</v>
      </c>
      <c r="L31" s="84" t="str">
        <f>INPUTS!D37</f>
        <v>solid storage</v>
      </c>
      <c r="M31" s="84" t="str">
        <f>INPUTS!D38</f>
        <v xml:space="preserve">dry lot </v>
      </c>
      <c r="N31" s="84" t="str">
        <f>INPUTS!D39</f>
        <v xml:space="preserve">Pasture / range / paddock </v>
      </c>
      <c r="O31" s="24" t="s">
        <v>265</v>
      </c>
      <c r="P31" s="31" t="s">
        <v>273</v>
      </c>
    </row>
    <row r="32" spans="2:16">
      <c r="B32" s="113" t="str">
        <f>INPUTS!C21</f>
        <v>Cows (local)</v>
      </c>
      <c r="C32" s="45">
        <f>Feed!L143/365</f>
        <v>123.6096058048218</v>
      </c>
      <c r="D32" s="567">
        <f>Feed!V9</f>
        <v>0.51349388723178069</v>
      </c>
      <c r="E32" s="45">
        <v>0.04</v>
      </c>
      <c r="F32" s="76">
        <v>0.08</v>
      </c>
      <c r="G32" s="73">
        <f t="shared" ref="G32:G42" si="3">(C32*(1-D32)+(E32*C32))*((1-F32)/18.65)</f>
        <v>3.2104405366680946</v>
      </c>
      <c r="H32" s="118">
        <v>0.13</v>
      </c>
      <c r="I32" s="119">
        <f>(L32)*INPUTS!H21</f>
        <v>3.4000000000000002E-2</v>
      </c>
      <c r="J32" s="119">
        <f>(M32)*INPUTS!I21</f>
        <v>0</v>
      </c>
      <c r="K32" s="119">
        <f>(N32)*INPUTS!J21</f>
        <v>2.2499999999999998E-3</v>
      </c>
      <c r="L32" s="45">
        <f>INDEX('GHG Parameters'!$B$91:$B$93,MATCH(INPUTS!$D$37,'GHG Parameters'!$A$91:$A$93,0))</f>
        <v>0.04</v>
      </c>
      <c r="M32" s="45">
        <f>INDEX('GHG Parameters'!$B$91:$B$93,MATCH(INPUTS!$D$38,'GHG Parameters'!$A$91:$A$93,0))</f>
        <v>1.4999999999999999E-2</v>
      </c>
      <c r="N32" s="45">
        <f>INDEX('GHG Parameters'!$B$91:$B$93,MATCH(INPUTS!$D$39,'GHG Parameters'!$A$91:$A$93,0))</f>
        <v>1.4999999999999999E-2</v>
      </c>
      <c r="O32" s="45">
        <f>(G32*365)*(H32*0.67*(SUM(I32:K32)))</f>
        <v>3.6998461116537862</v>
      </c>
      <c r="P32" s="47">
        <f>O32</f>
        <v>3.6998461116537862</v>
      </c>
    </row>
    <row r="33" spans="1:16">
      <c r="B33" s="1283" t="str">
        <f>INPUTS!C22</f>
        <v>Cows (improved)</v>
      </c>
      <c r="C33" s="45">
        <f>Feed!L144/365</f>
        <v>147.56910545209729</v>
      </c>
      <c r="D33" s="567">
        <f>Feed!V16</f>
        <v>0.51349388723178069</v>
      </c>
      <c r="E33" s="45">
        <v>0.04</v>
      </c>
      <c r="F33" s="76">
        <v>0.08</v>
      </c>
      <c r="G33" s="73">
        <f>(C33*(1-D33)+(E33*C33))*((1-F33)/18.65)</f>
        <v>3.8327267126094271</v>
      </c>
      <c r="H33" s="118">
        <v>0.13</v>
      </c>
      <c r="I33" s="119">
        <f>(L33)*INPUTS!H22</f>
        <v>3.4000000000000002E-2</v>
      </c>
      <c r="J33" s="119">
        <f>(M33)*INPUTS!I22</f>
        <v>0</v>
      </c>
      <c r="K33" s="119">
        <f>(N33)*INPUTS!J22</f>
        <v>2.2499999999999998E-3</v>
      </c>
      <c r="L33" s="45">
        <f>INDEX('GHG Parameters'!$B$91:$B$93,MATCH(INPUTS!$D$37,'GHG Parameters'!$A$91:$A$93,0))</f>
        <v>0.04</v>
      </c>
      <c r="M33" s="45">
        <f>INDEX('GHG Parameters'!$B$91:$B$93,MATCH(INPUTS!$D$38,'GHG Parameters'!$A$91:$A$93,0))</f>
        <v>1.4999999999999999E-2</v>
      </c>
      <c r="N33" s="45">
        <f>INDEX('GHG Parameters'!$B$91:$B$93,MATCH(INPUTS!$D$39,'GHG Parameters'!$A$91:$A$93,0))</f>
        <v>1.4999999999999999E-2</v>
      </c>
      <c r="O33" s="45">
        <f>(G33*365)*(H33*0.67*(SUM(I33:K33)))</f>
        <v>4.4169947590421961</v>
      </c>
      <c r="P33" s="47">
        <f t="shared" ref="P33:P42" si="4">O33</f>
        <v>4.4169947590421961</v>
      </c>
    </row>
    <row r="34" spans="1:16">
      <c r="B34" s="1283" t="str">
        <f>INPUTS!C23</f>
        <v>Adult cattle - male</v>
      </c>
      <c r="C34" s="45">
        <f>Feed!L145/365</f>
        <v>127.53655052638648</v>
      </c>
      <c r="D34" s="567">
        <f>Feed!V23</f>
        <v>0.51349388723178069</v>
      </c>
      <c r="E34" s="45">
        <v>0.04</v>
      </c>
      <c r="F34" s="76">
        <v>0.08</v>
      </c>
      <c r="G34" s="73">
        <f>(C34*(1-D34)+(E34*C34))*((1-F34)/18.65)</f>
        <v>3.312432792344993</v>
      </c>
      <c r="H34" s="118">
        <v>0.1</v>
      </c>
      <c r="I34" s="119">
        <f>(L34)*INPUTS!H23</f>
        <v>0.04</v>
      </c>
      <c r="J34" s="119">
        <f>(M34)*INPUTS!I23</f>
        <v>0</v>
      </c>
      <c r="K34" s="119">
        <f>(N34)*INPUTS!J23</f>
        <v>2.2499999999999998E-3</v>
      </c>
      <c r="L34" s="45">
        <f>INDEX('GHG Parameters'!$B$91:$B$93,MATCH(INPUTS!$D$37,'GHG Parameters'!$A$91:$A$93,0))</f>
        <v>0.04</v>
      </c>
      <c r="M34" s="45">
        <f>INDEX('GHG Parameters'!$B$91:$B$93,MATCH(INPUTS!$D$38,'GHG Parameters'!$A$91:$A$93,0))</f>
        <v>1.4999999999999999E-2</v>
      </c>
      <c r="N34" s="45">
        <f>INDEX('GHG Parameters'!$B$91:$B$93,MATCH(INPUTS!$D$39,'GHG Parameters'!$A$91:$A$93,0))</f>
        <v>1.4999999999999999E-2</v>
      </c>
      <c r="O34" s="45">
        <f>(G34*365)*(H34*0.67*(SUM(I34:K34)))</f>
        <v>3.4224842313296655</v>
      </c>
      <c r="P34" s="47">
        <f t="shared" si="4"/>
        <v>3.4224842313296655</v>
      </c>
    </row>
    <row r="35" spans="1:16">
      <c r="B35" s="1283" t="str">
        <f>INPUTS!C24</f>
        <v>Calves</v>
      </c>
      <c r="C35" s="45">
        <f>Feed!L146/365</f>
        <v>31.674429560288104</v>
      </c>
      <c r="D35" s="567">
        <f>Feed!V30</f>
        <v>0.51349388723178069</v>
      </c>
      <c r="E35" s="45">
        <v>0.04</v>
      </c>
      <c r="F35" s="76">
        <v>0.08</v>
      </c>
      <c r="G35" s="73">
        <f>(C35*(1-D35)+(E35*C35))*((1-F35)/18.65)</f>
        <v>0.82266157208488067</v>
      </c>
      <c r="H35" s="118">
        <v>0.1</v>
      </c>
      <c r="I35" s="119">
        <f>(L35)*INPUTS!H24</f>
        <v>3.4000000000000002E-2</v>
      </c>
      <c r="J35" s="119">
        <f>(M35)*INPUTS!I24</f>
        <v>0</v>
      </c>
      <c r="K35" s="119">
        <f>(N35)*INPUTS!J24</f>
        <v>2.2499999999999998E-3</v>
      </c>
      <c r="L35" s="45">
        <f>INDEX('GHG Parameters'!$B$91:$B$93,MATCH(INPUTS!$D$37,'GHG Parameters'!$A$91:$A$93,0))</f>
        <v>0.04</v>
      </c>
      <c r="M35" s="45">
        <f>INDEX('GHG Parameters'!$B$91:$B$93,MATCH(INPUTS!$D$38,'GHG Parameters'!$A$91:$A$93,0))</f>
        <v>1.4999999999999999E-2</v>
      </c>
      <c r="N35" s="45">
        <f>INDEX('GHG Parameters'!$B$91:$B$93,MATCH(INPUTS!$D$39,'GHG Parameters'!$A$91:$A$93,0))</f>
        <v>1.4999999999999999E-2</v>
      </c>
      <c r="O35" s="45">
        <f>(G35*365)*(H35*0.67*(SUM(I35:K35)))</f>
        <v>0.72928434201842129</v>
      </c>
      <c r="P35" s="47">
        <f t="shared" si="4"/>
        <v>0.72928434201842129</v>
      </c>
    </row>
    <row r="36" spans="1:16">
      <c r="B36" s="1283" t="str">
        <f>INPUTS!C25</f>
        <v>Buffalo (dairy)</v>
      </c>
      <c r="C36" s="45">
        <f>Feed!L147/365</f>
        <v>145.87863218374113</v>
      </c>
      <c r="D36" s="567">
        <f>Feed!V37</f>
        <v>0.51349388723178069</v>
      </c>
      <c r="E36" s="45">
        <v>0.04</v>
      </c>
      <c r="F36" s="76">
        <v>0.08</v>
      </c>
      <c r="G36" s="73">
        <f t="shared" si="3"/>
        <v>3.788821031723641</v>
      </c>
      <c r="H36" s="118">
        <v>0.1</v>
      </c>
      <c r="I36" s="119">
        <f>(L36)*INPUTS!H25</f>
        <v>3.4000000000000002E-2</v>
      </c>
      <c r="J36" s="119">
        <f>(M36)*INPUTS!I25</f>
        <v>0</v>
      </c>
      <c r="K36" s="119">
        <f>(N36)*INPUTS!J25</f>
        <v>2.2499999999999998E-3</v>
      </c>
      <c r="L36" s="45">
        <f>INDEX('GHG Parameters'!$B$91:$B$93,MATCH(INPUTS!$D$37,'GHG Parameters'!$A$91:$A$93,0))</f>
        <v>0.04</v>
      </c>
      <c r="M36" s="45">
        <f>INDEX('GHG Parameters'!$B$91:$B$93,MATCH(INPUTS!$D$38,'GHG Parameters'!$A$91:$A$93,0))</f>
        <v>1.4999999999999999E-2</v>
      </c>
      <c r="N36" s="45">
        <f>INDEX('GHG Parameters'!$B$91:$B$93,MATCH(INPUTS!$D$39,'GHG Parameters'!$A$91:$A$93,0))</f>
        <v>1.4999999999999999E-2</v>
      </c>
      <c r="O36" s="45">
        <f>(G36*365)*(H36*0.67*(SUM(I36:K36)))</f>
        <v>3.3587661644915601</v>
      </c>
      <c r="P36" s="47">
        <f t="shared" si="4"/>
        <v>3.3587661644915601</v>
      </c>
    </row>
    <row r="37" spans="1:16">
      <c r="B37" s="1283" t="str">
        <f>INPUTS!C26</f>
        <v>Sheep/Goats - Ewes/Does</v>
      </c>
      <c r="C37" s="45">
        <f>Feed!L148/365</f>
        <v>26.899094845398707</v>
      </c>
      <c r="D37" s="567">
        <f>Feed!V44</f>
        <v>0.51349388723178069</v>
      </c>
      <c r="E37" s="45">
        <v>0.04</v>
      </c>
      <c r="F37" s="76">
        <v>0.08</v>
      </c>
      <c r="G37" s="73">
        <f t="shared" ref="G37:G38" si="5">(C37*(1-D37)+(E37*C37))*((1-F37)/18.65)</f>
        <v>0.69863457559848574</v>
      </c>
      <c r="H37" s="118">
        <v>0.1</v>
      </c>
      <c r="I37" s="119">
        <f>(L37)*INPUTS!H26</f>
        <v>3.4000000000000002E-2</v>
      </c>
      <c r="J37" s="119">
        <f>(M37)*INPUTS!I26</f>
        <v>0</v>
      </c>
      <c r="K37" s="119">
        <f>(N37)*INPUTS!J26</f>
        <v>2.2499999999999998E-3</v>
      </c>
      <c r="L37" s="45">
        <f>INDEX('GHG Parameters'!$B$91:$B$93,MATCH(INPUTS!$D$37,'GHG Parameters'!$A$91:$A$93,0))</f>
        <v>0.04</v>
      </c>
      <c r="M37" s="45">
        <f>INDEX('GHG Parameters'!$B$91:$B$93,MATCH(INPUTS!$D$38,'GHG Parameters'!$A$91:$A$93,0))</f>
        <v>1.4999999999999999E-2</v>
      </c>
      <c r="N37" s="45">
        <f>INDEX('GHG Parameters'!$B$91:$B$93,MATCH(INPUTS!$D$39,'GHG Parameters'!$A$91:$A$93,0))</f>
        <v>1.4999999999999999E-2</v>
      </c>
      <c r="O37" s="45">
        <f t="shared" ref="O37:O42" si="6">(G37*365)*(H37*0.67*(SUM(I37:K37)))</f>
        <v>0.61933518480196015</v>
      </c>
      <c r="P37" s="47">
        <f t="shared" si="4"/>
        <v>0.61933518480196015</v>
      </c>
    </row>
    <row r="38" spans="1:16">
      <c r="B38" s="1283" t="str">
        <f>INPUTS!C27</f>
        <v>Pigs - lactating/pregnant sows</v>
      </c>
      <c r="C38" s="45">
        <f>Feed!L149/365</f>
        <v>73.113074663079246</v>
      </c>
      <c r="D38" s="567">
        <f>Feed!V51</f>
        <v>0.51349388723178069</v>
      </c>
      <c r="E38" s="45">
        <v>0.04</v>
      </c>
      <c r="F38" s="76">
        <v>0.08</v>
      </c>
      <c r="G38" s="73">
        <f t="shared" si="5"/>
        <v>1.8989234463656413</v>
      </c>
      <c r="H38" s="118">
        <v>0.1</v>
      </c>
      <c r="I38" s="119">
        <f>(L38)*INPUTS!H27</f>
        <v>3.4000000000000002E-2</v>
      </c>
      <c r="J38" s="119">
        <f>(M38)*INPUTS!I27</f>
        <v>0</v>
      </c>
      <c r="K38" s="119">
        <f>(N38)*INPUTS!J27</f>
        <v>2.2499999999999998E-3</v>
      </c>
      <c r="L38" s="45">
        <f>INDEX('GHG Parameters'!$B$91:$B$93,MATCH(INPUTS!$D$37,'GHG Parameters'!$A$91:$A$93,0))</f>
        <v>0.04</v>
      </c>
      <c r="M38" s="45">
        <f>INDEX('GHG Parameters'!$B$91:$B$93,MATCH(INPUTS!$D$38,'GHG Parameters'!$A$91:$A$93,0))</f>
        <v>1.4999999999999999E-2</v>
      </c>
      <c r="N38" s="45">
        <f>INDEX('GHG Parameters'!$B$91:$B$93,MATCH(INPUTS!$D$39,'GHG Parameters'!$A$91:$A$93,0))</f>
        <v>1.4999999999999999E-2</v>
      </c>
      <c r="O38" s="45">
        <f t="shared" si="6"/>
        <v>1.6833837669316014</v>
      </c>
      <c r="P38" s="47">
        <f t="shared" si="4"/>
        <v>1.6833837669316014</v>
      </c>
    </row>
    <row r="39" spans="1:16">
      <c r="B39" s="1283" t="str">
        <f>INPUTS!C28</f>
        <v>Calves</v>
      </c>
      <c r="C39" s="45">
        <f>Feed!L150/365</f>
        <v>90.103131823078257</v>
      </c>
      <c r="D39" s="567">
        <f>Feed!V58</f>
        <v>0.51349388723178069</v>
      </c>
      <c r="E39" s="45">
        <v>0.04</v>
      </c>
      <c r="F39" s="45">
        <v>0.08</v>
      </c>
      <c r="G39" s="47">
        <f t="shared" si="3"/>
        <v>2.340196338319489</v>
      </c>
      <c r="H39" s="1051">
        <v>0.13</v>
      </c>
      <c r="I39" s="119">
        <f>(L39)*INPUTS!H28</f>
        <v>3.4000000000000002E-2</v>
      </c>
      <c r="J39" s="119">
        <f>(M39)*INPUTS!I28</f>
        <v>0</v>
      </c>
      <c r="K39" s="119">
        <f>(N39)*INPUTS!J28</f>
        <v>2.2499999999999998E-3</v>
      </c>
      <c r="L39" s="45">
        <f>INDEX('GHG Parameters'!$B$91:$B$93,MATCH(INPUTS!$D$37,'GHG Parameters'!$A$91:$A$93,0))</f>
        <v>0.04</v>
      </c>
      <c r="M39" s="45">
        <f>INDEX('GHG Parameters'!$B$91:$B$93,MATCH(INPUTS!$D$38,'GHG Parameters'!$A$91:$A$93,0))</f>
        <v>1.4999999999999999E-2</v>
      </c>
      <c r="N39" s="45">
        <f>INDEX('GHG Parameters'!$B$91:$B$93,MATCH(INPUTS!$D$39,'GHG Parameters'!$A$91:$A$93,0))</f>
        <v>1.4999999999999999E-2</v>
      </c>
      <c r="O39" s="45">
        <f t="shared" si="6"/>
        <v>2.6969402560010471</v>
      </c>
      <c r="P39" s="47">
        <f t="shared" si="4"/>
        <v>2.6969402560010471</v>
      </c>
    </row>
    <row r="40" spans="1:16" s="1136" customFormat="1">
      <c r="B40" s="1283" t="str">
        <f>INPUTS!C29</f>
        <v>Cows (high productive)</v>
      </c>
      <c r="C40" s="45">
        <f>Feed!L151/365</f>
        <v>347.9698533903474</v>
      </c>
      <c r="D40" s="567">
        <f>Feed!V65</f>
        <v>0.51349388723178069</v>
      </c>
      <c r="E40" s="45">
        <v>0.04</v>
      </c>
      <c r="F40" s="45">
        <v>0.08</v>
      </c>
      <c r="G40" s="47">
        <f t="shared" si="3"/>
        <v>9.0376190069465245</v>
      </c>
      <c r="H40" s="1051">
        <v>0.13</v>
      </c>
      <c r="I40" s="119">
        <f>(L40)*INPUTS!H29</f>
        <v>3.4000000000000002E-2</v>
      </c>
      <c r="J40" s="119">
        <f>(M40)*INPUTS!I29</f>
        <v>0</v>
      </c>
      <c r="K40" s="119">
        <f>(N40)*INPUTS!J29</f>
        <v>2.2499999999999998E-3</v>
      </c>
      <c r="L40" s="45">
        <f>INDEX('GHG Parameters'!$B$91:$B$93,MATCH(INPUTS!$D$37,'GHG Parameters'!$A$91:$A$93,0))</f>
        <v>0.04</v>
      </c>
      <c r="M40" s="45">
        <f>INDEX('GHG Parameters'!$B$91:$B$93,MATCH(INPUTS!$D$38,'GHG Parameters'!$A$91:$A$93,0))</f>
        <v>1.4999999999999999E-2</v>
      </c>
      <c r="N40" s="45">
        <f>INDEX('GHG Parameters'!$B$91:$B$93,MATCH(INPUTS!$D$39,'GHG Parameters'!$A$91:$A$93,0))</f>
        <v>1.4999999999999999E-2</v>
      </c>
      <c r="O40" s="45">
        <f t="shared" si="6"/>
        <v>10.415330593901095</v>
      </c>
      <c r="P40" s="47">
        <f t="shared" si="4"/>
        <v>10.415330593901095</v>
      </c>
    </row>
    <row r="41" spans="1:16" s="1237" customFormat="1">
      <c r="B41" s="1283">
        <f>INPUTS!C30</f>
        <v>0</v>
      </c>
      <c r="C41" s="45">
        <f>Feed!L152/365</f>
        <v>0</v>
      </c>
      <c r="D41" s="567">
        <f>Feed!V72</f>
        <v>0.51349388723178069</v>
      </c>
      <c r="E41" s="45">
        <v>0.04</v>
      </c>
      <c r="F41" s="45">
        <v>0.08</v>
      </c>
      <c r="G41" s="47">
        <f t="shared" si="3"/>
        <v>0</v>
      </c>
      <c r="H41" s="1051">
        <v>0.13</v>
      </c>
      <c r="I41" s="119">
        <f>(L41)*INPUTS!H30</f>
        <v>3.4000000000000002E-2</v>
      </c>
      <c r="J41" s="119">
        <f>(M41)*INPUTS!I30</f>
        <v>0</v>
      </c>
      <c r="K41" s="119">
        <f>(N41)*INPUTS!J30</f>
        <v>2.2499999999999998E-3</v>
      </c>
      <c r="L41" s="45">
        <f>INDEX('GHG Parameters'!$B$91:$B$93,MATCH(INPUTS!$D$37,'GHG Parameters'!$A$91:$A$93,0))</f>
        <v>0.04</v>
      </c>
      <c r="M41" s="45">
        <f>INDEX('GHG Parameters'!$B$91:$B$93,MATCH(INPUTS!$D$38,'GHG Parameters'!$A$91:$A$93,0))</f>
        <v>1.4999999999999999E-2</v>
      </c>
      <c r="N41" s="45">
        <f>INDEX('GHG Parameters'!$B$91:$B$93,MATCH(INPUTS!$D$39,'GHG Parameters'!$A$91:$A$93,0))</f>
        <v>1.4999999999999999E-2</v>
      </c>
      <c r="O41" s="45">
        <f t="shared" si="6"/>
        <v>0</v>
      </c>
      <c r="P41" s="47">
        <f t="shared" si="4"/>
        <v>0</v>
      </c>
    </row>
    <row r="42" spans="1:16" s="1237" customFormat="1">
      <c r="B42" s="1283">
        <f>INPUTS!C31</f>
        <v>0</v>
      </c>
      <c r="C42" s="45">
        <f>Feed!L153/365</f>
        <v>0</v>
      </c>
      <c r="D42" s="567">
        <f>Feed!V79</f>
        <v>0.51349388723178069</v>
      </c>
      <c r="E42" s="45">
        <v>0.04</v>
      </c>
      <c r="F42" s="45">
        <v>0.08</v>
      </c>
      <c r="G42" s="47">
        <f t="shared" si="3"/>
        <v>0</v>
      </c>
      <c r="H42" s="1051">
        <v>0.13</v>
      </c>
      <c r="I42" s="119">
        <f>(L42)*INPUTS!H31</f>
        <v>3.4000000000000002E-2</v>
      </c>
      <c r="J42" s="119">
        <f>(M42)*INPUTS!I31</f>
        <v>0</v>
      </c>
      <c r="K42" s="119">
        <f>(N42)*INPUTS!J31</f>
        <v>2.2499999999999998E-3</v>
      </c>
      <c r="L42" s="45">
        <f>INDEX('GHG Parameters'!$B$91:$B$93,MATCH(INPUTS!$D$37,'GHG Parameters'!$A$91:$A$93,0))</f>
        <v>0.04</v>
      </c>
      <c r="M42" s="45">
        <f>INDEX('GHG Parameters'!$B$91:$B$93,MATCH(INPUTS!$D$38,'GHG Parameters'!$A$91:$A$93,0))</f>
        <v>1.4999999999999999E-2</v>
      </c>
      <c r="N42" s="45">
        <f>INDEX('GHG Parameters'!$B$91:$B$93,MATCH(INPUTS!$D$39,'GHG Parameters'!$A$91:$A$93,0))</f>
        <v>1.4999999999999999E-2</v>
      </c>
      <c r="O42" s="45">
        <f t="shared" si="6"/>
        <v>0</v>
      </c>
      <c r="P42" s="47">
        <f t="shared" si="4"/>
        <v>0</v>
      </c>
    </row>
    <row r="43" spans="1:16" s="1144" customFormat="1">
      <c r="B43" s="1283">
        <f>INPUTS!C32</f>
        <v>0</v>
      </c>
      <c r="C43" s="45">
        <f>Feed!L154/365</f>
        <v>0</v>
      </c>
      <c r="D43" s="567">
        <f>Feed!V86</f>
        <v>0.51349388723178069</v>
      </c>
      <c r="E43" s="45">
        <v>0.04</v>
      </c>
      <c r="F43" s="45">
        <v>0.08</v>
      </c>
      <c r="G43" s="47">
        <f t="shared" ref="G43:G45" si="7">(C43*(1-D43)+(E43*C43))*((1-F43)/18.65)</f>
        <v>0</v>
      </c>
      <c r="H43" s="1051">
        <v>0.28999999999999998</v>
      </c>
      <c r="I43" s="119">
        <f>(L43)*INPUTS!H32</f>
        <v>3.4000000000000002E-2</v>
      </c>
      <c r="J43" s="119">
        <f>(M43)*INPUTS!I32</f>
        <v>0</v>
      </c>
      <c r="K43" s="119">
        <f>(N43)*INPUTS!J32</f>
        <v>2.2499999999999998E-3</v>
      </c>
      <c r="L43" s="45">
        <f>INDEX('GHG Parameters'!$B$91:$B$93,MATCH(INPUTS!$D$37,'GHG Parameters'!$A$91:$A$93,0))</f>
        <v>0.04</v>
      </c>
      <c r="M43" s="45">
        <f>INDEX('GHG Parameters'!$B$91:$B$93,MATCH(INPUTS!$D$38,'GHG Parameters'!$A$91:$A$93,0))</f>
        <v>1.4999999999999999E-2</v>
      </c>
      <c r="N43" s="45">
        <f>INDEX('GHG Parameters'!$B$91:$B$93,MATCH(INPUTS!$D$39,'GHG Parameters'!$A$91:$A$93,0))</f>
        <v>1.4999999999999999E-2</v>
      </c>
      <c r="O43" s="45">
        <f t="shared" ref="O43:O45" si="8">(G43*365)*(H43*0.67*(SUM(I43:K43)))</f>
        <v>0</v>
      </c>
      <c r="P43" s="47">
        <f t="shared" ref="P43:P45" si="9">O43</f>
        <v>0</v>
      </c>
    </row>
    <row r="44" spans="1:16" s="1144" customFormat="1">
      <c r="B44" s="1283">
        <f>INPUTS!C33</f>
        <v>0</v>
      </c>
      <c r="C44" s="45">
        <f>Feed!L155/365</f>
        <v>0</v>
      </c>
      <c r="D44" s="567">
        <f>Feed!V93</f>
        <v>0.51349388723178069</v>
      </c>
      <c r="E44" s="45">
        <v>0.04</v>
      </c>
      <c r="F44" s="45">
        <v>0.08</v>
      </c>
      <c r="G44" s="47">
        <f t="shared" si="7"/>
        <v>0</v>
      </c>
      <c r="H44" s="1051">
        <v>0.28999999999999998</v>
      </c>
      <c r="I44" s="119">
        <f>(L44)*INPUTS!H33</f>
        <v>3.4000000000000002E-2</v>
      </c>
      <c r="J44" s="119">
        <f>(M44)*INPUTS!I33</f>
        <v>0</v>
      </c>
      <c r="K44" s="119">
        <f>(N44)*INPUTS!J33</f>
        <v>2.2499999999999998E-3</v>
      </c>
      <c r="L44" s="45">
        <f>INDEX('GHG Parameters'!$B$91:$B$93,MATCH(INPUTS!$D$37,'GHG Parameters'!$A$91:$A$93,0))</f>
        <v>0.04</v>
      </c>
      <c r="M44" s="45">
        <f>INDEX('GHG Parameters'!$B$91:$B$93,MATCH(INPUTS!$D$38,'GHG Parameters'!$A$91:$A$93,0))</f>
        <v>1.4999999999999999E-2</v>
      </c>
      <c r="N44" s="45">
        <f>INDEX('GHG Parameters'!$B$91:$B$93,MATCH(INPUTS!$D$39,'GHG Parameters'!$A$91:$A$93,0))</f>
        <v>1.4999999999999999E-2</v>
      </c>
      <c r="O44" s="45">
        <f t="shared" si="8"/>
        <v>0</v>
      </c>
      <c r="P44" s="47">
        <f t="shared" si="9"/>
        <v>0</v>
      </c>
    </row>
    <row r="45" spans="1:16">
      <c r="B45" s="1283">
        <f>INPUTS!C34</f>
        <v>0</v>
      </c>
      <c r="C45" s="45">
        <f>Feed!L156/365</f>
        <v>0</v>
      </c>
      <c r="D45" s="567">
        <f>Feed!V100</f>
        <v>0.51349388723178069</v>
      </c>
      <c r="E45" s="45">
        <v>0.04</v>
      </c>
      <c r="F45" s="45">
        <v>0.08</v>
      </c>
      <c r="G45" s="47">
        <f t="shared" si="7"/>
        <v>0</v>
      </c>
      <c r="H45" s="1051">
        <v>0.28999999999999998</v>
      </c>
      <c r="I45" s="119">
        <f>(L45)*INPUTS!H34</f>
        <v>3.4000000000000002E-2</v>
      </c>
      <c r="J45" s="119">
        <f>(M45)*INPUTS!I34</f>
        <v>0</v>
      </c>
      <c r="K45" s="119">
        <f>(N45)*INPUTS!J34</f>
        <v>2.2499999999999998E-3</v>
      </c>
      <c r="L45" s="45">
        <f>INDEX('GHG Parameters'!$B$91:$B$93,MATCH(INPUTS!$D$37,'GHG Parameters'!$A$91:$A$93,0))</f>
        <v>0.04</v>
      </c>
      <c r="M45" s="45">
        <f>INDEX('GHG Parameters'!$B$91:$B$93,MATCH(INPUTS!$D$38,'GHG Parameters'!$A$91:$A$93,0))</f>
        <v>1.4999999999999999E-2</v>
      </c>
      <c r="N45" s="45">
        <f>INDEX('GHG Parameters'!$B$91:$B$93,MATCH(INPUTS!$D$39,'GHG Parameters'!$A$91:$A$93,0))</f>
        <v>1.4999999999999999E-2</v>
      </c>
      <c r="O45" s="45">
        <f t="shared" si="8"/>
        <v>0</v>
      </c>
      <c r="P45" s="47">
        <f t="shared" si="9"/>
        <v>0</v>
      </c>
    </row>
    <row r="46" spans="1:16">
      <c r="A46" s="30"/>
      <c r="B46" s="1585" t="s">
        <v>2</v>
      </c>
      <c r="C46" s="1585"/>
      <c r="D46" s="1585"/>
      <c r="E46" s="1585"/>
      <c r="F46" s="1585"/>
      <c r="G46" s="1585"/>
      <c r="H46" s="1585"/>
      <c r="I46" s="1585"/>
      <c r="J46" s="1585"/>
      <c r="K46" s="1585"/>
      <c r="L46" s="1585"/>
      <c r="M46" s="1585"/>
      <c r="N46" s="1585"/>
      <c r="O46" s="1585"/>
      <c r="P46" s="47">
        <f>SUM(P32:P45)</f>
        <v>31.042365410171335</v>
      </c>
    </row>
    <row r="48" spans="1:16" s="41" customFormat="1" ht="16.5" thickBot="1"/>
    <row r="49" spans="1:19" s="41" customFormat="1" ht="17.25" thickTop="1" thickBot="1"/>
    <row r="50" spans="1:19" ht="16.5" thickTop="1">
      <c r="A50" s="1" t="s">
        <v>102</v>
      </c>
    </row>
    <row r="51" spans="1:19">
      <c r="A51" s="5" t="s">
        <v>103</v>
      </c>
    </row>
    <row r="52" spans="1:19">
      <c r="A52" s="1"/>
    </row>
    <row r="53" spans="1:19">
      <c r="A53" s="1"/>
      <c r="B53" s="23" t="s">
        <v>172</v>
      </c>
      <c r="C53" s="23"/>
      <c r="D53" s="1302" t="s">
        <v>1837</v>
      </c>
      <c r="E53" s="23" t="s">
        <v>291</v>
      </c>
    </row>
    <row r="54" spans="1:19" ht="31.5">
      <c r="A54" s="1"/>
      <c r="B54" s="1587" t="s">
        <v>258</v>
      </c>
      <c r="C54" s="24" t="s">
        <v>282</v>
      </c>
      <c r="D54" s="24" t="s">
        <v>283</v>
      </c>
      <c r="E54" s="31" t="s">
        <v>284</v>
      </c>
      <c r="F54" s="31" t="s">
        <v>284</v>
      </c>
    </row>
    <row r="55" spans="1:19" ht="31.5">
      <c r="A55" s="1"/>
      <c r="B55" s="1587"/>
      <c r="C55" s="24" t="s">
        <v>652</v>
      </c>
      <c r="D55" s="24" t="s">
        <v>653</v>
      </c>
      <c r="E55" s="31" t="s">
        <v>288</v>
      </c>
      <c r="F55" s="31" t="s">
        <v>214</v>
      </c>
    </row>
    <row r="56" spans="1:19">
      <c r="B56" s="1587"/>
      <c r="C56" s="24"/>
      <c r="D56" s="24" t="s">
        <v>290</v>
      </c>
      <c r="E56" s="31" t="s">
        <v>292</v>
      </c>
      <c r="F56" s="44"/>
    </row>
    <row r="57" spans="1:19">
      <c r="B57" s="26" t="s">
        <v>143</v>
      </c>
      <c r="C57" s="24" t="s">
        <v>287</v>
      </c>
      <c r="D57" s="24" t="s">
        <v>286</v>
      </c>
      <c r="E57" s="47" t="s">
        <v>285</v>
      </c>
      <c r="F57" s="44"/>
      <c r="M57" s="7"/>
      <c r="N57" s="7"/>
      <c r="O57" s="7"/>
      <c r="P57" s="7"/>
      <c r="Q57" s="7"/>
      <c r="R57" s="7"/>
      <c r="S57" s="7"/>
    </row>
    <row r="58" spans="1:19">
      <c r="B58" s="113" t="str">
        <f>INPUTS!C21</f>
        <v>Cows (local)</v>
      </c>
      <c r="C58" s="45">
        <f>'Livestock parameters'!B2</f>
        <v>350</v>
      </c>
      <c r="D58" s="82">
        <f>VLOOKUP(VLOOKUP(B58,'Livestock parameters'!$A$20:$AO$35,41,FALSE),'GHG Parameters'!$A$99:$D$103,MATCH(INPUTS!$E$3,'GHG Parameters'!$A$99:$D$99,0),FALSE)</f>
        <v>0.48</v>
      </c>
      <c r="E58" s="47">
        <f>D58*(C58/1000)*365</f>
        <v>61.319999999999993</v>
      </c>
      <c r="F58" s="44">
        <f>E58*INPUTS!D21</f>
        <v>61.319999999999993</v>
      </c>
    </row>
    <row r="59" spans="1:19">
      <c r="B59" s="1283" t="str">
        <f>INPUTS!C22</f>
        <v>Cows (improved)</v>
      </c>
      <c r="C59" s="45">
        <f>'Livestock parameters'!B3</f>
        <v>450</v>
      </c>
      <c r="D59" s="82">
        <f>VLOOKUP(VLOOKUP(B59,'Livestock parameters'!$A$20:$AO$35,41,FALSE),'GHG Parameters'!$A$99:$D$103,MATCH(INPUTS!$E$3,'GHG Parameters'!$A$99:$D$99,0),FALSE)</f>
        <v>0.48</v>
      </c>
      <c r="E59" s="47">
        <f t="shared" ref="E59:E71" si="10">D59*(C59/1000)*365</f>
        <v>78.84</v>
      </c>
      <c r="F59" s="44">
        <f>E59*INPUTS!D22</f>
        <v>78.84</v>
      </c>
      <c r="G59" s="1579"/>
    </row>
    <row r="60" spans="1:19">
      <c r="B60" s="1283" t="str">
        <f>INPUTS!C23</f>
        <v>Adult cattle - male</v>
      </c>
      <c r="C60" s="45">
        <f>'Livestock parameters'!B4</f>
        <v>400</v>
      </c>
      <c r="D60" s="82">
        <f>VLOOKUP(VLOOKUP(B60,'Livestock parameters'!$A$20:$AO$35,41,FALSE),'GHG Parameters'!$A$99:$D$103,MATCH(INPUTS!$E$3,'GHG Parameters'!$A$99:$D$99,0),FALSE)</f>
        <v>0.37</v>
      </c>
      <c r="E60" s="47">
        <f t="shared" si="10"/>
        <v>54.019999999999996</v>
      </c>
      <c r="F60" s="44">
        <f>E60*INPUTS!D23</f>
        <v>54.019999999999996</v>
      </c>
      <c r="G60" s="1579"/>
    </row>
    <row r="61" spans="1:19">
      <c r="B61" s="1283" t="str">
        <f>INPUTS!C24</f>
        <v>Calves</v>
      </c>
      <c r="C61" s="45">
        <f>'Livestock parameters'!B5</f>
        <v>70</v>
      </c>
      <c r="D61" s="82">
        <f>VLOOKUP(VLOOKUP(B61,'Livestock parameters'!$A$20:$AO$35,41,FALSE),'GHG Parameters'!$A$99:$D$103,MATCH(INPUTS!$E$3,'GHG Parameters'!$A$99:$D$99,0),FALSE)</f>
        <v>0.37</v>
      </c>
      <c r="E61" s="47">
        <f t="shared" si="10"/>
        <v>9.4535000000000018</v>
      </c>
      <c r="F61" s="44">
        <f>E61*INPUTS!D24</f>
        <v>9.4535000000000018</v>
      </c>
      <c r="G61" s="1579"/>
    </row>
    <row r="62" spans="1:19">
      <c r="B62" s="1283" t="str">
        <f>INPUTS!C25</f>
        <v>Buffalo (dairy)</v>
      </c>
      <c r="C62" s="45">
        <f>'Livestock parameters'!B6</f>
        <v>450</v>
      </c>
      <c r="D62" s="82">
        <f>VLOOKUP(VLOOKUP(B62,'Livestock parameters'!$A$20:$AO$35,41,FALSE),'GHG Parameters'!$A$99:$D$103,MATCH(INPUTS!$E$3,'GHG Parameters'!$A$99:$D$99,0),FALSE)</f>
        <v>0.37</v>
      </c>
      <c r="E62" s="47">
        <f t="shared" si="10"/>
        <v>60.772500000000001</v>
      </c>
      <c r="F62" s="44">
        <f>E62*INPUTS!D25</f>
        <v>60.772500000000001</v>
      </c>
      <c r="G62" s="1579"/>
    </row>
    <row r="63" spans="1:19">
      <c r="B63" s="1283" t="str">
        <f>INPUTS!C26</f>
        <v>Sheep/Goats - Ewes/Does</v>
      </c>
      <c r="C63" s="45">
        <f>'Livestock parameters'!B7</f>
        <v>30</v>
      </c>
      <c r="D63" s="82">
        <f>VLOOKUP(VLOOKUP(B63,'Livestock parameters'!$A$20:$AO$35,41,FALSE),'GHG Parameters'!$A$99:$D$103,MATCH(INPUTS!$E$3,'GHG Parameters'!$A$99:$D$99,0),FALSE)</f>
        <v>1.17</v>
      </c>
      <c r="E63" s="47">
        <f t="shared" si="10"/>
        <v>12.811500000000001</v>
      </c>
      <c r="F63" s="44">
        <f>E63*INPUTS!D26</f>
        <v>12.811500000000001</v>
      </c>
    </row>
    <row r="64" spans="1:19">
      <c r="B64" s="1283" t="str">
        <f>INPUTS!C27</f>
        <v>Pigs - lactating/pregnant sows</v>
      </c>
      <c r="C64" s="45">
        <f>'Livestock parameters'!B8</f>
        <v>200</v>
      </c>
      <c r="D64" s="82">
        <f>VLOOKUP(VLOOKUP(B64,'Livestock parameters'!$A$20:$AO$35,41,FALSE),'GHG Parameters'!$A$99:$D$103,MATCH(INPUTS!$E$3,'GHG Parameters'!$A$99:$D$99,0),FALSE)</f>
        <v>1.64</v>
      </c>
      <c r="E64" s="47">
        <f t="shared" si="10"/>
        <v>119.72</v>
      </c>
      <c r="F64" s="44">
        <f>E64*INPUTS!D27</f>
        <v>119.72</v>
      </c>
    </row>
    <row r="65" spans="1:12">
      <c r="B65" s="1283" t="str">
        <f>INPUTS!C28</f>
        <v>Calves</v>
      </c>
      <c r="C65" s="45">
        <f>'Livestock parameters'!B9</f>
        <v>70</v>
      </c>
      <c r="D65" s="82">
        <f>VLOOKUP(VLOOKUP(B65,'Livestock parameters'!$A$20:$AO$35,41,FALSE),'GHG Parameters'!$A$99:$D$103,MATCH(INPUTS!$E$3,'GHG Parameters'!$A$99:$D$99,0),FALSE)</f>
        <v>0.37</v>
      </c>
      <c r="E65" s="47">
        <f t="shared" si="10"/>
        <v>9.4535000000000018</v>
      </c>
      <c r="F65" s="44">
        <f>E65*INPUTS!D28</f>
        <v>28.360500000000005</v>
      </c>
    </row>
    <row r="66" spans="1:12" s="1136" customFormat="1">
      <c r="B66" s="1283" t="str">
        <f>INPUTS!C29</f>
        <v>Cows (high productive)</v>
      </c>
      <c r="C66" s="45">
        <f>'Livestock parameters'!B10</f>
        <v>600</v>
      </c>
      <c r="D66" s="82">
        <f>VLOOKUP(VLOOKUP(B66,'Livestock parameters'!$A$20:$AO$35,41,FALSE),'GHG Parameters'!$A$99:$D$103,MATCH(INPUTS!$E$3,'GHG Parameters'!$A$99:$D$99,0),FALSE)</f>
        <v>0.48</v>
      </c>
      <c r="E66" s="47">
        <f t="shared" si="10"/>
        <v>105.11999999999999</v>
      </c>
      <c r="F66" s="44">
        <f>E66*INPUTS!D29</f>
        <v>210.23999999999998</v>
      </c>
    </row>
    <row r="67" spans="1:12" s="1237" customFormat="1">
      <c r="B67" s="1283">
        <f>INPUTS!C30</f>
        <v>0</v>
      </c>
      <c r="C67" s="45">
        <f>'Livestock parameters'!B11</f>
        <v>0</v>
      </c>
      <c r="D67" s="82" t="e">
        <f>VLOOKUP(VLOOKUP(B67,'Livestock parameters'!$A$20:$AO$35,41,FALSE),'GHG Parameters'!$A$99:$D$103,MATCH(INPUTS!$E$3,'GHG Parameters'!$A$99:$D$99,0),FALSE)</f>
        <v>#N/A</v>
      </c>
      <c r="E67" s="47" t="e">
        <f t="shared" ref="E67:E68" si="11">D67*(C67/1000)*365</f>
        <v>#N/A</v>
      </c>
      <c r="F67" s="44" t="e">
        <f>E67*INPUTS!D30</f>
        <v>#N/A</v>
      </c>
    </row>
    <row r="68" spans="1:12" s="1237" customFormat="1">
      <c r="B68" s="1283">
        <f>INPUTS!C31</f>
        <v>0</v>
      </c>
      <c r="C68" s="45">
        <f>'Livestock parameters'!B12</f>
        <v>0</v>
      </c>
      <c r="D68" s="82" t="e">
        <f>VLOOKUP(VLOOKUP(B68,'Livestock parameters'!$A$20:$AO$35,41,FALSE),'GHG Parameters'!$A$99:$D$103,MATCH(INPUTS!$E$3,'GHG Parameters'!$A$99:$D$99,0),FALSE)</f>
        <v>#N/A</v>
      </c>
      <c r="E68" s="47" t="e">
        <f t="shared" si="11"/>
        <v>#N/A</v>
      </c>
      <c r="F68" s="44" t="e">
        <f>E68*INPUTS!D31</f>
        <v>#N/A</v>
      </c>
    </row>
    <row r="69" spans="1:12" s="1144" customFormat="1">
      <c r="B69" s="1283">
        <f>INPUTS!C32</f>
        <v>0</v>
      </c>
      <c r="C69" s="45">
        <f>'Livestock parameters'!B13</f>
        <v>0</v>
      </c>
      <c r="D69" s="82" t="e">
        <f>VLOOKUP(VLOOKUP(B69,'Livestock parameters'!$A$20:$AO$35,41,FALSE),'GHG Parameters'!$A$99:$D$103,MATCH(INPUTS!$E$3,'GHG Parameters'!$A$99:$D$99,0),FALSE)</f>
        <v>#N/A</v>
      </c>
      <c r="E69" s="47" t="e">
        <f t="shared" si="10"/>
        <v>#N/A</v>
      </c>
      <c r="F69" s="44" t="e">
        <f>E69*INPUTS!D32</f>
        <v>#N/A</v>
      </c>
    </row>
    <row r="70" spans="1:12" s="1144" customFormat="1">
      <c r="B70" s="1283">
        <f>INPUTS!C33</f>
        <v>0</v>
      </c>
      <c r="C70" s="45">
        <f>'Livestock parameters'!B14</f>
        <v>0</v>
      </c>
      <c r="D70" s="82" t="e">
        <f>VLOOKUP(VLOOKUP(B70,'Livestock parameters'!$A$20:$AO$35,41,FALSE),'GHG Parameters'!$A$99:$D$103,MATCH(INPUTS!$E$3,'GHG Parameters'!$A$99:$D$99,0),FALSE)</f>
        <v>#N/A</v>
      </c>
      <c r="E70" s="47" t="e">
        <f t="shared" si="10"/>
        <v>#N/A</v>
      </c>
      <c r="F70" s="44" t="e">
        <f>E70*INPUTS!D33</f>
        <v>#N/A</v>
      </c>
    </row>
    <row r="71" spans="1:12">
      <c r="B71" s="1283">
        <f>INPUTS!C34</f>
        <v>0</v>
      </c>
      <c r="C71" s="45">
        <f>'Livestock parameters'!B15</f>
        <v>0</v>
      </c>
      <c r="D71" s="82" t="e">
        <f>VLOOKUP(VLOOKUP(B71,'Livestock parameters'!$A$20:$AO$35,41,FALSE),'GHG Parameters'!$A$99:$D$103,MATCH(INPUTS!$E$3,'GHG Parameters'!$A$99:$D$99,0),FALSE)</f>
        <v>#N/A</v>
      </c>
      <c r="E71" s="47" t="e">
        <f t="shared" si="10"/>
        <v>#N/A</v>
      </c>
      <c r="F71" s="44" t="e">
        <f>E71*INPUTS!D34</f>
        <v>#N/A</v>
      </c>
    </row>
    <row r="73" spans="1:12">
      <c r="A73" s="1" t="s">
        <v>105</v>
      </c>
    </row>
    <row r="74" spans="1:12">
      <c r="A74" s="5" t="s">
        <v>103</v>
      </c>
    </row>
    <row r="75" spans="1:12">
      <c r="B75" s="26" t="s">
        <v>172</v>
      </c>
      <c r="C75" s="21"/>
      <c r="D75" s="21"/>
      <c r="E75" s="21" t="s">
        <v>364</v>
      </c>
      <c r="F75" s="1085" t="s">
        <v>1658</v>
      </c>
      <c r="G75" s="21" t="s">
        <v>362</v>
      </c>
    </row>
    <row r="76" spans="1:12" s="10" customFormat="1" ht="47.25">
      <c r="B76" s="36" t="s">
        <v>258</v>
      </c>
      <c r="C76" s="24" t="s">
        <v>1330</v>
      </c>
      <c r="D76" s="24" t="s">
        <v>359</v>
      </c>
      <c r="E76" s="24" t="s">
        <v>1332</v>
      </c>
      <c r="F76" s="24" t="s">
        <v>424</v>
      </c>
      <c r="G76" s="31" t="s">
        <v>363</v>
      </c>
    </row>
    <row r="77" spans="1:12" ht="31.5">
      <c r="B77" s="36"/>
      <c r="C77" s="24" t="s">
        <v>1322</v>
      </c>
      <c r="D77" s="24" t="s">
        <v>358</v>
      </c>
      <c r="E77" s="24" t="s">
        <v>1331</v>
      </c>
      <c r="F77" s="24" t="s">
        <v>423</v>
      </c>
      <c r="G77" s="31" t="s">
        <v>1323</v>
      </c>
    </row>
    <row r="78" spans="1:12" ht="28.5" customHeight="1">
      <c r="B78" s="36"/>
      <c r="C78" s="24"/>
      <c r="D78" s="24"/>
      <c r="E78" s="24" t="s">
        <v>357</v>
      </c>
      <c r="F78" s="24" t="s">
        <v>1657</v>
      </c>
      <c r="G78" s="28" t="s">
        <v>425</v>
      </c>
    </row>
    <row r="79" spans="1:12">
      <c r="B79" s="26" t="s">
        <v>143</v>
      </c>
      <c r="C79" s="24" t="s">
        <v>89</v>
      </c>
      <c r="D79" s="24" t="s">
        <v>356</v>
      </c>
      <c r="E79" s="24" t="s">
        <v>361</v>
      </c>
      <c r="F79" s="24" t="s">
        <v>1325</v>
      </c>
      <c r="G79" s="31" t="s">
        <v>360</v>
      </c>
    </row>
    <row r="80" spans="1:12">
      <c r="B80" s="156" t="str">
        <f>INPUTS!C21</f>
        <v>Cows (local)</v>
      </c>
      <c r="C80" s="68">
        <f>'GHG Ent fermentation'!C31</f>
        <v>123.6096058048218</v>
      </c>
      <c r="D80" s="68">
        <f>Feed!W8</f>
        <v>7.433122206702885</v>
      </c>
      <c r="E80" s="1084">
        <f>IFERROR((C80/18.45)*((D80/100)/6.25),"")</f>
        <v>7.9679592920941858E-2</v>
      </c>
      <c r="F80" s="1084">
        <f>IFERROR(((((INPUTS!E21*0.034/6.38)+(INPUTS!F21*(268-(7*16))/6250))*INPUTS!D21/365)/E80),"")</f>
        <v>0.18323914945381217</v>
      </c>
      <c r="G80" s="69">
        <f>IFERROR(E80*(1-(F80))*365,"")</f>
        <v>23.753897811128105</v>
      </c>
      <c r="I80" s="1075"/>
      <c r="J80" s="1075"/>
      <c r="K80" s="1075"/>
      <c r="L80" s="1075"/>
    </row>
    <row r="81" spans="1:19">
      <c r="B81" s="156" t="str">
        <f>INPUTS!C22</f>
        <v>Cows (improved)</v>
      </c>
      <c r="C81" s="68">
        <f>'GHG Ent fermentation'!C32</f>
        <v>147.56910545209729</v>
      </c>
      <c r="D81" s="68">
        <f>Feed!W15</f>
        <v>7.433122206702885</v>
      </c>
      <c r="E81" s="1084">
        <f t="shared" ref="E81:E93" si="12">IFERROR((C81/18.45)*((D81/100)/6.25),"")</f>
        <v>9.5124049410017508E-2</v>
      </c>
      <c r="F81" s="1084">
        <f>IFERROR(((((INPUTS!E22*0.034/6.38)+(INPUTS!F22*(268-(7*16))/6250))*INPUTS!D22/365)/E81),"")</f>
        <v>0.23023232704370888</v>
      </c>
      <c r="G81" s="69">
        <f t="shared" ref="G81:G93" si="13">IFERROR(E81*(1-(F81))*365,"")</f>
        <v>26.726547627132877</v>
      </c>
      <c r="I81" s="1075"/>
      <c r="J81" s="1075"/>
      <c r="K81" s="1075"/>
      <c r="L81" s="1075"/>
    </row>
    <row r="82" spans="1:19">
      <c r="B82" s="156" t="str">
        <f>INPUTS!C23</f>
        <v>Adult cattle - male</v>
      </c>
      <c r="C82" s="68">
        <f>'GHG Ent fermentation'!C33</f>
        <v>127.53655052638648</v>
      </c>
      <c r="D82" s="68">
        <f>Feed!W22</f>
        <v>7.433122206702885</v>
      </c>
      <c r="E82" s="1084">
        <f t="shared" si="12"/>
        <v>8.2210928206739767E-2</v>
      </c>
      <c r="F82" s="1084">
        <f>IFERROR(((((INPUTS!E23*0.034/6.38)+(INPUTS!F23*(268-(7*16))/6250))*INPUTS!D23/365)/E82),"")</f>
        <v>0</v>
      </c>
      <c r="G82" s="69">
        <f t="shared" si="13"/>
        <v>30.006988795460014</v>
      </c>
      <c r="I82" s="1075"/>
      <c r="J82" s="1075"/>
      <c r="K82" s="1075"/>
      <c r="L82" s="1075"/>
    </row>
    <row r="83" spans="1:19">
      <c r="B83" s="156" t="str">
        <f>INPUTS!C24</f>
        <v>Calves</v>
      </c>
      <c r="C83" s="68">
        <f>'GHG Ent fermentation'!C34</f>
        <v>31.674429560288104</v>
      </c>
      <c r="D83" s="68">
        <f>Feed!W29</f>
        <v>7.433122206702885</v>
      </c>
      <c r="E83" s="1084">
        <f t="shared" si="12"/>
        <v>2.0417552802100714E-2</v>
      </c>
      <c r="F83" s="1084">
        <f>IFERROR(((((INPUTS!E24*0.034/6.38)+(INPUTS!F24*(268-(7*16))/6250))*INPUTS!D24/365)/E83),"")</f>
        <v>0.37176714643709785</v>
      </c>
      <c r="G83" s="69">
        <f t="shared" si="13"/>
        <v>4.6818467727667601</v>
      </c>
      <c r="I83" s="1075"/>
      <c r="J83" s="1075"/>
      <c r="K83" s="1075"/>
      <c r="L83" s="1075"/>
    </row>
    <row r="84" spans="1:19">
      <c r="B84" s="156" t="str">
        <f>INPUTS!C25</f>
        <v>Buffalo (dairy)</v>
      </c>
      <c r="C84" s="68">
        <f>'GHG Ent fermentation'!C35</f>
        <v>145.87863218374113</v>
      </c>
      <c r="D84" s="68">
        <f>Feed!W36</f>
        <v>7.433122206702885</v>
      </c>
      <c r="E84" s="1084">
        <f t="shared" si="12"/>
        <v>9.4034358839536772E-2</v>
      </c>
      <c r="F84" s="1084">
        <f>IFERROR(((((INPUTS!E25*0.034/6.38)+(INPUTS!F25*(268-(7*16))/6250))*INPUTS!D25/365)/E84),"")</f>
        <v>0.23290030924612362</v>
      </c>
      <c r="G84" s="69">
        <f t="shared" si="13"/>
        <v>26.328810568907411</v>
      </c>
      <c r="I84" s="1075"/>
      <c r="J84" s="1075"/>
      <c r="K84" s="1075"/>
      <c r="L84" s="1075"/>
    </row>
    <row r="85" spans="1:19">
      <c r="B85" s="156" t="str">
        <f>INPUTS!C26</f>
        <v>Sheep/Goats - Ewes/Does</v>
      </c>
      <c r="C85" s="68">
        <f>'GHG Ent fermentation'!C36</f>
        <v>26.899094845398707</v>
      </c>
      <c r="D85" s="68">
        <f>Feed!W43</f>
        <v>7.433122206702885</v>
      </c>
      <c r="E85" s="1084">
        <f t="shared" si="12"/>
        <v>1.7339339554301593E-2</v>
      </c>
      <c r="F85" s="1084">
        <f>IFERROR(((((INPUTS!E26*0.034/6.38)+(INPUTS!F26*(268-(7*16))/6250))*INPUTS!D26/365)/E85),"")</f>
        <v>0</v>
      </c>
      <c r="G85" s="69">
        <f t="shared" si="13"/>
        <v>6.3288589373200814</v>
      </c>
      <c r="I85" s="1075"/>
      <c r="J85" s="1075"/>
      <c r="K85" s="1075"/>
      <c r="L85" s="1075"/>
    </row>
    <row r="86" spans="1:19">
      <c r="B86" s="156" t="str">
        <f>INPUTS!C27</f>
        <v>Pigs - lactating/pregnant sows</v>
      </c>
      <c r="C86" s="68">
        <f>'GHG Ent fermentation'!C37</f>
        <v>73.113074663079246</v>
      </c>
      <c r="D86" s="68">
        <f>Feed!W50</f>
        <v>7.433122206702885</v>
      </c>
      <c r="E86" s="1084">
        <f t="shared" si="12"/>
        <v>4.7129185376993864E-2</v>
      </c>
      <c r="F86" s="1084">
        <f>IFERROR(((((INPUTS!E27*0.034/6.38)+(INPUTS!F27*(268-(7*16))/6250))*INPUTS!D27/365)/E86),"")</f>
        <v>0</v>
      </c>
      <c r="G86" s="69">
        <f t="shared" si="13"/>
        <v>17.20215266260276</v>
      </c>
      <c r="I86" s="1075"/>
      <c r="J86" s="1075"/>
      <c r="K86" s="1075"/>
      <c r="L86" s="1075"/>
    </row>
    <row r="87" spans="1:19">
      <c r="B87" s="156" t="str">
        <f>INPUTS!C28</f>
        <v>Calves</v>
      </c>
      <c r="C87" s="68">
        <f>'GHG Ent fermentation'!C38</f>
        <v>90.103131823078257</v>
      </c>
      <c r="D87" s="68">
        <f>Feed!W57</f>
        <v>7.433122206702885</v>
      </c>
      <c r="E87" s="1084">
        <f t="shared" si="12"/>
        <v>5.8081091819846116E-2</v>
      </c>
      <c r="F87" s="1084">
        <f>IFERROR(((((INPUTS!E28*0.034/6.38)+(INPUTS!F28*(268-(7*16))/6250))*INPUTS!D28/365)/E87),"")</f>
        <v>0</v>
      </c>
      <c r="G87" s="69">
        <f t="shared" si="13"/>
        <v>21.199598514243831</v>
      </c>
      <c r="H87" s="63"/>
      <c r="I87" s="1075"/>
      <c r="J87" s="1075"/>
      <c r="K87" s="1075"/>
      <c r="L87" s="1075"/>
    </row>
    <row r="88" spans="1:19" s="1136" customFormat="1">
      <c r="B88" s="156" t="str">
        <f>INPUTS!C29</f>
        <v>Cows (high productive)</v>
      </c>
      <c r="C88" s="68">
        <f>'GHG Ent fermentation'!C39</f>
        <v>347.9698533903474</v>
      </c>
      <c r="D88" s="68">
        <f>Feed!W64</f>
        <v>7.433122206702885</v>
      </c>
      <c r="E88" s="1084">
        <f t="shared" si="12"/>
        <v>0.22430373502429821</v>
      </c>
      <c r="F88" s="1084">
        <f>IFERROR(((((INPUTS!E29*0.034/6.38)+(INPUTS!F29*(268-(7*16))/6250))*INPUTS!D29/365)/E88),"")</f>
        <v>0.52073750208672209</v>
      </c>
      <c r="G88" s="69">
        <f t="shared" si="13"/>
        <v>39.237634443743453</v>
      </c>
      <c r="H88" s="63"/>
      <c r="I88" s="1075"/>
      <c r="J88" s="1075"/>
      <c r="K88" s="1075"/>
      <c r="L88" s="1075"/>
    </row>
    <row r="89" spans="1:19" s="1237" customFormat="1">
      <c r="B89" s="156">
        <f>INPUTS!C30</f>
        <v>0</v>
      </c>
      <c r="C89" s="68">
        <f>'GHG Ent fermentation'!C40</f>
        <v>0</v>
      </c>
      <c r="D89" s="68">
        <f>Feed!W71</f>
        <v>7.433122206702885</v>
      </c>
      <c r="E89" s="1084">
        <f t="shared" ref="E89:E90" si="14">IFERROR((C89/18.45)*((D89/100)/6.25),"")</f>
        <v>0</v>
      </c>
      <c r="F89" s="1084" t="str">
        <f>IFERROR(((((INPUTS!E30*0.034/6.38)+(INPUTS!F30*(268-(7*16))/6250))*INPUTS!D30/365)/E89),"")</f>
        <v/>
      </c>
      <c r="G89" s="69" t="str">
        <f t="shared" ref="G89:G90" si="15">IFERROR(E89*(1-(F89))*365,"")</f>
        <v/>
      </c>
      <c r="H89" s="1236"/>
      <c r="I89" s="1075"/>
      <c r="J89" s="1075"/>
      <c r="K89" s="1075"/>
      <c r="L89" s="1075"/>
    </row>
    <row r="90" spans="1:19" s="1237" customFormat="1">
      <c r="B90" s="156">
        <f>INPUTS!C31</f>
        <v>0</v>
      </c>
      <c r="C90" s="68">
        <f>'GHG Ent fermentation'!C41</f>
        <v>0</v>
      </c>
      <c r="D90" s="68">
        <f>Feed!W78</f>
        <v>7.433122206702885</v>
      </c>
      <c r="E90" s="1084">
        <f t="shared" si="14"/>
        <v>0</v>
      </c>
      <c r="F90" s="1084" t="str">
        <f>IFERROR(((((INPUTS!E31*0.034/6.38)+(INPUTS!F31*(268-(7*16))/6250))*INPUTS!D31/365)/E90),"")</f>
        <v/>
      </c>
      <c r="G90" s="69" t="str">
        <f t="shared" si="15"/>
        <v/>
      </c>
      <c r="H90" s="1236"/>
      <c r="I90" s="1075"/>
      <c r="J90" s="1075"/>
      <c r="K90" s="1075"/>
      <c r="L90" s="1075"/>
    </row>
    <row r="91" spans="1:19" s="1144" customFormat="1">
      <c r="B91" s="156">
        <f>INPUTS!C32</f>
        <v>0</v>
      </c>
      <c r="C91" s="68">
        <f>'GHG Ent fermentation'!C42</f>
        <v>0</v>
      </c>
      <c r="D91" s="68">
        <f>Feed!W85</f>
        <v>7.433122206702885</v>
      </c>
      <c r="E91" s="1084">
        <f t="shared" si="12"/>
        <v>0</v>
      </c>
      <c r="F91" s="1084" t="str">
        <f>IFERROR(((((INPUTS!E32*0.034/6.38)+(INPUTS!F32*(268-(7*16))/6250))*INPUTS!D32/365)/E91),"")</f>
        <v/>
      </c>
      <c r="G91" s="69" t="str">
        <f t="shared" si="13"/>
        <v/>
      </c>
      <c r="H91" s="63"/>
      <c r="I91" s="1075"/>
      <c r="J91" s="1075"/>
      <c r="K91" s="1075"/>
      <c r="L91" s="1075"/>
    </row>
    <row r="92" spans="1:19" s="1144" customFormat="1">
      <c r="B92" s="156">
        <f>INPUTS!C33</f>
        <v>0</v>
      </c>
      <c r="C92" s="68">
        <f>'GHG Ent fermentation'!C43</f>
        <v>0</v>
      </c>
      <c r="D92" s="68">
        <f>Feed!W92</f>
        <v>7.433122206702885</v>
      </c>
      <c r="E92" s="1084">
        <f t="shared" si="12"/>
        <v>0</v>
      </c>
      <c r="F92" s="1084" t="str">
        <f>IFERROR(((((INPUTS!E33*0.034/6.38)+(INPUTS!F33*(268-(7*16))/6250))*INPUTS!D33/365)/E92),"")</f>
        <v/>
      </c>
      <c r="G92" s="69" t="str">
        <f t="shared" si="13"/>
        <v/>
      </c>
      <c r="H92" s="63"/>
      <c r="I92" s="1075"/>
      <c r="J92" s="1075"/>
      <c r="K92" s="1075"/>
      <c r="L92" s="1075"/>
    </row>
    <row r="93" spans="1:19">
      <c r="B93" s="156">
        <f>INPUTS!C34</f>
        <v>0</v>
      </c>
      <c r="C93" s="68">
        <f>'GHG Ent fermentation'!C44</f>
        <v>0</v>
      </c>
      <c r="D93" s="68">
        <f>Feed!W99</f>
        <v>7.433122206702885</v>
      </c>
      <c r="E93" s="1084">
        <f t="shared" si="12"/>
        <v>0</v>
      </c>
      <c r="F93" s="1084" t="str">
        <f>IFERROR(((((INPUTS!E34*0.034/6.38)+(INPUTS!F34*(268-(7*16))/6250))*INPUTS!D34/365)/E93),"")</f>
        <v/>
      </c>
      <c r="G93" s="69" t="str">
        <f t="shared" si="13"/>
        <v/>
      </c>
      <c r="I93" s="1075"/>
      <c r="J93" s="1075"/>
      <c r="K93" s="1075"/>
      <c r="L93" s="1075"/>
    </row>
    <row r="95" spans="1:19">
      <c r="A95" s="6" t="s">
        <v>108</v>
      </c>
      <c r="P95" s="8"/>
      <c r="Q95" s="7"/>
      <c r="R95" s="8"/>
      <c r="S95" s="7"/>
    </row>
    <row r="96" spans="1:19">
      <c r="A96" s="1" t="s">
        <v>109</v>
      </c>
      <c r="F96" t="s">
        <v>106</v>
      </c>
      <c r="P96" s="8"/>
      <c r="Q96" s="7"/>
      <c r="R96" s="8"/>
      <c r="S96" s="7"/>
    </row>
    <row r="97" spans="1:19">
      <c r="A97" t="s">
        <v>110</v>
      </c>
      <c r="F97" t="s">
        <v>107</v>
      </c>
      <c r="P97" s="8"/>
      <c r="Q97" s="7"/>
      <c r="R97" s="8"/>
      <c r="S97" s="7"/>
    </row>
    <row r="98" spans="1:19">
      <c r="A98" t="s">
        <v>111</v>
      </c>
    </row>
    <row r="99" spans="1:19">
      <c r="A99" t="s">
        <v>112</v>
      </c>
    </row>
    <row r="100" spans="1:19">
      <c r="A100" t="s">
        <v>113</v>
      </c>
      <c r="G100" s="51"/>
    </row>
    <row r="101" spans="1:19">
      <c r="A101" s="5"/>
    </row>
    <row r="102" spans="1:19">
      <c r="A102" s="5"/>
      <c r="B102" s="23" t="s">
        <v>254</v>
      </c>
      <c r="C102" s="67"/>
      <c r="D102" s="67"/>
      <c r="E102" s="67" t="s">
        <v>407</v>
      </c>
      <c r="F102" s="67"/>
      <c r="G102" s="67" t="s">
        <v>406</v>
      </c>
      <c r="H102" s="67"/>
      <c r="I102" s="46" t="s">
        <v>814</v>
      </c>
      <c r="J102" s="67" t="s">
        <v>815</v>
      </c>
      <c r="L102" s="172" t="s">
        <v>904</v>
      </c>
    </row>
    <row r="103" spans="1:19">
      <c r="A103" s="11"/>
      <c r="B103" s="1535" t="s">
        <v>258</v>
      </c>
      <c r="C103" s="1462" t="s">
        <v>1328</v>
      </c>
      <c r="D103" s="1464"/>
      <c r="E103" s="1531" t="s">
        <v>956</v>
      </c>
      <c r="F103" s="1533"/>
      <c r="G103" s="1531" t="s">
        <v>956</v>
      </c>
      <c r="H103" s="1533"/>
      <c r="I103" s="24" t="s">
        <v>396</v>
      </c>
      <c r="J103" s="31" t="s">
        <v>396</v>
      </c>
      <c r="L103" s="211" t="s">
        <v>398</v>
      </c>
      <c r="M103" s="1061"/>
    </row>
    <row r="104" spans="1:19">
      <c r="B104" s="1588"/>
      <c r="C104" s="1577" t="s">
        <v>394</v>
      </c>
      <c r="D104" s="1578"/>
      <c r="E104" s="1531" t="s">
        <v>399</v>
      </c>
      <c r="F104" s="1533"/>
      <c r="G104" s="1531" t="s">
        <v>399</v>
      </c>
      <c r="H104" s="1533"/>
      <c r="I104" s="24" t="s">
        <v>257</v>
      </c>
      <c r="J104" s="31" t="s">
        <v>257</v>
      </c>
      <c r="L104" s="211" t="s">
        <v>399</v>
      </c>
      <c r="M104" s="1061"/>
    </row>
    <row r="105" spans="1:19" ht="47.25" customHeight="1">
      <c r="B105" s="1589"/>
      <c r="C105" s="92" t="s">
        <v>393</v>
      </c>
      <c r="D105" s="27" t="s">
        <v>393</v>
      </c>
      <c r="E105" s="1564" t="s">
        <v>409</v>
      </c>
      <c r="F105" s="1565"/>
      <c r="G105" s="1564" t="s">
        <v>408</v>
      </c>
      <c r="H105" s="1565"/>
      <c r="I105" s="24" t="s">
        <v>397</v>
      </c>
      <c r="J105" s="31" t="s">
        <v>397</v>
      </c>
      <c r="L105" s="1062" t="s">
        <v>408</v>
      </c>
      <c r="M105" s="1063"/>
    </row>
    <row r="106" spans="1:19" ht="15.75" customHeight="1">
      <c r="B106" s="49" t="s">
        <v>143</v>
      </c>
      <c r="C106" s="14" t="str">
        <f>INPUTS!D37</f>
        <v>solid storage</v>
      </c>
      <c r="D106" s="14" t="str">
        <f>INPUTS!D38</f>
        <v xml:space="preserve">dry lot </v>
      </c>
      <c r="E106" s="14" t="str">
        <f>INPUTS!D37</f>
        <v>solid storage</v>
      </c>
      <c r="F106" s="14" t="str">
        <f>INPUTS!D38</f>
        <v xml:space="preserve">dry lot </v>
      </c>
      <c r="G106" s="14" t="str">
        <f>INPUTS!D37</f>
        <v>solid storage</v>
      </c>
      <c r="H106" s="14" t="str">
        <f>INPUTS!D38</f>
        <v xml:space="preserve">dry lot </v>
      </c>
      <c r="I106" s="52" t="s">
        <v>395</v>
      </c>
      <c r="J106" s="48" t="s">
        <v>395</v>
      </c>
    </row>
    <row r="107" spans="1:19">
      <c r="B107" s="156" t="str">
        <f>INPUTS!C21</f>
        <v>Cows (local)</v>
      </c>
      <c r="C107" s="131">
        <f>VLOOKUP(C$106,'GHG Parameters'!A$110:B$112, 2,FALSE)</f>
        <v>5.0000000000000001E-3</v>
      </c>
      <c r="D107" s="131">
        <f>VLOOKUP(D$106,'GHG Parameters'!A$110:B$112,2,FALSE)</f>
        <v>0.02</v>
      </c>
      <c r="E107" s="68">
        <f>'GHG Manure'!E58*INPUTS!H21*C107</f>
        <v>0.26060999999999995</v>
      </c>
      <c r="F107" s="68">
        <f>'GHG Manure'!E58*INPUTS!I21*D107</f>
        <v>0</v>
      </c>
      <c r="G107" s="61">
        <f>IFERROR('GHG Manure'!G80*INPUTS!H21*C107,"")</f>
        <v>0.10095406569729445</v>
      </c>
      <c r="H107" s="61">
        <f>IFERROR(IFERROR('GHG Manure'!G80*INPUTS!I21*D107,"")/INPUTS!D21,0)</f>
        <v>0</v>
      </c>
      <c r="I107" s="68">
        <f>SUM(E107:F107)*(44/28)*INPUTS!D21</f>
        <v>0.40952999999999989</v>
      </c>
      <c r="J107" s="66">
        <f>SUM(G107:H107)*(44/28)*INPUTS!D21</f>
        <v>0.15864210323860556</v>
      </c>
    </row>
    <row r="108" spans="1:19">
      <c r="B108" s="156" t="str">
        <f>INPUTS!C22</f>
        <v>Cows (improved)</v>
      </c>
      <c r="C108" s="131">
        <f>VLOOKUP(C$106,'GHG Parameters'!A$110:B$112, 2,FALSE)</f>
        <v>5.0000000000000001E-3</v>
      </c>
      <c r="D108" s="131">
        <f>VLOOKUP(D$106,'GHG Parameters'!A$110:B$112,2,FALSE)</f>
        <v>0.02</v>
      </c>
      <c r="E108" s="68">
        <f>'GHG Manure'!E59*INPUTS!H22*C108</f>
        <v>0.33506999999999998</v>
      </c>
      <c r="F108" s="68">
        <f>'GHG Manure'!E59*INPUTS!I22*D108</f>
        <v>0</v>
      </c>
      <c r="G108" s="61">
        <f>IFERROR('GHG Manure'!G81*INPUTS!H22*C108,"")</f>
        <v>0.11358782741531473</v>
      </c>
      <c r="H108" s="61">
        <f>IFERROR(IFERROR('GHG Manure'!G81*INPUTS!I22*D108,"")/INPUTS!D22,0)</f>
        <v>0</v>
      </c>
      <c r="I108" s="68">
        <f>SUM(E108:F108)*(44/28)*INPUTS!D22</f>
        <v>0.52653857142857141</v>
      </c>
      <c r="J108" s="66">
        <f>SUM(G108:H108)*(44/28)*INPUTS!D22</f>
        <v>0.17849515736692315</v>
      </c>
    </row>
    <row r="109" spans="1:19">
      <c r="B109" s="156" t="str">
        <f>INPUTS!C23</f>
        <v>Adult cattle - male</v>
      </c>
      <c r="C109" s="131">
        <f>VLOOKUP(C$106,'GHG Parameters'!A$110:B$112, 2,FALSE)</f>
        <v>5.0000000000000001E-3</v>
      </c>
      <c r="D109" s="131">
        <f>VLOOKUP(D$106,'GHG Parameters'!A$110:B$112,2,FALSE)</f>
        <v>0.02</v>
      </c>
      <c r="E109" s="68">
        <f>'GHG Manure'!E60*INPUTS!H23*C109</f>
        <v>0.27010000000000001</v>
      </c>
      <c r="F109" s="68">
        <f>'GHG Manure'!E60*INPUTS!I23*D109</f>
        <v>0</v>
      </c>
      <c r="G109" s="61">
        <f>IFERROR('GHG Manure'!G82*INPUTS!H23*C109,"")</f>
        <v>0.15003494397730008</v>
      </c>
      <c r="H109" s="61">
        <f>IFERROR(IFERROR('GHG Manure'!G82*INPUTS!I23*D109,"")/INPUTS!D23,0)</f>
        <v>0</v>
      </c>
      <c r="I109" s="68">
        <f>SUM(E109:F109)*(44/28)*INPUTS!D23</f>
        <v>0.42444285714285712</v>
      </c>
      <c r="J109" s="66">
        <f>SUM(G109:H109)*(44/28)*INPUTS!D23</f>
        <v>0.2357691976786144</v>
      </c>
    </row>
    <row r="110" spans="1:19">
      <c r="B110" s="156" t="str">
        <f>INPUTS!C24</f>
        <v>Calves</v>
      </c>
      <c r="C110" s="131">
        <f>VLOOKUP(C$106,'GHG Parameters'!A$110:B$112, 2,FALSE)</f>
        <v>5.0000000000000001E-3</v>
      </c>
      <c r="D110" s="131">
        <f>VLOOKUP(D$106,'GHG Parameters'!A$110:B$112,2,FALSE)</f>
        <v>0.02</v>
      </c>
      <c r="E110" s="68">
        <f>'GHG Manure'!E61*INPUTS!H24*C110</f>
        <v>4.0177375000000008E-2</v>
      </c>
      <c r="F110" s="68">
        <f>'GHG Manure'!E61*INPUTS!I24*D110</f>
        <v>0</v>
      </c>
      <c r="G110" s="61">
        <f>IFERROR('GHG Manure'!G83*INPUTS!H24*C110,"")</f>
        <v>1.989784878425873E-2</v>
      </c>
      <c r="H110" s="61">
        <f>IFERROR(IFERROR('GHG Manure'!G83*INPUTS!I24*D110,"")/INPUTS!D24,0)</f>
        <v>0</v>
      </c>
      <c r="I110" s="68">
        <f>SUM(E110:F110)*(44/28)*INPUTS!D24</f>
        <v>6.3135875000000008E-2</v>
      </c>
      <c r="J110" s="66">
        <f>SUM(G110:H110)*(44/28)*INPUTS!D24</f>
        <v>3.126804808954943E-2</v>
      </c>
    </row>
    <row r="111" spans="1:19">
      <c r="B111" s="156" t="str">
        <f>INPUTS!C25</f>
        <v>Buffalo (dairy)</v>
      </c>
      <c r="C111" s="131">
        <f>VLOOKUP(C$106,'GHG Parameters'!A$110:B$112, 2,FALSE)</f>
        <v>5.0000000000000001E-3</v>
      </c>
      <c r="D111" s="131">
        <f>VLOOKUP(D$106,'GHG Parameters'!A$110:B$112,2,FALSE)</f>
        <v>0.02</v>
      </c>
      <c r="E111" s="68">
        <f>'GHG Manure'!E62*INPUTS!H25*C111</f>
        <v>0.258283125</v>
      </c>
      <c r="F111" s="68">
        <f>'GHG Manure'!E62*INPUTS!I25*D111</f>
        <v>0</v>
      </c>
      <c r="G111" s="61">
        <f>IFERROR('GHG Manure'!G84*INPUTS!H25*C111,"")</f>
        <v>0.1118974449178565</v>
      </c>
      <c r="H111" s="61">
        <f>IFERROR(IFERROR('GHG Manure'!G84*INPUTS!I25*D111,"")/INPUTS!D25,0)</f>
        <v>0</v>
      </c>
      <c r="I111" s="68">
        <f>SUM(E111:F111)*(44/28)*INPUTS!D25</f>
        <v>0.40587348214285712</v>
      </c>
      <c r="J111" s="66">
        <f>SUM(G111:H111)*(44/28)*INPUTS!D25</f>
        <v>0.1758388420137745</v>
      </c>
    </row>
    <row r="112" spans="1:19">
      <c r="B112" s="156" t="str">
        <f>INPUTS!C26</f>
        <v>Sheep/Goats - Ewes/Does</v>
      </c>
      <c r="C112" s="131">
        <f>VLOOKUP(C$106,'GHG Parameters'!A$110:B$112, 2,FALSE)</f>
        <v>5.0000000000000001E-3</v>
      </c>
      <c r="D112" s="131">
        <f>VLOOKUP(D$106,'GHG Parameters'!A$110:B$112,2,FALSE)</f>
        <v>0.02</v>
      </c>
      <c r="E112" s="68">
        <f>'GHG Manure'!E63*INPUTS!H26*C112</f>
        <v>5.4448875000000001E-2</v>
      </c>
      <c r="F112" s="68">
        <f>'GHG Manure'!E63*INPUTS!I26*D112</f>
        <v>0</v>
      </c>
      <c r="G112" s="61">
        <f>IFERROR('GHG Manure'!G85*INPUTS!H26*C112,"")</f>
        <v>2.6897650483610348E-2</v>
      </c>
      <c r="H112" s="61">
        <f>IFERROR(IFERROR('GHG Manure'!G85*INPUTS!I26*D112,"")/INPUTS!D26,0)</f>
        <v>0</v>
      </c>
      <c r="I112" s="68">
        <f>SUM(E112:F112)*(44/28)*INPUTS!D26</f>
        <v>8.5562517857142861E-2</v>
      </c>
      <c r="J112" s="66">
        <f>SUM(G112:H112)*(44/28)*INPUTS!D26</f>
        <v>4.2267736474244831E-2</v>
      </c>
    </row>
    <row r="113" spans="1:13">
      <c r="B113" s="156" t="str">
        <f>INPUTS!C27</f>
        <v>Pigs - lactating/pregnant sows</v>
      </c>
      <c r="C113" s="131">
        <f>VLOOKUP(C$106,'GHG Parameters'!A$110:B$112, 2,FALSE)</f>
        <v>5.0000000000000001E-3</v>
      </c>
      <c r="D113" s="131">
        <f>VLOOKUP(D$106,'GHG Parameters'!A$110:B$112,2,FALSE)</f>
        <v>0.02</v>
      </c>
      <c r="E113" s="68">
        <f>'GHG Manure'!E64*INPUTS!H27*C113</f>
        <v>0.50880999999999998</v>
      </c>
      <c r="F113" s="68">
        <f>'GHG Manure'!E64*INPUTS!I27*D113</f>
        <v>0</v>
      </c>
      <c r="G113" s="61">
        <f>IFERROR('GHG Manure'!G86*INPUTS!H27*C113,"")</f>
        <v>7.3109148816061731E-2</v>
      </c>
      <c r="H113" s="61">
        <f>IFERROR(IFERROR('GHG Manure'!G86*INPUTS!I27*D113,"")/INPUTS!D27,0)</f>
        <v>0</v>
      </c>
      <c r="I113" s="68">
        <f>SUM(E113:F113)*(44/28)*INPUTS!D27</f>
        <v>0.79955857142857134</v>
      </c>
      <c r="J113" s="66">
        <f>SUM(G113:H113)*(44/28)*INPUTS!D27</f>
        <v>0.11488580528238272</v>
      </c>
    </row>
    <row r="114" spans="1:13">
      <c r="B114" s="156" t="str">
        <f>INPUTS!C28</f>
        <v>Calves</v>
      </c>
      <c r="C114" s="131">
        <f>VLOOKUP(C$106,'GHG Parameters'!A$110:B$112, 2,FALSE)</f>
        <v>5.0000000000000001E-3</v>
      </c>
      <c r="D114" s="131">
        <f>VLOOKUP(D$106,'GHG Parameters'!A$110:B$112,2,FALSE)</f>
        <v>0.02</v>
      </c>
      <c r="E114" s="68">
        <f>'GHG Manure'!E65*INPUTS!H28*C114</f>
        <v>4.0177375000000008E-2</v>
      </c>
      <c r="F114" s="68">
        <f>'GHG Manure'!E65*INPUTS!I28*D114</f>
        <v>0</v>
      </c>
      <c r="G114" s="61">
        <f>IFERROR('GHG Manure'!G87*INPUTS!H28*C114,"")</f>
        <v>9.009829368553629E-2</v>
      </c>
      <c r="H114" s="61">
        <f>IFERROR(IFERROR('GHG Manure'!G87*INPUTS!I28*D114,"")/INPUTS!D28,0)</f>
        <v>0</v>
      </c>
      <c r="I114" s="68">
        <f>SUM(E114:F114)*(44/28)*INPUTS!D28</f>
        <v>0.18940762500000002</v>
      </c>
      <c r="J114" s="66">
        <f>SUM(G114:H114)*(44/28)*INPUTS!D28</f>
        <v>0.42474909880324246</v>
      </c>
    </row>
    <row r="115" spans="1:13" s="1136" customFormat="1">
      <c r="B115" s="156" t="str">
        <f>INPUTS!C29</f>
        <v>Cows (high productive)</v>
      </c>
      <c r="C115" s="131">
        <f>VLOOKUP(C$106,'GHG Parameters'!A$110:B$112, 2,FALSE)</f>
        <v>5.0000000000000001E-3</v>
      </c>
      <c r="D115" s="131">
        <f>VLOOKUP(D$106,'GHG Parameters'!A$110:B$112,2,FALSE)</f>
        <v>0.02</v>
      </c>
      <c r="E115" s="68">
        <f>'GHG Manure'!E66*INPUTS!H29*C115</f>
        <v>0.44675999999999993</v>
      </c>
      <c r="F115" s="68">
        <f>'GHG Manure'!E66*INPUTS!I29*D115</f>
        <v>0</v>
      </c>
      <c r="G115" s="61">
        <f>IFERROR('GHG Manure'!G88*INPUTS!H29*C115,"")</f>
        <v>0.16675994638590969</v>
      </c>
      <c r="H115" s="61">
        <f>IFERROR(IFERROR('GHG Manure'!G88*INPUTS!I29*D115,"")/INPUTS!D29,0)</f>
        <v>0</v>
      </c>
      <c r="I115" s="68">
        <f>SUM(E115:F115)*(44/28)*INPUTS!D29</f>
        <v>1.4041028571428569</v>
      </c>
      <c r="J115" s="66">
        <f>SUM(G115:H115)*(44/28)*INPUTS!D29</f>
        <v>0.52410268864143039</v>
      </c>
    </row>
    <row r="116" spans="1:13" s="1237" customFormat="1">
      <c r="B116" s="156">
        <f>INPUTS!C30</f>
        <v>0</v>
      </c>
      <c r="C116" s="131">
        <f>VLOOKUP(C$106,'GHG Parameters'!A$110:B$112, 2,FALSE)</f>
        <v>5.0000000000000001E-3</v>
      </c>
      <c r="D116" s="131">
        <f>VLOOKUP(D$106,'GHG Parameters'!A$110:B$112,2,FALSE)</f>
        <v>0.02</v>
      </c>
      <c r="E116" s="68" t="e">
        <f>'GHG Manure'!E67*INPUTS!H30*C116</f>
        <v>#N/A</v>
      </c>
      <c r="F116" s="68" t="e">
        <f>'GHG Manure'!E67*INPUTS!I30*D116</f>
        <v>#N/A</v>
      </c>
      <c r="G116" s="61" t="str">
        <f>IFERROR('GHG Manure'!G89*INPUTS!H30*C116,"")</f>
        <v/>
      </c>
      <c r="H116" s="61">
        <f>IFERROR(IFERROR('GHG Manure'!G89*INPUTS!I30*D116,"")/INPUTS!D30,0)</f>
        <v>0</v>
      </c>
      <c r="I116" s="68" t="e">
        <f>SUM(E116:F116)*(44/28)*INPUTS!D30</f>
        <v>#N/A</v>
      </c>
      <c r="J116" s="66">
        <f>SUM(G116:H116)*(44/28)*INPUTS!D30</f>
        <v>0</v>
      </c>
    </row>
    <row r="117" spans="1:13" s="1237" customFormat="1">
      <c r="B117" s="156">
        <f>INPUTS!C31</f>
        <v>0</v>
      </c>
      <c r="C117" s="131">
        <f>VLOOKUP(C$106,'GHG Parameters'!A$110:B$112, 2,FALSE)</f>
        <v>5.0000000000000001E-3</v>
      </c>
      <c r="D117" s="131">
        <f>VLOOKUP(D$106,'GHG Parameters'!A$110:B$112,2,FALSE)</f>
        <v>0.02</v>
      </c>
      <c r="E117" s="68" t="e">
        <f>'GHG Manure'!E68*INPUTS!H31*C117</f>
        <v>#N/A</v>
      </c>
      <c r="F117" s="68" t="e">
        <f>'GHG Manure'!E68*INPUTS!I31*D117</f>
        <v>#N/A</v>
      </c>
      <c r="G117" s="61" t="str">
        <f>IFERROR('GHG Manure'!G90*INPUTS!H31*C117,"")</f>
        <v/>
      </c>
      <c r="H117" s="61">
        <f>IFERROR(IFERROR('GHG Manure'!G90*INPUTS!I31*D117,"")/INPUTS!D31,0)</f>
        <v>0</v>
      </c>
      <c r="I117" s="68" t="e">
        <f>SUM(E117:F117)*(44/28)*INPUTS!D31</f>
        <v>#N/A</v>
      </c>
      <c r="J117" s="66">
        <f>SUM(G117:H117)*(44/28)*INPUTS!D31</f>
        <v>0</v>
      </c>
    </row>
    <row r="118" spans="1:13" s="1144" customFormat="1">
      <c r="B118" s="156">
        <f>INPUTS!C32</f>
        <v>0</v>
      </c>
      <c r="C118" s="131">
        <f>VLOOKUP(C$106,'GHG Parameters'!A$110:B$112, 2,FALSE)</f>
        <v>5.0000000000000001E-3</v>
      </c>
      <c r="D118" s="131">
        <f>VLOOKUP(D$106,'GHG Parameters'!A$110:B$112,2,FALSE)</f>
        <v>0.02</v>
      </c>
      <c r="E118" s="68" t="e">
        <f>'GHG Manure'!E69*INPUTS!H32*C118</f>
        <v>#N/A</v>
      </c>
      <c r="F118" s="68" t="e">
        <f>'GHG Manure'!E69*INPUTS!I32*D118</f>
        <v>#N/A</v>
      </c>
      <c r="G118" s="61" t="str">
        <f>IFERROR('GHG Manure'!G91*INPUTS!H32*C118,"")</f>
        <v/>
      </c>
      <c r="H118" s="61">
        <f>IFERROR(IFERROR('GHG Manure'!G91*INPUTS!I32*D118,"")/INPUTS!D32,0)</f>
        <v>0</v>
      </c>
      <c r="I118" s="68" t="e">
        <f>SUM(E118:F118)*(44/28)*INPUTS!D32</f>
        <v>#N/A</v>
      </c>
      <c r="J118" s="66">
        <f>SUM(G118:H118)*(44/28)*INPUTS!D32</f>
        <v>0</v>
      </c>
    </row>
    <row r="119" spans="1:13" s="1144" customFormat="1">
      <c r="B119" s="156">
        <f>INPUTS!C33</f>
        <v>0</v>
      </c>
      <c r="C119" s="131">
        <f>VLOOKUP(C$106,'GHG Parameters'!A$110:B$112, 2,FALSE)</f>
        <v>5.0000000000000001E-3</v>
      </c>
      <c r="D119" s="131">
        <f>VLOOKUP(D$106,'GHG Parameters'!A$110:B$112,2,FALSE)</f>
        <v>0.02</v>
      </c>
      <c r="E119" s="68" t="e">
        <f>'GHG Manure'!E70*INPUTS!H33*C119</f>
        <v>#N/A</v>
      </c>
      <c r="F119" s="68" t="e">
        <f>'GHG Manure'!E70*INPUTS!I33*D119</f>
        <v>#N/A</v>
      </c>
      <c r="G119" s="61" t="str">
        <f>IFERROR('GHG Manure'!G92*INPUTS!H33*C119,"")</f>
        <v/>
      </c>
      <c r="H119" s="61">
        <f>IFERROR(IFERROR('GHG Manure'!G92*INPUTS!I33*D119,"")/INPUTS!D33,0)</f>
        <v>0</v>
      </c>
      <c r="I119" s="68" t="e">
        <f>SUM(E119:F119)*(44/28)*INPUTS!D33</f>
        <v>#N/A</v>
      </c>
      <c r="J119" s="66">
        <f>SUM(G119:H119)*(44/28)*INPUTS!D33</f>
        <v>0</v>
      </c>
    </row>
    <row r="120" spans="1:13">
      <c r="B120" s="156">
        <f>INPUTS!C34</f>
        <v>0</v>
      </c>
      <c r="C120" s="131">
        <f>VLOOKUP(C$106,'GHG Parameters'!A$110:B$112, 2,FALSE)</f>
        <v>5.0000000000000001E-3</v>
      </c>
      <c r="D120" s="131">
        <f>VLOOKUP(D$106,'GHG Parameters'!A$110:B$112,2,FALSE)</f>
        <v>0.02</v>
      </c>
      <c r="E120" s="68" t="e">
        <f>'GHG Manure'!E71*INPUTS!H34*C120</f>
        <v>#N/A</v>
      </c>
      <c r="F120" s="68" t="e">
        <f>'GHG Manure'!E71*INPUTS!I34*D120</f>
        <v>#N/A</v>
      </c>
      <c r="G120" s="61" t="str">
        <f>IFERROR('GHG Manure'!G93*INPUTS!H34*C120,"")</f>
        <v/>
      </c>
      <c r="H120" s="61">
        <f>IFERROR(IFERROR('GHG Manure'!G93*INPUTS!I34*D120,"")/INPUTS!D34,0)</f>
        <v>0</v>
      </c>
      <c r="I120" s="68" t="e">
        <f>SUM(E120:F120)*(44/28)*INPUTS!D34</f>
        <v>#N/A</v>
      </c>
      <c r="J120" s="66">
        <f>SUM(G120:H120)*(44/28)*INPUTS!D34</f>
        <v>0</v>
      </c>
    </row>
    <row r="121" spans="1:13">
      <c r="H121" s="50" t="s">
        <v>122</v>
      </c>
      <c r="I121" s="47">
        <f>SUMIF(I107:I120,"&lt;&gt;#N/A")</f>
        <v>4.3081523571428564</v>
      </c>
      <c r="J121" s="66">
        <f>SUM(J107:J120)</f>
        <v>1.8860186775887675</v>
      </c>
    </row>
    <row r="124" spans="1:13">
      <c r="A124" s="5" t="s">
        <v>422</v>
      </c>
    </row>
    <row r="125" spans="1:13">
      <c r="B125" s="23"/>
      <c r="C125" s="23"/>
      <c r="D125" s="23"/>
      <c r="E125" s="23"/>
      <c r="F125" s="23"/>
      <c r="G125" s="23"/>
      <c r="H125" s="23"/>
      <c r="I125" s="23" t="s">
        <v>421</v>
      </c>
      <c r="J125" s="23" t="s">
        <v>421</v>
      </c>
      <c r="K125" s="23"/>
      <c r="L125" s="23" t="s">
        <v>420</v>
      </c>
      <c r="M125" s="67" t="s">
        <v>420</v>
      </c>
    </row>
    <row r="126" spans="1:13" ht="47.25" customHeight="1">
      <c r="A126" s="10"/>
      <c r="B126" s="1569" t="s">
        <v>258</v>
      </c>
      <c r="C126" s="1586" t="s">
        <v>416</v>
      </c>
      <c r="D126" s="1480"/>
      <c r="E126" s="1462" t="s">
        <v>417</v>
      </c>
      <c r="F126" s="1464"/>
      <c r="G126" s="1462" t="s">
        <v>417</v>
      </c>
      <c r="H126" s="1464"/>
      <c r="I126" s="56" t="s">
        <v>415</v>
      </c>
      <c r="J126" s="56" t="s">
        <v>415</v>
      </c>
      <c r="K126" s="58" t="s">
        <v>401</v>
      </c>
      <c r="L126" s="24" t="s">
        <v>418</v>
      </c>
      <c r="M126" s="31" t="s">
        <v>418</v>
      </c>
    </row>
    <row r="127" spans="1:13" ht="31.5">
      <c r="B127" s="1570"/>
      <c r="C127" s="1572" t="s">
        <v>358</v>
      </c>
      <c r="D127" s="1573"/>
      <c r="E127" s="1564" t="s">
        <v>400</v>
      </c>
      <c r="F127" s="1565"/>
      <c r="G127" s="1564" t="s">
        <v>400</v>
      </c>
      <c r="H127" s="1565"/>
      <c r="I127" s="56" t="s">
        <v>214</v>
      </c>
      <c r="J127" s="56" t="s">
        <v>214</v>
      </c>
      <c r="K127" s="52" t="s">
        <v>403</v>
      </c>
      <c r="L127" s="60" t="s">
        <v>404</v>
      </c>
      <c r="M127" s="60" t="s">
        <v>404</v>
      </c>
    </row>
    <row r="128" spans="1:13" ht="47.25">
      <c r="B128" s="1571"/>
      <c r="C128" s="1564" t="s">
        <v>123</v>
      </c>
      <c r="D128" s="1565"/>
      <c r="E128" s="1564" t="s">
        <v>410</v>
      </c>
      <c r="F128" s="1565"/>
      <c r="G128" s="1564" t="s">
        <v>411</v>
      </c>
      <c r="H128" s="1565"/>
      <c r="I128" s="56"/>
      <c r="J128" s="56"/>
      <c r="K128" s="59" t="s">
        <v>402</v>
      </c>
      <c r="L128" s="54" t="s">
        <v>405</v>
      </c>
      <c r="M128" s="54" t="s">
        <v>405</v>
      </c>
    </row>
    <row r="129" spans="1:13" s="10" customFormat="1" ht="78.75" customHeight="1">
      <c r="A129"/>
      <c r="B129" s="62" t="s">
        <v>383</v>
      </c>
      <c r="C129" s="163" t="str">
        <f>INPUTS!D37</f>
        <v>solid storage</v>
      </c>
      <c r="D129" s="163" t="str">
        <f>INPUTS!D38</f>
        <v xml:space="preserve">dry lot </v>
      </c>
      <c r="E129" s="52" t="str">
        <f>INPUTS!D37</f>
        <v>solid storage</v>
      </c>
      <c r="F129" s="52" t="str">
        <f>INPUTS!D38</f>
        <v xml:space="preserve">dry lot </v>
      </c>
      <c r="G129" s="52" t="str">
        <f>INPUTS!D37</f>
        <v>solid storage</v>
      </c>
      <c r="H129" s="52" t="str">
        <f>INPUTS!D38</f>
        <v xml:space="preserve">dry lot </v>
      </c>
      <c r="I129" s="56" t="s">
        <v>412</v>
      </c>
      <c r="J129" s="56" t="s">
        <v>413</v>
      </c>
      <c r="K129" s="59" t="s">
        <v>125</v>
      </c>
      <c r="L129" s="54" t="s">
        <v>414</v>
      </c>
      <c r="M129" s="54" t="s">
        <v>419</v>
      </c>
    </row>
    <row r="130" spans="1:13" ht="17.100000000000001" customHeight="1">
      <c r="B130" s="156" t="str">
        <f>INPUTS!C21</f>
        <v>Cows (local)</v>
      </c>
      <c r="C130" s="162">
        <f>VLOOKUP($C$129,'GHG Parameters'!$B$58:$C$62,2,FALSE)</f>
        <v>0.3</v>
      </c>
      <c r="D130" s="162">
        <f>VLOOKUP($D$129,'GHG Parameters'!$B$57:$C$58,2,FALSE)</f>
        <v>0.2</v>
      </c>
      <c r="E130" s="53">
        <f>'GHG Manure'!E58*INPUTS!H21*C130</f>
        <v>15.636599999999998</v>
      </c>
      <c r="F130" s="53">
        <f>'GHG Manure'!E59*INPUTS!I21*D130</f>
        <v>0</v>
      </c>
      <c r="G130" s="53">
        <f>IFERROR((('GHG Manure'!G80*INPUTS!H21)*'GHG Manure'!C130),"")</f>
        <v>6.0572439418376662</v>
      </c>
      <c r="H130" s="53">
        <f>IFERROR(IFERROR('GHG Manure'!G80*INPUTS!I21*'GHG Manure'!D130,"")/INPUTS!D21,0)</f>
        <v>0</v>
      </c>
      <c r="I130" s="57">
        <f>(SUM(E130:F130))*INPUTS!D21</f>
        <v>15.636599999999998</v>
      </c>
      <c r="J130" s="57">
        <f>(SUM(G130:H130))*INPUTS!D21</f>
        <v>6.0572439418376662</v>
      </c>
      <c r="K130" s="52">
        <f>'GHG Parameters'!D$124</f>
        <v>0.01</v>
      </c>
      <c r="L130" s="68">
        <f t="shared" ref="L130:L143" si="16">(I130*K130)*(44/28)</f>
        <v>0.24571799999999996</v>
      </c>
      <c r="M130" s="55">
        <f t="shared" ref="M130:M143" si="17">(J130*K130)*(44/28)</f>
        <v>9.5185261943163332E-2</v>
      </c>
    </row>
    <row r="131" spans="1:13">
      <c r="B131" s="156" t="str">
        <f>INPUTS!C22</f>
        <v>Cows (improved)</v>
      </c>
      <c r="C131" s="162">
        <f>VLOOKUP($C$129,'GHG Parameters'!$B$58:$C$62,2,FALSE)</f>
        <v>0.3</v>
      </c>
      <c r="D131" s="162">
        <f>VLOOKUP($D$129,'GHG Parameters'!$B$57:$C$58,2,FALSE)</f>
        <v>0.2</v>
      </c>
      <c r="E131" s="53">
        <f>'GHG Manure'!E59*INPUTS!H22*C131</f>
        <v>20.104199999999999</v>
      </c>
      <c r="F131" s="53">
        <f>'GHG Manure'!E60*INPUTS!I22*D131</f>
        <v>0</v>
      </c>
      <c r="G131" s="53">
        <f>IFERROR((('GHG Manure'!G81*INPUTS!H22)*'GHG Manure'!C131),"")</f>
        <v>6.8152696449188834</v>
      </c>
      <c r="H131" s="53">
        <f>IFERROR(IFERROR('GHG Manure'!G81*INPUTS!I22*'GHG Manure'!D131,"")/INPUTS!D22,0)</f>
        <v>0</v>
      </c>
      <c r="I131" s="57">
        <f>(SUM(E131:F131))*INPUTS!D22</f>
        <v>20.104199999999999</v>
      </c>
      <c r="J131" s="57">
        <f>(SUM(G131:H131))*INPUTS!D22</f>
        <v>6.8152696449188834</v>
      </c>
      <c r="K131" s="52">
        <f>'GHG Parameters'!D$124</f>
        <v>0.01</v>
      </c>
      <c r="L131" s="68">
        <f t="shared" si="16"/>
        <v>0.31592314285714285</v>
      </c>
      <c r="M131" s="55">
        <f t="shared" si="17"/>
        <v>0.10709709442015389</v>
      </c>
    </row>
    <row r="132" spans="1:13">
      <c r="B132" s="156" t="str">
        <f>INPUTS!C23</f>
        <v>Adult cattle - male</v>
      </c>
      <c r="C132" s="162">
        <f>VLOOKUP($C$129,'GHG Parameters'!$B$58:$C$62,2,FALSE)</f>
        <v>0.3</v>
      </c>
      <c r="D132" s="162">
        <f>VLOOKUP($D$129,'GHG Parameters'!$B$57:$C$58,2,FALSE)</f>
        <v>0.2</v>
      </c>
      <c r="E132" s="53">
        <f>'GHG Manure'!E60*INPUTS!H23*C132</f>
        <v>16.206</v>
      </c>
      <c r="F132" s="53">
        <f>'GHG Manure'!E61*INPUTS!I23*D132</f>
        <v>0</v>
      </c>
      <c r="G132" s="53">
        <f>IFERROR((('GHG Manure'!G82*INPUTS!H23)*'GHG Manure'!C132),"")</f>
        <v>9.0020966386380046</v>
      </c>
      <c r="H132" s="53">
        <f>IFERROR(IFERROR('GHG Manure'!G82*INPUTS!I23*'GHG Manure'!D132,"")/INPUTS!D23,0)</f>
        <v>0</v>
      </c>
      <c r="I132" s="57">
        <f>(SUM(E132:F132))*INPUTS!D23</f>
        <v>16.206</v>
      </c>
      <c r="J132" s="57">
        <f>(SUM(G132:H132))*INPUTS!D23</f>
        <v>9.0020966386380046</v>
      </c>
      <c r="K132" s="52">
        <f>'GHG Parameters'!D$124</f>
        <v>0.01</v>
      </c>
      <c r="L132" s="68">
        <f t="shared" si="16"/>
        <v>0.25466571428571427</v>
      </c>
      <c r="M132" s="55">
        <f t="shared" si="17"/>
        <v>0.14146151860716863</v>
      </c>
    </row>
    <row r="133" spans="1:13">
      <c r="B133" s="156" t="str">
        <f>INPUTS!C24</f>
        <v>Calves</v>
      </c>
      <c r="C133" s="162">
        <f>VLOOKUP($C$129,'GHG Parameters'!$B$58:$C$62,2,FALSE)</f>
        <v>0.3</v>
      </c>
      <c r="D133" s="162">
        <f>VLOOKUP($D$129,'GHG Parameters'!$B$57:$C$58,2,FALSE)</f>
        <v>0.2</v>
      </c>
      <c r="E133" s="53">
        <f>'GHG Manure'!E61*INPUTS!H24*C133</f>
        <v>2.4106425000000002</v>
      </c>
      <c r="F133" s="53">
        <f>'GHG Manure'!E62*INPUTS!I24*D133</f>
        <v>0</v>
      </c>
      <c r="G133" s="53">
        <f>IFERROR((('GHG Manure'!G83*INPUTS!H24)*'GHG Manure'!C133),"")</f>
        <v>1.1938709270555237</v>
      </c>
      <c r="H133" s="53">
        <f>IFERROR(IFERROR('GHG Manure'!G83*INPUTS!I24*'GHG Manure'!D133,"")/INPUTS!D24,0)</f>
        <v>0</v>
      </c>
      <c r="I133" s="57">
        <f>(SUM(E133:F133))*INPUTS!D24</f>
        <v>2.4106425000000002</v>
      </c>
      <c r="J133" s="57">
        <f>(SUM(G133:H133))*INPUTS!D24</f>
        <v>1.1938709270555237</v>
      </c>
      <c r="K133" s="52">
        <f>'GHG Parameters'!D$124</f>
        <v>0.01</v>
      </c>
      <c r="L133" s="68">
        <f t="shared" si="16"/>
        <v>3.7881525000000006E-2</v>
      </c>
      <c r="M133" s="55">
        <f t="shared" si="17"/>
        <v>1.8760828853729657E-2</v>
      </c>
    </row>
    <row r="134" spans="1:13">
      <c r="B134" s="156" t="str">
        <f>INPUTS!C25</f>
        <v>Buffalo (dairy)</v>
      </c>
      <c r="C134" s="162">
        <f>VLOOKUP($C$129,'GHG Parameters'!$B$58:$C$62,2,FALSE)</f>
        <v>0.3</v>
      </c>
      <c r="D134" s="162">
        <f>VLOOKUP($D$129,'GHG Parameters'!$B$57:$C$58,2,FALSE)</f>
        <v>0.2</v>
      </c>
      <c r="E134" s="53">
        <f>'GHG Manure'!E62*INPUTS!H25*C134</f>
        <v>15.496987499999999</v>
      </c>
      <c r="F134" s="53">
        <f>'GHG Manure'!E63*INPUTS!I25*D134</f>
        <v>0</v>
      </c>
      <c r="G134" s="53">
        <f>IFERROR((('GHG Manure'!G84*INPUTS!H25)*'GHG Manure'!C134),"")</f>
        <v>6.71384669507139</v>
      </c>
      <c r="H134" s="53">
        <f>IFERROR(IFERROR('GHG Manure'!G84*INPUTS!I25*'GHG Manure'!D134,"")/INPUTS!D25,0)</f>
        <v>0</v>
      </c>
      <c r="I134" s="57">
        <f>(SUM(E134:F134))*INPUTS!D25</f>
        <v>15.496987499999999</v>
      </c>
      <c r="J134" s="57">
        <f>(SUM(G134:H134))*INPUTS!D25</f>
        <v>6.71384669507139</v>
      </c>
      <c r="K134" s="52">
        <f>'GHG Parameters'!D$124</f>
        <v>0.01</v>
      </c>
      <c r="L134" s="68">
        <f t="shared" si="16"/>
        <v>0.24352408928571428</v>
      </c>
      <c r="M134" s="55">
        <f t="shared" si="17"/>
        <v>0.1055033052082647</v>
      </c>
    </row>
    <row r="135" spans="1:13">
      <c r="B135" s="156" t="str">
        <f>INPUTS!C26</f>
        <v>Sheep/Goats - Ewes/Does</v>
      </c>
      <c r="C135" s="162">
        <f>VLOOKUP($C$129,'GHG Parameters'!$B$58:$C$62,2,FALSE)</f>
        <v>0.3</v>
      </c>
      <c r="D135" s="162">
        <f>VLOOKUP($D$129,'GHG Parameters'!$B$57:$C$58,2,FALSE)</f>
        <v>0.2</v>
      </c>
      <c r="E135" s="53">
        <f>'GHG Manure'!E63*INPUTS!H26*C135</f>
        <v>3.2669324999999998</v>
      </c>
      <c r="F135" s="53">
        <f>'GHG Manure'!E64*INPUTS!I26*D135</f>
        <v>0</v>
      </c>
      <c r="G135" s="53">
        <f>IFERROR((('GHG Manure'!G85*INPUTS!H26)*'GHG Manure'!C135),"")</f>
        <v>1.6138590290166208</v>
      </c>
      <c r="H135" s="53">
        <f>IFERROR(IFERROR('GHG Manure'!G85*INPUTS!I26*'GHG Manure'!D135,"")/INPUTS!D26,0)</f>
        <v>0</v>
      </c>
      <c r="I135" s="57">
        <f>(SUM(E135:F135))*INPUTS!D26</f>
        <v>3.2669324999999998</v>
      </c>
      <c r="J135" s="57">
        <f>(SUM(G135:H135))*INPUTS!D26</f>
        <v>1.6138590290166208</v>
      </c>
      <c r="K135" s="52">
        <f>'GHG Parameters'!D$124</f>
        <v>0.01</v>
      </c>
      <c r="L135" s="68">
        <f t="shared" si="16"/>
        <v>5.133751071428571E-2</v>
      </c>
      <c r="M135" s="55">
        <f t="shared" si="17"/>
        <v>2.5360641884546897E-2</v>
      </c>
    </row>
    <row r="136" spans="1:13">
      <c r="B136" s="156" t="str">
        <f>INPUTS!C27</f>
        <v>Pigs - lactating/pregnant sows</v>
      </c>
      <c r="C136" s="162">
        <f>VLOOKUP($C$129,'GHG Parameters'!$B$58:$C$62,2,FALSE)</f>
        <v>0.3</v>
      </c>
      <c r="D136" s="162">
        <f>VLOOKUP($D$129,'GHG Parameters'!$B$57:$C$58,2,FALSE)</f>
        <v>0.2</v>
      </c>
      <c r="E136" s="53">
        <f>'GHG Manure'!E64*INPUTS!H27*C136</f>
        <v>30.528599999999997</v>
      </c>
      <c r="F136" s="53">
        <f>'GHG Manure'!E65*INPUTS!I27*D136</f>
        <v>0</v>
      </c>
      <c r="G136" s="53">
        <f>IFERROR((('GHG Manure'!G86*INPUTS!H27)*'GHG Manure'!C136),"")</f>
        <v>4.3865489289637036</v>
      </c>
      <c r="H136" s="53">
        <f>IFERROR(IFERROR('GHG Manure'!G86*INPUTS!I27*'GHG Manure'!D136,"")/INPUTS!D27,0)</f>
        <v>0</v>
      </c>
      <c r="I136" s="57">
        <f>(SUM(E136:F136))*INPUTS!D27</f>
        <v>30.528599999999997</v>
      </c>
      <c r="J136" s="57">
        <f>(SUM(G136:H136))*INPUTS!D27</f>
        <v>4.3865489289637036</v>
      </c>
      <c r="K136" s="52">
        <f>'GHG Parameters'!D$124</f>
        <v>0.01</v>
      </c>
      <c r="L136" s="68">
        <f t="shared" si="16"/>
        <v>0.47973514285714286</v>
      </c>
      <c r="M136" s="55">
        <f t="shared" si="17"/>
        <v>6.8931483169429625E-2</v>
      </c>
    </row>
    <row r="137" spans="1:13" s="1136" customFormat="1">
      <c r="B137" s="156" t="str">
        <f>INPUTS!C28</f>
        <v>Calves</v>
      </c>
      <c r="C137" s="162">
        <f>VLOOKUP($C$129,'GHG Parameters'!$B$58:$C$62,2,FALSE)</f>
        <v>0.3</v>
      </c>
      <c r="D137" s="162">
        <f>VLOOKUP($D$129,'GHG Parameters'!$B$57:$C$58,2,FALSE)</f>
        <v>0.2</v>
      </c>
      <c r="E137" s="53">
        <f>'GHG Manure'!E65*INPUTS!H28*C137</f>
        <v>2.4106425000000002</v>
      </c>
      <c r="F137" s="53">
        <f>'GHG Manure'!E66*INPUTS!I28*D137</f>
        <v>0</v>
      </c>
      <c r="G137" s="53">
        <f>IFERROR((('GHG Manure'!G87*INPUTS!H28)*'GHG Manure'!C137),"")</f>
        <v>5.4058976211321772</v>
      </c>
      <c r="H137" s="53">
        <f>IFERROR(IFERROR('GHG Manure'!G87*INPUTS!I28*'GHG Manure'!D137,"")/INPUTS!D28,0)</f>
        <v>0</v>
      </c>
      <c r="I137" s="57">
        <f>(SUM(E137:F137))*INPUTS!D28</f>
        <v>7.2319275000000012</v>
      </c>
      <c r="J137" s="57">
        <f>(SUM(G137:H137))*INPUTS!D28</f>
        <v>16.217692863396532</v>
      </c>
      <c r="K137" s="52">
        <f>'GHG Parameters'!D$124</f>
        <v>0.01</v>
      </c>
      <c r="L137" s="68">
        <f t="shared" si="16"/>
        <v>0.11364457500000003</v>
      </c>
      <c r="M137" s="55">
        <f t="shared" si="17"/>
        <v>0.25484945928194552</v>
      </c>
    </row>
    <row r="138" spans="1:13" s="1237" customFormat="1">
      <c r="B138" s="156" t="str">
        <f>INPUTS!C29</f>
        <v>Cows (high productive)</v>
      </c>
      <c r="C138" s="162">
        <f>VLOOKUP($C$129,'GHG Parameters'!$B$58:$C$62,2,FALSE)</f>
        <v>0.3</v>
      </c>
      <c r="D138" s="162">
        <f>VLOOKUP($D$129,'GHG Parameters'!$B$57:$C$58,2,FALSE)</f>
        <v>0.2</v>
      </c>
      <c r="E138" s="53">
        <f>'GHG Manure'!E66*INPUTS!H29*C138</f>
        <v>26.805599999999995</v>
      </c>
      <c r="F138" s="53" t="e">
        <f>'GHG Manure'!E67*INPUTS!I29*D138</f>
        <v>#N/A</v>
      </c>
      <c r="G138" s="53">
        <f>IFERROR((('GHG Manure'!G88*INPUTS!H29)*'GHG Manure'!C138),"")</f>
        <v>10.00559678315458</v>
      </c>
      <c r="H138" s="53">
        <f>IFERROR(IFERROR('GHG Manure'!G88*INPUTS!I29*'GHG Manure'!D138,"")/INPUTS!D29,0)</f>
        <v>0</v>
      </c>
      <c r="I138" s="57" t="e">
        <f>(SUM(E138:F138))*INPUTS!D29</f>
        <v>#N/A</v>
      </c>
      <c r="J138" s="57">
        <f>(SUM(G138:H138))*INPUTS!D29</f>
        <v>20.01119356630916</v>
      </c>
      <c r="K138" s="52">
        <f>'GHG Parameters'!D$124</f>
        <v>0.01</v>
      </c>
      <c r="L138" s="68" t="e">
        <f t="shared" si="16"/>
        <v>#N/A</v>
      </c>
      <c r="M138" s="55">
        <f t="shared" si="17"/>
        <v>0.31446161318485821</v>
      </c>
    </row>
    <row r="139" spans="1:13" s="1237" customFormat="1">
      <c r="B139" s="156">
        <f>INPUTS!C30</f>
        <v>0</v>
      </c>
      <c r="C139" s="162">
        <f>VLOOKUP($C$129,'GHG Parameters'!$B$58:$C$62,2,FALSE)</f>
        <v>0.3</v>
      </c>
      <c r="D139" s="162">
        <f>VLOOKUP($D$129,'GHG Parameters'!$B$57:$C$58,2,FALSE)</f>
        <v>0.2</v>
      </c>
      <c r="E139" s="53" t="e">
        <f>'GHG Manure'!E67*INPUTS!H30*C139</f>
        <v>#N/A</v>
      </c>
      <c r="F139" s="53" t="e">
        <f>'GHG Manure'!E68*INPUTS!I30*D139</f>
        <v>#N/A</v>
      </c>
      <c r="G139" s="53" t="str">
        <f>IFERROR((('GHG Manure'!G89*INPUTS!H30)*'GHG Manure'!C139),"")</f>
        <v/>
      </c>
      <c r="H139" s="53">
        <f>IFERROR(IFERROR('GHG Manure'!G89*INPUTS!I30*'GHG Manure'!D139,"")/INPUTS!D30,0)</f>
        <v>0</v>
      </c>
      <c r="I139" s="57" t="e">
        <f>(SUM(E139:F139))*INPUTS!D30</f>
        <v>#N/A</v>
      </c>
      <c r="J139" s="57">
        <f>(SUM(G139:H139))*INPUTS!D30</f>
        <v>0</v>
      </c>
      <c r="K139" s="52">
        <f>'GHG Parameters'!D$124</f>
        <v>0.01</v>
      </c>
      <c r="L139" s="68" t="e">
        <f t="shared" si="16"/>
        <v>#N/A</v>
      </c>
      <c r="M139" s="55">
        <f t="shared" si="17"/>
        <v>0</v>
      </c>
    </row>
    <row r="140" spans="1:13" s="1144" customFormat="1">
      <c r="B140" s="156">
        <f>INPUTS!C31</f>
        <v>0</v>
      </c>
      <c r="C140" s="162">
        <f>VLOOKUP($C$129,'GHG Parameters'!$B$58:$C$62,2,FALSE)</f>
        <v>0.3</v>
      </c>
      <c r="D140" s="162">
        <f>VLOOKUP($D$129,'GHG Parameters'!$B$57:$C$58,2,FALSE)</f>
        <v>0.2</v>
      </c>
      <c r="E140" s="53" t="e">
        <f>'GHG Manure'!E68*INPUTS!H31*C140</f>
        <v>#N/A</v>
      </c>
      <c r="F140" s="53" t="e">
        <f>'GHG Manure'!E69*INPUTS!I31*D140</f>
        <v>#N/A</v>
      </c>
      <c r="G140" s="53" t="str">
        <f>IFERROR((('GHG Manure'!G90*INPUTS!H31)*'GHG Manure'!C140),"")</f>
        <v/>
      </c>
      <c r="H140" s="53">
        <f>IFERROR(IFERROR('GHG Manure'!G90*INPUTS!I31*'GHG Manure'!D140,"")/INPUTS!D31,0)</f>
        <v>0</v>
      </c>
      <c r="I140" s="57" t="e">
        <f>(SUM(E140:F140))*INPUTS!D31</f>
        <v>#N/A</v>
      </c>
      <c r="J140" s="57">
        <f>(SUM(G140:H140))*INPUTS!D31</f>
        <v>0</v>
      </c>
      <c r="K140" s="52">
        <f>'GHG Parameters'!D$124</f>
        <v>0.01</v>
      </c>
      <c r="L140" s="68" t="e">
        <f t="shared" si="16"/>
        <v>#N/A</v>
      </c>
      <c r="M140" s="55">
        <f t="shared" si="17"/>
        <v>0</v>
      </c>
    </row>
    <row r="141" spans="1:13" s="1144" customFormat="1">
      <c r="B141" s="156">
        <f>INPUTS!C32</f>
        <v>0</v>
      </c>
      <c r="C141" s="162">
        <f>VLOOKUP($C$129,'GHG Parameters'!$B$58:$C$62,2,FALSE)</f>
        <v>0.3</v>
      </c>
      <c r="D141" s="162">
        <f>VLOOKUP($D$129,'GHG Parameters'!$B$57:$C$58,2,FALSE)</f>
        <v>0.2</v>
      </c>
      <c r="E141" s="53" t="e">
        <f>'GHG Manure'!E69*INPUTS!H32*C141</f>
        <v>#N/A</v>
      </c>
      <c r="F141" s="53" t="e">
        <f>'GHG Manure'!E70*INPUTS!I32*D141</f>
        <v>#N/A</v>
      </c>
      <c r="G141" s="53" t="str">
        <f>IFERROR((('GHG Manure'!G91*INPUTS!H32)*'GHG Manure'!C141),"")</f>
        <v/>
      </c>
      <c r="H141" s="53">
        <f>IFERROR(IFERROR('GHG Manure'!G91*INPUTS!I32*'GHG Manure'!D141,"")/INPUTS!D32,0)</f>
        <v>0</v>
      </c>
      <c r="I141" s="57" t="e">
        <f>(SUM(E141:F141))*INPUTS!D32</f>
        <v>#N/A</v>
      </c>
      <c r="J141" s="57">
        <f>(SUM(G141:H141))*INPUTS!D32</f>
        <v>0</v>
      </c>
      <c r="K141" s="52">
        <f>'GHG Parameters'!D$124</f>
        <v>0.01</v>
      </c>
      <c r="L141" s="68" t="e">
        <f t="shared" si="16"/>
        <v>#N/A</v>
      </c>
      <c r="M141" s="55">
        <f t="shared" si="17"/>
        <v>0</v>
      </c>
    </row>
    <row r="142" spans="1:13">
      <c r="B142" s="156">
        <f>INPUTS!C33</f>
        <v>0</v>
      </c>
      <c r="C142" s="162">
        <f>VLOOKUP($C$129,'GHG Parameters'!$B$58:$C$62,2,FALSE)</f>
        <v>0.3</v>
      </c>
      <c r="D142" s="162">
        <f>VLOOKUP($D$129,'GHG Parameters'!$B$57:$C$58,2,FALSE)</f>
        <v>0.2</v>
      </c>
      <c r="E142" s="53" t="e">
        <f>'GHG Manure'!E70*INPUTS!H33*C142</f>
        <v>#N/A</v>
      </c>
      <c r="F142" s="53" t="e">
        <f>'GHG Manure'!E71*INPUTS!I33*D142</f>
        <v>#N/A</v>
      </c>
      <c r="G142" s="53" t="str">
        <f>IFERROR((('GHG Manure'!G92*INPUTS!H33)*'GHG Manure'!C142),"")</f>
        <v/>
      </c>
      <c r="H142" s="53">
        <f>IFERROR(IFERROR('GHG Manure'!G92*INPUTS!I33*'GHG Manure'!D142,"")/INPUTS!D33,0)</f>
        <v>0</v>
      </c>
      <c r="I142" s="57" t="e">
        <f>(SUM(E142:F142))*INPUTS!D33</f>
        <v>#N/A</v>
      </c>
      <c r="J142" s="57">
        <f>(SUM(G142:H142))*INPUTS!D33</f>
        <v>0</v>
      </c>
      <c r="K142" s="52">
        <f>'GHG Parameters'!D$124</f>
        <v>0.01</v>
      </c>
      <c r="L142" s="68" t="e">
        <f t="shared" si="16"/>
        <v>#N/A</v>
      </c>
      <c r="M142" s="55">
        <f t="shared" si="17"/>
        <v>0</v>
      </c>
    </row>
    <row r="143" spans="1:13" s="1284" customFormat="1">
      <c r="B143" s="156">
        <f>INPUTS!C34</f>
        <v>0</v>
      </c>
      <c r="C143" s="162">
        <f>VLOOKUP($C$129,'GHG Parameters'!$B$58:$C$62,2,FALSE)</f>
        <v>0.3</v>
      </c>
      <c r="D143" s="162">
        <f>VLOOKUP($D$129,'GHG Parameters'!$B$57:$C$58,2,FALSE)</f>
        <v>0.2</v>
      </c>
      <c r="E143" s="53" t="e">
        <f>'GHG Manure'!E71*INPUTS!H34*C143</f>
        <v>#N/A</v>
      </c>
      <c r="F143" s="53">
        <f>'GHG Manure'!E72*INPUTS!I34*D143</f>
        <v>0</v>
      </c>
      <c r="G143" s="53" t="str">
        <f>IFERROR((('GHG Manure'!G93*INPUTS!H34)*'GHG Manure'!C143),"")</f>
        <v/>
      </c>
      <c r="H143" s="53">
        <f>IFERROR(IFERROR('GHG Manure'!G93*INPUTS!I34*'GHG Manure'!D143,"")/INPUTS!D34,0)</f>
        <v>0</v>
      </c>
      <c r="I143" s="57" t="e">
        <f>(SUM(E143:F143))*INPUTS!D34</f>
        <v>#N/A</v>
      </c>
      <c r="J143" s="57">
        <f>(SUM(G143:H143))*INPUTS!D34</f>
        <v>0</v>
      </c>
      <c r="K143" s="52">
        <f>'GHG Parameters'!D$124</f>
        <v>0.01</v>
      </c>
      <c r="L143" s="68" t="e">
        <f t="shared" si="16"/>
        <v>#N/A</v>
      </c>
      <c r="M143" s="55">
        <f t="shared" si="17"/>
        <v>0</v>
      </c>
    </row>
    <row r="144" spans="1:13">
      <c r="B144" s="1566" t="s">
        <v>124</v>
      </c>
      <c r="C144" s="1567"/>
      <c r="D144" s="1567"/>
      <c r="E144" s="1567"/>
      <c r="F144" s="1567"/>
      <c r="G144" s="1567"/>
      <c r="H144" s="1568"/>
      <c r="I144" s="47">
        <f>SUMIF(I130:I143,"&lt;&gt;#N/A")</f>
        <v>110.88188999999998</v>
      </c>
      <c r="J144" s="57">
        <f>SUM(J130:J143)</f>
        <v>72.011622235207483</v>
      </c>
      <c r="K144" s="62" t="s">
        <v>122</v>
      </c>
      <c r="L144" s="47">
        <f>SUMIF(L130:L143,"&lt;&gt;#N/A")</f>
        <v>1.7424296999999997</v>
      </c>
      <c r="M144" s="55">
        <f>SUM(M130:M143)</f>
        <v>1.1316112065532606</v>
      </c>
    </row>
    <row r="145" spans="1:13">
      <c r="B145" s="1047"/>
      <c r="C145" s="1047"/>
      <c r="D145" s="1047"/>
      <c r="E145" s="1047"/>
      <c r="F145" s="1047"/>
      <c r="G145" s="1047"/>
      <c r="H145" s="1047"/>
      <c r="I145" s="63"/>
    </row>
    <row r="146" spans="1:13">
      <c r="A146" s="37" t="s">
        <v>512</v>
      </c>
    </row>
    <row r="147" spans="1:13" ht="47.25">
      <c r="A147" t="s">
        <v>605</v>
      </c>
      <c r="J147" s="26" t="s">
        <v>494</v>
      </c>
      <c r="K147" s="10" t="s">
        <v>495</v>
      </c>
      <c r="L147" s="10"/>
      <c r="M147" s="10"/>
    </row>
    <row r="148" spans="1:13" ht="47.25">
      <c r="A148" s="1539" t="s">
        <v>489</v>
      </c>
      <c r="B148" s="46" t="s">
        <v>491</v>
      </c>
      <c r="C148" s="46" t="s">
        <v>490</v>
      </c>
      <c r="D148" s="1542" t="s">
        <v>492</v>
      </c>
      <c r="E148" s="1544"/>
      <c r="F148" s="89" t="s">
        <v>915</v>
      </c>
      <c r="G148" s="89" t="s">
        <v>916</v>
      </c>
      <c r="H148" s="1542" t="s">
        <v>493</v>
      </c>
      <c r="I148" s="1544"/>
      <c r="J148" s="26" t="s">
        <v>233</v>
      </c>
      <c r="K148" s="10"/>
      <c r="L148" s="10"/>
      <c r="M148" s="10"/>
    </row>
    <row r="149" spans="1:13">
      <c r="A149" s="1541"/>
      <c r="B149" s="46" t="s">
        <v>288</v>
      </c>
      <c r="C149" s="26" t="s">
        <v>233</v>
      </c>
      <c r="D149" s="26" t="s">
        <v>233</v>
      </c>
      <c r="E149" s="26" t="s">
        <v>233</v>
      </c>
      <c r="F149" s="26" t="s">
        <v>233</v>
      </c>
      <c r="G149" s="26" t="s">
        <v>233</v>
      </c>
      <c r="H149" s="26" t="s">
        <v>233</v>
      </c>
      <c r="I149" s="26" t="s">
        <v>233</v>
      </c>
      <c r="J149" s="26" t="s">
        <v>506</v>
      </c>
      <c r="K149" s="10"/>
      <c r="L149" s="10"/>
      <c r="M149" s="10"/>
    </row>
    <row r="150" spans="1:13" ht="31.5">
      <c r="A150" s="1574" t="s">
        <v>143</v>
      </c>
      <c r="B150" s="1584"/>
      <c r="C150" s="1581" t="s">
        <v>496</v>
      </c>
      <c r="D150" s="1542" t="s">
        <v>497</v>
      </c>
      <c r="E150" s="1544"/>
      <c r="F150" s="26" t="s">
        <v>499</v>
      </c>
      <c r="G150" s="26" t="s">
        <v>499</v>
      </c>
      <c r="H150" s="26" t="s">
        <v>503</v>
      </c>
      <c r="I150" s="26" t="s">
        <v>504</v>
      </c>
      <c r="J150" s="26" t="s">
        <v>505</v>
      </c>
      <c r="K150" s="10"/>
      <c r="L150" s="10"/>
      <c r="M150" s="10"/>
    </row>
    <row r="151" spans="1:13" s="10" customFormat="1">
      <c r="A151" s="1575"/>
      <c r="B151" s="1584"/>
      <c r="C151" s="1583"/>
      <c r="D151" s="75" t="s">
        <v>809</v>
      </c>
      <c r="E151" s="22" t="s">
        <v>810</v>
      </c>
      <c r="F151" s="26" t="s">
        <v>498</v>
      </c>
      <c r="G151" s="26" t="s">
        <v>498</v>
      </c>
      <c r="H151" s="26" t="s">
        <v>502</v>
      </c>
      <c r="I151" s="26" t="s">
        <v>502</v>
      </c>
      <c r="J151" s="26" t="s">
        <v>507</v>
      </c>
    </row>
    <row r="152" spans="1:13" s="10" customFormat="1">
      <c r="A152" s="1576"/>
      <c r="B152" s="94" t="s">
        <v>488</v>
      </c>
      <c r="C152" s="26" t="s">
        <v>486</v>
      </c>
      <c r="D152" s="26" t="str">
        <f>INPUTS!D37</f>
        <v>solid storage</v>
      </c>
      <c r="E152" s="26" t="str">
        <f>INPUTS!D38</f>
        <v xml:space="preserve">dry lot </v>
      </c>
      <c r="F152" s="26" t="s">
        <v>392</v>
      </c>
      <c r="G152" s="26" t="s">
        <v>392</v>
      </c>
      <c r="H152" s="26" t="str">
        <f>INPUTS!D37</f>
        <v>solid storage</v>
      </c>
      <c r="I152" s="26" t="str">
        <f>INPUTS!D38</f>
        <v xml:space="preserve">dry lot </v>
      </c>
      <c r="J152" s="45"/>
      <c r="K152"/>
      <c r="L152"/>
      <c r="M152"/>
    </row>
    <row r="153" spans="1:13" s="10" customFormat="1">
      <c r="A153" s="156" t="str">
        <f>INPUTS!C21</f>
        <v>Cows (local)</v>
      </c>
      <c r="B153" s="45">
        <f>'GHG Manure'!E58</f>
        <v>61.319999999999993</v>
      </c>
      <c r="C153" s="45">
        <f>B153*INPUTS!D21</f>
        <v>61.319999999999993</v>
      </c>
      <c r="D153" s="45">
        <f>C153*INPUTS!H21</f>
        <v>52.121999999999993</v>
      </c>
      <c r="E153" s="45">
        <f>C153*INPUTS!I21</f>
        <v>0</v>
      </c>
      <c r="F153" s="45">
        <f>(INPUTS!J21*C153)</f>
        <v>9.1979999999999986</v>
      </c>
      <c r="G153" s="45">
        <f>(INPUTS!K21*C153)</f>
        <v>0</v>
      </c>
      <c r="H153" s="45">
        <f>(D153*(1-C130)) *INPUTS!M21*INPUTS!Q21</f>
        <v>29.553173999999995</v>
      </c>
      <c r="I153" s="45">
        <f>(E153*(1-D130))*INPUTS!N21*INPUTS!Q21</f>
        <v>0</v>
      </c>
      <c r="J153" s="45">
        <f t="shared" ref="J153:J166" si="18">(H153+I153)-(I107*(28/44))</f>
        <v>29.292563999999995</v>
      </c>
      <c r="K153"/>
      <c r="L153"/>
      <c r="M153"/>
    </row>
    <row r="154" spans="1:13" s="10" customFormat="1">
      <c r="A154" s="156" t="str">
        <f>INPUTS!C22</f>
        <v>Cows (improved)</v>
      </c>
      <c r="B154" s="45">
        <f>'GHG Manure'!E59</f>
        <v>78.84</v>
      </c>
      <c r="C154" s="45">
        <f>B154*INPUTS!D22</f>
        <v>78.84</v>
      </c>
      <c r="D154" s="45">
        <f>C154*INPUTS!H22</f>
        <v>67.013999999999996</v>
      </c>
      <c r="E154" s="45">
        <f>C154*INPUTS!I22</f>
        <v>0</v>
      </c>
      <c r="F154" s="45">
        <f>(INPUTS!J22*C154)</f>
        <v>11.826000000000001</v>
      </c>
      <c r="G154" s="45">
        <f>(INPUTS!K22*C154)</f>
        <v>0</v>
      </c>
      <c r="H154" s="45">
        <f>(D154*(1-C131)) *INPUTS!M22*INPUTS!Q22</f>
        <v>37.996938</v>
      </c>
      <c r="I154" s="45">
        <f>(E154*(1-D131))*INPUTS!N22*INPUTS!Q22</f>
        <v>0</v>
      </c>
      <c r="J154" s="45">
        <f t="shared" si="18"/>
        <v>37.661867999999998</v>
      </c>
      <c r="K154"/>
      <c r="L154"/>
      <c r="M154"/>
    </row>
    <row r="155" spans="1:13" s="10" customFormat="1">
      <c r="A155" s="156" t="str">
        <f>INPUTS!C23</f>
        <v>Adult cattle - male</v>
      </c>
      <c r="B155" s="45">
        <f>'GHG Manure'!E60</f>
        <v>54.019999999999996</v>
      </c>
      <c r="C155" s="45">
        <f>B155*INPUTS!D23</f>
        <v>54.019999999999996</v>
      </c>
      <c r="D155" s="45">
        <f>C155*INPUTS!H23</f>
        <v>54.019999999999996</v>
      </c>
      <c r="E155" s="45">
        <f>C155*INPUTS!I23</f>
        <v>0</v>
      </c>
      <c r="F155" s="45">
        <f>(INPUTS!J23*C155)</f>
        <v>8.1029999999999998</v>
      </c>
      <c r="G155" s="45">
        <f>(INPUTS!K23*C155)</f>
        <v>0</v>
      </c>
      <c r="H155" s="45">
        <f>(D155*(1-C132)) *INPUTS!M23*INPUTS!Q23</f>
        <v>30.629339999999996</v>
      </c>
      <c r="I155" s="45">
        <f>(E155*(1-D132))*INPUTS!N23*INPUTS!Q23</f>
        <v>0</v>
      </c>
      <c r="J155" s="45">
        <f t="shared" si="18"/>
        <v>30.359239999999996</v>
      </c>
      <c r="K155"/>
      <c r="L155"/>
      <c r="M155"/>
    </row>
    <row r="156" spans="1:13">
      <c r="A156" s="156" t="str">
        <f>INPUTS!C24</f>
        <v>Calves</v>
      </c>
      <c r="B156" s="45">
        <f>'GHG Manure'!E61</f>
        <v>9.4535000000000018</v>
      </c>
      <c r="C156" s="45">
        <f>B156*INPUTS!D24</f>
        <v>9.4535000000000018</v>
      </c>
      <c r="D156" s="45">
        <f>C156*INPUTS!H24</f>
        <v>8.0354750000000017</v>
      </c>
      <c r="E156" s="45">
        <f>C156*INPUTS!I24</f>
        <v>0</v>
      </c>
      <c r="F156" s="45">
        <f>(INPUTS!J24*C156)</f>
        <v>1.4180250000000003</v>
      </c>
      <c r="G156" s="45">
        <f>(INPUTS!K24*C156)</f>
        <v>0</v>
      </c>
      <c r="H156" s="45">
        <f>(D156*(1-C133)) *INPUTS!M24*INPUTS!Q24</f>
        <v>4.5561143250000011</v>
      </c>
      <c r="I156" s="45">
        <f>(E156*(1-D133))*INPUTS!N24*INPUTS!Q24</f>
        <v>0</v>
      </c>
      <c r="J156" s="45">
        <f t="shared" si="18"/>
        <v>4.5159369500000013</v>
      </c>
    </row>
    <row r="157" spans="1:13">
      <c r="A157" s="156" t="str">
        <f>INPUTS!C25</f>
        <v>Buffalo (dairy)</v>
      </c>
      <c r="B157" s="45">
        <f>'GHG Manure'!E62</f>
        <v>60.772500000000001</v>
      </c>
      <c r="C157" s="45">
        <f>B157*INPUTS!D25</f>
        <v>60.772500000000001</v>
      </c>
      <c r="D157" s="45">
        <f>C157*INPUTS!H25</f>
        <v>51.656624999999998</v>
      </c>
      <c r="E157" s="45">
        <f>C157*INPUTS!I25</f>
        <v>0</v>
      </c>
      <c r="F157" s="45">
        <f>(INPUTS!J25*C157)</f>
        <v>9.1158749999999991</v>
      </c>
      <c r="G157" s="45">
        <f>(INPUTS!K25*C157)</f>
        <v>0</v>
      </c>
      <c r="H157" s="45">
        <f>(D157*(1-C134)) *INPUTS!M25*INPUTS!Q25</f>
        <v>29.289306374999999</v>
      </c>
      <c r="I157" s="45">
        <f>(E157*(1-D134))*INPUTS!N25*INPUTS!Q25</f>
        <v>0</v>
      </c>
      <c r="J157" s="45">
        <f t="shared" si="18"/>
        <v>29.031023250000001</v>
      </c>
    </row>
    <row r="158" spans="1:13">
      <c r="A158" s="156" t="str">
        <f>INPUTS!C26</f>
        <v>Sheep/Goats - Ewes/Does</v>
      </c>
      <c r="B158" s="45">
        <f>'GHG Manure'!E63</f>
        <v>12.811500000000001</v>
      </c>
      <c r="C158" s="45">
        <f>B158*INPUTS!D26</f>
        <v>12.811500000000001</v>
      </c>
      <c r="D158" s="45">
        <f>C158*INPUTS!H26</f>
        <v>10.889775</v>
      </c>
      <c r="E158" s="45">
        <f>C158*INPUTS!I26</f>
        <v>0</v>
      </c>
      <c r="F158" s="45">
        <f>(INPUTS!J26*C158)</f>
        <v>1.9217249999999999</v>
      </c>
      <c r="G158" s="45">
        <f>(INPUTS!K26*C158)</f>
        <v>0</v>
      </c>
      <c r="H158" s="45">
        <f>(D158*(1-C135)) *INPUTS!M26*INPUTS!Q26</f>
        <v>6.1745024250000009</v>
      </c>
      <c r="I158" s="45">
        <f>(E158*(1-D135))*INPUTS!N26*INPUTS!Q26</f>
        <v>0</v>
      </c>
      <c r="J158" s="45">
        <f t="shared" si="18"/>
        <v>6.1200535500000006</v>
      </c>
    </row>
    <row r="159" spans="1:13">
      <c r="A159" s="156" t="str">
        <f>INPUTS!C27</f>
        <v>Pigs - lactating/pregnant sows</v>
      </c>
      <c r="B159" s="45">
        <f>'GHG Manure'!E64</f>
        <v>119.72</v>
      </c>
      <c r="C159" s="45">
        <f>B159*INPUTS!D27</f>
        <v>119.72</v>
      </c>
      <c r="D159" s="45">
        <f>C159*INPUTS!H27</f>
        <v>101.762</v>
      </c>
      <c r="E159" s="45">
        <f>C159*INPUTS!I27</f>
        <v>0</v>
      </c>
      <c r="F159" s="45">
        <f>(INPUTS!J27*C159)</f>
        <v>17.957999999999998</v>
      </c>
      <c r="G159" s="45">
        <f>(INPUTS!K27*C159)</f>
        <v>0</v>
      </c>
      <c r="H159" s="45">
        <f>(D159*(1-C136)) *INPUTS!M27*INPUTS!Q27</f>
        <v>57.69905399999999</v>
      </c>
      <c r="I159" s="45">
        <f>(E159*(1-D136))*INPUTS!N27*INPUTS!Q27</f>
        <v>0</v>
      </c>
      <c r="J159" s="45">
        <f t="shared" si="18"/>
        <v>57.190243999999993</v>
      </c>
    </row>
    <row r="160" spans="1:13" s="1237" customFormat="1">
      <c r="A160" s="156" t="str">
        <f>INPUTS!C28</f>
        <v>Calves</v>
      </c>
      <c r="B160" s="45">
        <f>'GHG Manure'!E65</f>
        <v>9.4535000000000018</v>
      </c>
      <c r="C160" s="45">
        <f>B160*INPUTS!D28</f>
        <v>28.360500000000005</v>
      </c>
      <c r="D160" s="45">
        <f>C160*INPUTS!H28</f>
        <v>24.106425000000005</v>
      </c>
      <c r="E160" s="45">
        <f>C160*INPUTS!I28</f>
        <v>0</v>
      </c>
      <c r="F160" s="45">
        <f>(INPUTS!J28*C160)</f>
        <v>4.2540750000000003</v>
      </c>
      <c r="G160" s="45">
        <f>(INPUTS!K28*C160)</f>
        <v>0</v>
      </c>
      <c r="H160" s="45">
        <f>(D160*(1-C137)) *INPUTS!M28*INPUTS!Q28</f>
        <v>13.668342975000003</v>
      </c>
      <c r="I160" s="45">
        <f>(E160*(1-D137))*INPUTS!N28*INPUTS!Q28</f>
        <v>0</v>
      </c>
      <c r="J160" s="45">
        <f t="shared" si="18"/>
        <v>13.547810850000003</v>
      </c>
    </row>
    <row r="161" spans="1:13" s="1237" customFormat="1">
      <c r="A161" s="156" t="str">
        <f>INPUTS!C29</f>
        <v>Cows (high productive)</v>
      </c>
      <c r="B161" s="45">
        <f>'GHG Manure'!E66</f>
        <v>105.11999999999999</v>
      </c>
      <c r="C161" s="45">
        <f>B161*INPUTS!D29</f>
        <v>210.23999999999998</v>
      </c>
      <c r="D161" s="45">
        <f>C161*INPUTS!H29</f>
        <v>178.70399999999998</v>
      </c>
      <c r="E161" s="45">
        <f>C161*INPUTS!I29</f>
        <v>0</v>
      </c>
      <c r="F161" s="45">
        <f>(INPUTS!J29*C161)</f>
        <v>31.535999999999994</v>
      </c>
      <c r="G161" s="45">
        <f>(INPUTS!K29*C161)</f>
        <v>0</v>
      </c>
      <c r="H161" s="45">
        <f>(D161*(1-C138)) *INPUTS!M29*INPUTS!Q29</f>
        <v>101.32516799999999</v>
      </c>
      <c r="I161" s="45">
        <f>(E161*(1-D138))*INPUTS!N29*INPUTS!Q29</f>
        <v>0</v>
      </c>
      <c r="J161" s="45">
        <f t="shared" si="18"/>
        <v>100.431648</v>
      </c>
    </row>
    <row r="162" spans="1:13" s="1237" customFormat="1">
      <c r="A162" s="156">
        <f>INPUTS!C30</f>
        <v>0</v>
      </c>
      <c r="B162" s="45" t="e">
        <f>'GHG Manure'!E67</f>
        <v>#N/A</v>
      </c>
      <c r="C162" s="45" t="e">
        <f>B162*INPUTS!D30</f>
        <v>#N/A</v>
      </c>
      <c r="D162" s="45" t="e">
        <f>C162*INPUTS!H30</f>
        <v>#N/A</v>
      </c>
      <c r="E162" s="45" t="e">
        <f>C162*INPUTS!I30</f>
        <v>#N/A</v>
      </c>
      <c r="F162" s="45" t="e">
        <f>(INPUTS!J30*C162)</f>
        <v>#N/A</v>
      </c>
      <c r="G162" s="45" t="e">
        <f>(INPUTS!K30*C162)</f>
        <v>#N/A</v>
      </c>
      <c r="H162" s="45" t="e">
        <f>(D162*(1-C139)) *INPUTS!M30*INPUTS!Q30</f>
        <v>#N/A</v>
      </c>
      <c r="I162" s="45" t="e">
        <f>(E162*(1-D139))*INPUTS!N30*INPUTS!Q30</f>
        <v>#N/A</v>
      </c>
      <c r="J162" s="45" t="e">
        <f t="shared" si="18"/>
        <v>#N/A</v>
      </c>
    </row>
    <row r="163" spans="1:13" s="1237" customFormat="1">
      <c r="A163" s="156">
        <f>INPUTS!C31</f>
        <v>0</v>
      </c>
      <c r="B163" s="45" t="e">
        <f>'GHG Manure'!E68</f>
        <v>#N/A</v>
      </c>
      <c r="C163" s="45" t="e">
        <f>B163*INPUTS!D31</f>
        <v>#N/A</v>
      </c>
      <c r="D163" s="45" t="e">
        <f>C163*INPUTS!H31</f>
        <v>#N/A</v>
      </c>
      <c r="E163" s="45" t="e">
        <f>C163*INPUTS!I31</f>
        <v>#N/A</v>
      </c>
      <c r="F163" s="45" t="e">
        <f>(INPUTS!J31*C163)</f>
        <v>#N/A</v>
      </c>
      <c r="G163" s="45" t="e">
        <f>(INPUTS!K31*C163)</f>
        <v>#N/A</v>
      </c>
      <c r="H163" s="45" t="e">
        <f>(D163*(1-C140)) *INPUTS!M31*INPUTS!Q31</f>
        <v>#N/A</v>
      </c>
      <c r="I163" s="45" t="e">
        <f>(E163*(1-D140))*INPUTS!N31*INPUTS!Q31</f>
        <v>#N/A</v>
      </c>
      <c r="J163" s="45" t="e">
        <f t="shared" si="18"/>
        <v>#N/A</v>
      </c>
    </row>
    <row r="164" spans="1:13">
      <c r="A164" s="156">
        <f>INPUTS!C32</f>
        <v>0</v>
      </c>
      <c r="B164" s="45" t="e">
        <f>'GHG Manure'!E69</f>
        <v>#N/A</v>
      </c>
      <c r="C164" s="45" t="e">
        <f>B164*INPUTS!D32</f>
        <v>#N/A</v>
      </c>
      <c r="D164" s="45" t="e">
        <f>C164*INPUTS!H32</f>
        <v>#N/A</v>
      </c>
      <c r="E164" s="45" t="e">
        <f>C164*INPUTS!I32</f>
        <v>#N/A</v>
      </c>
      <c r="F164" s="45" t="e">
        <f>(INPUTS!J32*C164)</f>
        <v>#N/A</v>
      </c>
      <c r="G164" s="45" t="e">
        <f>(INPUTS!K32*C164)</f>
        <v>#N/A</v>
      </c>
      <c r="H164" s="45" t="e">
        <f>(D164*(1-C141)) *INPUTS!M32*INPUTS!Q32</f>
        <v>#N/A</v>
      </c>
      <c r="I164" s="45" t="e">
        <f>(E164*(1-D141))*INPUTS!N32*INPUTS!Q32</f>
        <v>#N/A</v>
      </c>
      <c r="J164" s="45" t="e">
        <f t="shared" si="18"/>
        <v>#N/A</v>
      </c>
    </row>
    <row r="165" spans="1:13" s="1136" customFormat="1">
      <c r="A165" s="156">
        <f>INPUTS!C33</f>
        <v>0</v>
      </c>
      <c r="B165" s="45" t="e">
        <f>'GHG Manure'!E70</f>
        <v>#N/A</v>
      </c>
      <c r="C165" s="45" t="e">
        <f>B165*INPUTS!D33</f>
        <v>#N/A</v>
      </c>
      <c r="D165" s="45" t="e">
        <f>C165*INPUTS!H33</f>
        <v>#N/A</v>
      </c>
      <c r="E165" s="45" t="e">
        <f>C165*INPUTS!I33</f>
        <v>#N/A</v>
      </c>
      <c r="F165" s="45" t="e">
        <f>(INPUTS!J33*C165)</f>
        <v>#N/A</v>
      </c>
      <c r="G165" s="45" t="e">
        <f>(INPUTS!K33*C165)</f>
        <v>#N/A</v>
      </c>
      <c r="H165" s="45" t="e">
        <f>(D165*(1-C142)) *INPUTS!M33*INPUTS!Q33</f>
        <v>#N/A</v>
      </c>
      <c r="I165" s="45" t="e">
        <f>(E165*(1-D142))*INPUTS!N33*INPUTS!Q33</f>
        <v>#N/A</v>
      </c>
      <c r="J165" s="45" t="e">
        <f t="shared" si="18"/>
        <v>#N/A</v>
      </c>
    </row>
    <row r="166" spans="1:13">
      <c r="A166" s="156">
        <f>INPUTS!C34</f>
        <v>0</v>
      </c>
      <c r="B166" s="45" t="e">
        <f>'GHG Manure'!E71</f>
        <v>#N/A</v>
      </c>
      <c r="C166" s="45" t="e">
        <f>B166*INPUTS!D34</f>
        <v>#N/A</v>
      </c>
      <c r="D166" s="45" t="e">
        <f>C166*INPUTS!H34</f>
        <v>#N/A</v>
      </c>
      <c r="E166" s="45" t="e">
        <f>C166*INPUTS!I34</f>
        <v>#N/A</v>
      </c>
      <c r="F166" s="45" t="e">
        <f>(INPUTS!J34*C166)</f>
        <v>#N/A</v>
      </c>
      <c r="G166" s="45" t="e">
        <f>(INPUTS!K34*C166)</f>
        <v>#N/A</v>
      </c>
      <c r="H166" s="45" t="e">
        <f>(D166*(1-C143)) *INPUTS!M34*INPUTS!Q34</f>
        <v>#N/A</v>
      </c>
      <c r="I166" s="45" t="e">
        <f>(E166*(1-D143))*INPUTS!N34*INPUTS!Q34</f>
        <v>#N/A</v>
      </c>
      <c r="J166" s="45" t="e">
        <f t="shared" si="18"/>
        <v>#N/A</v>
      </c>
    </row>
    <row r="167" spans="1:13">
      <c r="A167" s="26" t="s">
        <v>253</v>
      </c>
      <c r="B167" s="1300">
        <f t="shared" ref="B167:J167" si="19">SUMIF(B153:B166,"&lt;&gt;#N/A")</f>
        <v>511.51100000000002</v>
      </c>
      <c r="C167" s="1300">
        <f t="shared" si="19"/>
        <v>635.53800000000001</v>
      </c>
      <c r="D167" s="1300">
        <f t="shared" si="19"/>
        <v>548.31029999999998</v>
      </c>
      <c r="E167" s="1300">
        <f t="shared" si="19"/>
        <v>0</v>
      </c>
      <c r="F167" s="1300">
        <f t="shared" si="19"/>
        <v>95.330699999999993</v>
      </c>
      <c r="G167" s="1300">
        <f t="shared" si="19"/>
        <v>0</v>
      </c>
      <c r="H167" s="1300">
        <f t="shared" si="19"/>
        <v>310.8919401</v>
      </c>
      <c r="I167" s="1300">
        <f t="shared" si="19"/>
        <v>0</v>
      </c>
      <c r="J167" s="1300">
        <f t="shared" si="19"/>
        <v>308.15038859999993</v>
      </c>
    </row>
    <row r="170" spans="1:13">
      <c r="A170" s="37" t="s">
        <v>512</v>
      </c>
    </row>
    <row r="171" spans="1:13" ht="47.25">
      <c r="A171" t="s">
        <v>604</v>
      </c>
      <c r="J171" s="26" t="s">
        <v>632</v>
      </c>
      <c r="K171" s="10" t="s">
        <v>495</v>
      </c>
      <c r="L171" s="10"/>
      <c r="M171" s="10"/>
    </row>
    <row r="172" spans="1:13" ht="47.25">
      <c r="A172" s="1539" t="s">
        <v>489</v>
      </c>
      <c r="B172" s="46" t="s">
        <v>508</v>
      </c>
      <c r="C172" s="46" t="s">
        <v>509</v>
      </c>
      <c r="D172" s="1542" t="s">
        <v>492</v>
      </c>
      <c r="E172" s="1544"/>
      <c r="F172" s="89" t="s">
        <v>915</v>
      </c>
      <c r="G172" s="89" t="s">
        <v>916</v>
      </c>
      <c r="H172" s="1542" t="s">
        <v>493</v>
      </c>
      <c r="I172" s="1544"/>
      <c r="J172" s="26" t="s">
        <v>233</v>
      </c>
      <c r="K172" s="10"/>
      <c r="L172" s="10"/>
      <c r="M172" s="10"/>
    </row>
    <row r="173" spans="1:13">
      <c r="A173" s="1541"/>
      <c r="B173" s="46" t="s">
        <v>1324</v>
      </c>
      <c r="C173" s="26" t="s">
        <v>233</v>
      </c>
      <c r="D173" s="26" t="s">
        <v>233</v>
      </c>
      <c r="E173" s="26" t="s">
        <v>233</v>
      </c>
      <c r="F173" s="26" t="s">
        <v>233</v>
      </c>
      <c r="G173" s="26" t="s">
        <v>233</v>
      </c>
      <c r="H173" s="26" t="s">
        <v>233</v>
      </c>
      <c r="I173" s="26" t="s">
        <v>233</v>
      </c>
      <c r="J173" s="26" t="s">
        <v>506</v>
      </c>
      <c r="K173" s="10"/>
      <c r="L173" s="10"/>
      <c r="M173" s="10"/>
    </row>
    <row r="174" spans="1:13" ht="31.5">
      <c r="A174" s="1581" t="s">
        <v>143</v>
      </c>
      <c r="B174" s="1584" t="s">
        <v>511</v>
      </c>
      <c r="C174" s="1581" t="s">
        <v>510</v>
      </c>
      <c r="D174" s="1542" t="s">
        <v>497</v>
      </c>
      <c r="E174" s="1544"/>
      <c r="F174" s="26" t="s">
        <v>499</v>
      </c>
      <c r="G174" s="26" t="s">
        <v>499</v>
      </c>
      <c r="H174" s="26" t="s">
        <v>503</v>
      </c>
      <c r="I174" s="26" t="s">
        <v>504</v>
      </c>
      <c r="J174" s="26" t="s">
        <v>505</v>
      </c>
      <c r="K174" s="10"/>
      <c r="L174" s="10"/>
      <c r="M174" s="10"/>
    </row>
    <row r="175" spans="1:13" s="10" customFormat="1">
      <c r="A175" s="1582"/>
      <c r="B175" s="1584"/>
      <c r="C175" s="1583"/>
      <c r="D175" s="75" t="s">
        <v>500</v>
      </c>
      <c r="E175" s="22" t="s">
        <v>501</v>
      </c>
      <c r="F175" s="26" t="s">
        <v>498</v>
      </c>
      <c r="G175" s="26" t="s">
        <v>498</v>
      </c>
      <c r="H175" s="26" t="s">
        <v>502</v>
      </c>
      <c r="I175" s="26" t="s">
        <v>502</v>
      </c>
      <c r="J175" s="26" t="s">
        <v>507</v>
      </c>
    </row>
    <row r="176" spans="1:13" s="10" customFormat="1">
      <c r="A176" s="1583"/>
      <c r="B176" s="94" t="s">
        <v>487</v>
      </c>
      <c r="C176" s="26" t="s">
        <v>486</v>
      </c>
      <c r="D176" s="26" t="str">
        <f>INPUTS!D37</f>
        <v>solid storage</v>
      </c>
      <c r="E176" s="26" t="str">
        <f>INPUTS!D38</f>
        <v xml:space="preserve">dry lot </v>
      </c>
      <c r="F176" s="26" t="s">
        <v>392</v>
      </c>
      <c r="G176" s="26" t="s">
        <v>392</v>
      </c>
      <c r="H176" s="26" t="str">
        <f>INPUTS!D37</f>
        <v>solid storage</v>
      </c>
      <c r="I176" s="26" t="str">
        <f>INPUTS!D38</f>
        <v xml:space="preserve">dry lot </v>
      </c>
      <c r="J176" s="76"/>
    </row>
    <row r="177" spans="1:13" s="10" customFormat="1">
      <c r="A177" s="156" t="str">
        <f>INPUTS!C21</f>
        <v>Cows (local)</v>
      </c>
      <c r="B177" s="53">
        <f>'GHG Manure'!G80</f>
        <v>23.753897811128105</v>
      </c>
      <c r="C177" s="76">
        <f t="shared" ref="C177" si="20">IFERROR(B177,"")</f>
        <v>23.753897811128105</v>
      </c>
      <c r="D177" s="53">
        <f>IFERROR(C177*INPUTS!H21,"")</f>
        <v>20.190813139458889</v>
      </c>
      <c r="E177" s="53">
        <f>IFERROR(C177*INPUTS!I21,"")</f>
        <v>0</v>
      </c>
      <c r="F177" s="53">
        <f>IFERROR(INPUTS!J21*C177,"")</f>
        <v>3.5630846716692157</v>
      </c>
      <c r="G177" s="53">
        <f>IFERROR(INPUTS!K21*C177,"")</f>
        <v>0</v>
      </c>
      <c r="H177" s="53">
        <f>IFERROR(((D177*(1-C130))*INPUTS!M21*INPUTS!Q21),"")</f>
        <v>11.44819105007319</v>
      </c>
      <c r="I177" s="53">
        <f>IFERROR(((E177*(1-D130))*INPUTS!N21*INPUTS!Q21),"")</f>
        <v>0</v>
      </c>
      <c r="J177" s="76">
        <f>IFERROR(((H177+I177)-(J107*(28/44))),"")</f>
        <v>11.347236984375895</v>
      </c>
      <c r="K177"/>
      <c r="L177"/>
      <c r="M177"/>
    </row>
    <row r="178" spans="1:13" s="10" customFormat="1">
      <c r="A178" s="156" t="str">
        <f>INPUTS!C22</f>
        <v>Cows (improved)</v>
      </c>
      <c r="B178" s="53">
        <f>'GHG Manure'!G81</f>
        <v>26.726547627132877</v>
      </c>
      <c r="C178" s="76">
        <f t="shared" ref="C178:C190" si="21">IFERROR(B178,"")</f>
        <v>26.726547627132877</v>
      </c>
      <c r="D178" s="53">
        <f>IFERROR(C178*INPUTS!H22,"")</f>
        <v>22.717565483062945</v>
      </c>
      <c r="E178" s="53">
        <f>IFERROR(C178*INPUTS!I22,"")</f>
        <v>0</v>
      </c>
      <c r="F178" s="53">
        <f>IFERROR(INPUTS!J22*C178,"")</f>
        <v>4.0089821440699316</v>
      </c>
      <c r="G178" s="53">
        <f>IFERROR(INPUTS!K22*C178,"")</f>
        <v>0</v>
      </c>
      <c r="H178" s="53">
        <f>IFERROR(((D178*(1-C131))*INPUTS!M22*INPUTS!Q22),"")</f>
        <v>12.880859628896689</v>
      </c>
      <c r="I178" s="53">
        <f>IFERROR(((E178*(1-D131))*INPUTS!N22*INPUTS!Q22),"")</f>
        <v>0</v>
      </c>
      <c r="J178" s="76">
        <f t="shared" ref="J178:J190" si="22">IFERROR(((H178+I178)-(J108*(28/44))),"")</f>
        <v>12.767271801481375</v>
      </c>
      <c r="K178"/>
      <c r="L178"/>
      <c r="M178"/>
    </row>
    <row r="179" spans="1:13" s="10" customFormat="1">
      <c r="A179" s="156" t="str">
        <f>INPUTS!C23</f>
        <v>Adult cattle - male</v>
      </c>
      <c r="B179" s="53">
        <f>'GHG Manure'!G82</f>
        <v>30.006988795460014</v>
      </c>
      <c r="C179" s="76">
        <f t="shared" si="21"/>
        <v>30.006988795460014</v>
      </c>
      <c r="D179" s="53">
        <f>IFERROR(C179*INPUTS!H23,"")</f>
        <v>30.006988795460014</v>
      </c>
      <c r="E179" s="53">
        <f>IFERROR(C179*INPUTS!I23,"")</f>
        <v>0</v>
      </c>
      <c r="F179" s="53">
        <f>IFERROR(INPUTS!J23*C179,"")</f>
        <v>4.5010483193190023</v>
      </c>
      <c r="G179" s="53">
        <f>IFERROR(INPUTS!K23*C179,"")</f>
        <v>0</v>
      </c>
      <c r="H179" s="53">
        <f>IFERROR(((D179*(1-C132))*INPUTS!M23*INPUTS!Q23),"")</f>
        <v>17.013962647025831</v>
      </c>
      <c r="I179" s="53">
        <f>IFERROR(((E179*(1-D132))*INPUTS!N23*INPUTS!Q23),"")</f>
        <v>0</v>
      </c>
      <c r="J179" s="76">
        <f t="shared" si="22"/>
        <v>16.863927703048532</v>
      </c>
      <c r="K179"/>
      <c r="L179"/>
      <c r="M179"/>
    </row>
    <row r="180" spans="1:13" s="10" customFormat="1">
      <c r="A180" s="156" t="str">
        <f>INPUTS!C24</f>
        <v>Calves</v>
      </c>
      <c r="B180" s="53">
        <f>'GHG Manure'!G83</f>
        <v>4.6818467727667601</v>
      </c>
      <c r="C180" s="76">
        <f t="shared" si="21"/>
        <v>4.6818467727667601</v>
      </c>
      <c r="D180" s="53">
        <f>IFERROR(C180*INPUTS!H24,"")</f>
        <v>3.9795697568517459</v>
      </c>
      <c r="E180" s="53">
        <f>IFERROR(C180*INPUTS!I24,"")</f>
        <v>0</v>
      </c>
      <c r="F180" s="53">
        <f>IFERROR(INPUTS!J24*C180,"")</f>
        <v>0.70227701591501401</v>
      </c>
      <c r="G180" s="53">
        <f>IFERROR(INPUTS!K24*C180,"")</f>
        <v>0</v>
      </c>
      <c r="H180" s="53">
        <f>IFERROR(((D180*(1-C133))*INPUTS!M24*INPUTS!Q24),"")</f>
        <v>2.2564160521349401</v>
      </c>
      <c r="I180" s="53">
        <f>IFERROR(((E180*(1-D133))*INPUTS!N24*INPUTS!Q24),"")</f>
        <v>0</v>
      </c>
      <c r="J180" s="76">
        <f t="shared" si="22"/>
        <v>2.2365182033506814</v>
      </c>
      <c r="K180" s="12" t="s">
        <v>407</v>
      </c>
      <c r="L180"/>
      <c r="M180"/>
    </row>
    <row r="181" spans="1:13">
      <c r="A181" s="156" t="str">
        <f>INPUTS!C25</f>
        <v>Buffalo (dairy)</v>
      </c>
      <c r="B181" s="53">
        <f>'GHG Manure'!G84</f>
        <v>26.328810568907411</v>
      </c>
      <c r="C181" s="76">
        <f t="shared" si="21"/>
        <v>26.328810568907411</v>
      </c>
      <c r="D181" s="53">
        <f>IFERROR(C181*INPUTS!H25,"")</f>
        <v>22.379488983571299</v>
      </c>
      <c r="E181" s="53">
        <f>IFERROR(C181*INPUTS!I25,"")</f>
        <v>0</v>
      </c>
      <c r="F181" s="53">
        <f>IFERROR(INPUTS!J25*C181,"")</f>
        <v>3.9493215853361114</v>
      </c>
      <c r="G181" s="53">
        <f>IFERROR(INPUTS!K25*C181,"")</f>
        <v>0</v>
      </c>
      <c r="H181" s="53">
        <f>IFERROR(((D181*(1-C134))*INPUTS!M25*INPUTS!Q25),"")</f>
        <v>12.689170253684926</v>
      </c>
      <c r="I181" s="53">
        <f>IFERROR(((E181*(1-D134))*INPUTS!N25*INPUTS!Q25),"")</f>
        <v>0</v>
      </c>
      <c r="J181" s="76">
        <f t="shared" si="22"/>
        <v>12.57727280876707</v>
      </c>
      <c r="K181" s="12"/>
    </row>
    <row r="182" spans="1:13">
      <c r="A182" s="156" t="str">
        <f>INPUTS!C26</f>
        <v>Sheep/Goats - Ewes/Does</v>
      </c>
      <c r="B182" s="53">
        <f>'GHG Manure'!G85</f>
        <v>6.3288589373200814</v>
      </c>
      <c r="C182" s="76">
        <f t="shared" si="21"/>
        <v>6.3288589373200814</v>
      </c>
      <c r="D182" s="53">
        <f>IFERROR(C182*INPUTS!H26,"")</f>
        <v>5.3795300967220694</v>
      </c>
      <c r="E182" s="53">
        <f>IFERROR(C182*INPUTS!I26,"")</f>
        <v>0</v>
      </c>
      <c r="F182" s="53">
        <f>IFERROR(INPUTS!J26*C182,"")</f>
        <v>0.94932884059801215</v>
      </c>
      <c r="G182" s="53">
        <f>IFERROR(INPUTS!K26*C182,"")</f>
        <v>0</v>
      </c>
      <c r="H182" s="53">
        <f>IFERROR(((D182*(1-C135))*INPUTS!M26*INPUTS!Q26),"")</f>
        <v>3.0501935648414129</v>
      </c>
      <c r="I182" s="53">
        <f>IFERROR(((E182*(1-D135))*INPUTS!N26*INPUTS!Q26),"")</f>
        <v>0</v>
      </c>
      <c r="J182" s="76">
        <f t="shared" si="22"/>
        <v>3.0232959143578024</v>
      </c>
      <c r="K182" s="179">
        <f>J158</f>
        <v>6.1200535500000006</v>
      </c>
      <c r="L182" s="178"/>
      <c r="M182" s="178"/>
    </row>
    <row r="183" spans="1:13">
      <c r="A183" s="156" t="str">
        <f>INPUTS!C27</f>
        <v>Pigs - lactating/pregnant sows</v>
      </c>
      <c r="B183" s="53">
        <f>'GHG Manure'!G86</f>
        <v>17.20215266260276</v>
      </c>
      <c r="C183" s="76">
        <f t="shared" si="21"/>
        <v>17.20215266260276</v>
      </c>
      <c r="D183" s="53">
        <f>IFERROR(C183*INPUTS!H27,"")</f>
        <v>14.621829763212345</v>
      </c>
      <c r="E183" s="53">
        <f>IFERROR(C183*INPUTS!I27,"")</f>
        <v>0</v>
      </c>
      <c r="F183" s="53">
        <f>IFERROR(INPUTS!J27*C183,"")</f>
        <v>2.5803228993904139</v>
      </c>
      <c r="G183" s="53">
        <f>IFERROR(INPUTS!K27*C183,"")</f>
        <v>0</v>
      </c>
      <c r="H183" s="53">
        <f>IFERROR(((D183*(1-C136))*INPUTS!M27*INPUTS!Q27),"")</f>
        <v>8.290577475741399</v>
      </c>
      <c r="I183" s="53">
        <f>IFERROR(((E183*(1-D136))*INPUTS!N27*INPUTS!Q27),"")</f>
        <v>0</v>
      </c>
      <c r="J183" s="76">
        <f t="shared" si="22"/>
        <v>8.2174683269253368</v>
      </c>
      <c r="K183" s="179">
        <f>J159</f>
        <v>57.190243999999993</v>
      </c>
      <c r="L183" s="178"/>
      <c r="M183" s="178"/>
    </row>
    <row r="184" spans="1:13">
      <c r="A184" s="156" t="str">
        <f>INPUTS!C28</f>
        <v>Calves</v>
      </c>
      <c r="B184" s="53">
        <f>'GHG Manure'!G87</f>
        <v>21.199598514243831</v>
      </c>
      <c r="C184" s="76">
        <f t="shared" si="21"/>
        <v>21.199598514243831</v>
      </c>
      <c r="D184" s="53">
        <f>IFERROR(C184*INPUTS!H28,"")</f>
        <v>18.019658737107257</v>
      </c>
      <c r="E184" s="53">
        <f>IFERROR(C184*INPUTS!I28,"")</f>
        <v>0</v>
      </c>
      <c r="F184" s="53">
        <f>IFERROR(INPUTS!J28*C184,"")</f>
        <v>3.1799397771365747</v>
      </c>
      <c r="G184" s="53">
        <f>IFERROR(INPUTS!K28*C184,"")</f>
        <v>0</v>
      </c>
      <c r="H184" s="53">
        <f>IFERROR(((D184*(1-C137))*INPUTS!M28*INPUTS!Q28),"")</f>
        <v>10.217146503939814</v>
      </c>
      <c r="I184" s="53">
        <f>IFERROR(((E184*(1-D137))*INPUTS!N28*INPUTS!Q28),"")</f>
        <v>0</v>
      </c>
      <c r="J184" s="76">
        <f t="shared" si="22"/>
        <v>9.9468516228832051</v>
      </c>
      <c r="K184" s="179" t="e">
        <f>J164</f>
        <v>#N/A</v>
      </c>
      <c r="L184" s="178"/>
      <c r="M184" s="178"/>
    </row>
    <row r="185" spans="1:13" s="1136" customFormat="1">
      <c r="A185" s="156" t="str">
        <f>INPUTS!C29</f>
        <v>Cows (high productive)</v>
      </c>
      <c r="B185" s="53">
        <f>'GHG Manure'!G88</f>
        <v>39.237634443743453</v>
      </c>
      <c r="C185" s="76">
        <f t="shared" si="21"/>
        <v>39.237634443743453</v>
      </c>
      <c r="D185" s="53">
        <f>IFERROR(C185*INPUTS!H29,"")</f>
        <v>33.351989277181936</v>
      </c>
      <c r="E185" s="53">
        <f>IFERROR(C185*INPUTS!I29,"")</f>
        <v>0</v>
      </c>
      <c r="F185" s="53">
        <f>IFERROR(INPUTS!J29*C185,"")</f>
        <v>5.8856451665615177</v>
      </c>
      <c r="G185" s="53">
        <f>IFERROR(INPUTS!K29*C185,"")</f>
        <v>0</v>
      </c>
      <c r="H185" s="53">
        <f>IFERROR(((D185*(1-C138))*INPUTS!M29*INPUTS!Q29),"")</f>
        <v>18.910577920162158</v>
      </c>
      <c r="I185" s="53">
        <f>IFERROR(((E185*(1-D138))*INPUTS!N29*INPUTS!Q29),"")</f>
        <v>0</v>
      </c>
      <c r="J185" s="76">
        <f t="shared" si="22"/>
        <v>18.57705802739034</v>
      </c>
      <c r="K185" s="179"/>
      <c r="L185" s="178"/>
      <c r="M185" s="178"/>
    </row>
    <row r="186" spans="1:13" s="1237" customFormat="1">
      <c r="A186" s="156">
        <f>INPUTS!C30</f>
        <v>0</v>
      </c>
      <c r="B186" s="53" t="str">
        <f>'GHG Manure'!G89</f>
        <v/>
      </c>
      <c r="C186" s="76" t="str">
        <f t="shared" si="21"/>
        <v/>
      </c>
      <c r="D186" s="53" t="str">
        <f>IFERROR(C186*INPUTS!H30,"")</f>
        <v/>
      </c>
      <c r="E186" s="53" t="str">
        <f>IFERROR(C186*INPUTS!I30,"")</f>
        <v/>
      </c>
      <c r="F186" s="53" t="str">
        <f>IFERROR(INPUTS!J30*C186,"")</f>
        <v/>
      </c>
      <c r="G186" s="53" t="str">
        <f>IFERROR(INPUTS!K30*C186,"")</f>
        <v/>
      </c>
      <c r="H186" s="53" t="str">
        <f>IFERROR(((D186*(1-C139))*INPUTS!M30*INPUTS!Q30),"")</f>
        <v/>
      </c>
      <c r="I186" s="53" t="str">
        <f>IFERROR(((E186*(1-D139))*INPUTS!N30*INPUTS!Q30),"")</f>
        <v/>
      </c>
      <c r="J186" s="76" t="str">
        <f t="shared" si="22"/>
        <v/>
      </c>
      <c r="K186" s="179"/>
      <c r="L186" s="178"/>
      <c r="M186" s="178"/>
    </row>
    <row r="187" spans="1:13" s="1237" customFormat="1">
      <c r="A187" s="156">
        <f>INPUTS!C31</f>
        <v>0</v>
      </c>
      <c r="B187" s="53" t="str">
        <f>'GHG Manure'!G90</f>
        <v/>
      </c>
      <c r="C187" s="76" t="str">
        <f t="shared" si="21"/>
        <v/>
      </c>
      <c r="D187" s="53" t="str">
        <f>IFERROR(C187*INPUTS!H31,"")</f>
        <v/>
      </c>
      <c r="E187" s="53" t="str">
        <f>IFERROR(C187*INPUTS!I31,"")</f>
        <v/>
      </c>
      <c r="F187" s="53" t="str">
        <f>IFERROR(INPUTS!J31*C187,"")</f>
        <v/>
      </c>
      <c r="G187" s="53" t="str">
        <f>IFERROR(INPUTS!K31*C187,"")</f>
        <v/>
      </c>
      <c r="H187" s="53" t="str">
        <f>IFERROR(((D187*(1-C140))*INPUTS!M31*INPUTS!Q31),"")</f>
        <v/>
      </c>
      <c r="I187" s="53" t="str">
        <f>IFERROR(((E187*(1-D140))*INPUTS!N31*INPUTS!Q31),"")</f>
        <v/>
      </c>
      <c r="J187" s="76" t="str">
        <f t="shared" si="22"/>
        <v/>
      </c>
      <c r="K187" s="179"/>
      <c r="L187" s="178"/>
      <c r="M187" s="178"/>
    </row>
    <row r="188" spans="1:13" s="1144" customFormat="1">
      <c r="A188" s="156">
        <f>INPUTS!C32</f>
        <v>0</v>
      </c>
      <c r="B188" s="53" t="str">
        <f>'GHG Manure'!G91</f>
        <v/>
      </c>
      <c r="C188" s="76" t="str">
        <f t="shared" si="21"/>
        <v/>
      </c>
      <c r="D188" s="53" t="str">
        <f>IFERROR(C188*INPUTS!H32,"")</f>
        <v/>
      </c>
      <c r="E188" s="53" t="str">
        <f>IFERROR(C188*INPUTS!I32,"")</f>
        <v/>
      </c>
      <c r="F188" s="53" t="str">
        <f>IFERROR(INPUTS!J32*C188,"")</f>
        <v/>
      </c>
      <c r="G188" s="53" t="str">
        <f>IFERROR(INPUTS!K32*C188,"")</f>
        <v/>
      </c>
      <c r="H188" s="53" t="str">
        <f>IFERROR(((D188*(1-C141))*INPUTS!M32*INPUTS!Q32),"")</f>
        <v/>
      </c>
      <c r="I188" s="53" t="str">
        <f>IFERROR(((E188*(1-D141))*INPUTS!N32*INPUTS!Q32),"")</f>
        <v/>
      </c>
      <c r="J188" s="76" t="str">
        <f t="shared" si="22"/>
        <v/>
      </c>
      <c r="K188" s="179"/>
      <c r="L188" s="178"/>
      <c r="M188" s="178"/>
    </row>
    <row r="189" spans="1:13" s="1144" customFormat="1">
      <c r="A189" s="156">
        <f>INPUTS!C33</f>
        <v>0</v>
      </c>
      <c r="B189" s="53" t="str">
        <f>'GHG Manure'!G92</f>
        <v/>
      </c>
      <c r="C189" s="76" t="str">
        <f t="shared" si="21"/>
        <v/>
      </c>
      <c r="D189" s="53" t="str">
        <f>IFERROR(C189*INPUTS!H33,"")</f>
        <v/>
      </c>
      <c r="E189" s="53" t="str">
        <f>IFERROR(C189*INPUTS!I33,"")</f>
        <v/>
      </c>
      <c r="F189" s="53" t="str">
        <f>IFERROR(INPUTS!J33*C189,"")</f>
        <v/>
      </c>
      <c r="G189" s="53" t="str">
        <f>IFERROR(INPUTS!K33*C189,"")</f>
        <v/>
      </c>
      <c r="H189" s="53" t="str">
        <f>IFERROR(((D189*(1-C142))*INPUTS!M33*INPUTS!Q33),"")</f>
        <v/>
      </c>
      <c r="I189" s="53" t="str">
        <f>IFERROR(((E189*(1-D142))*INPUTS!N33*INPUTS!Q33),"")</f>
        <v/>
      </c>
      <c r="J189" s="76" t="str">
        <f t="shared" si="22"/>
        <v/>
      </c>
      <c r="K189" s="179"/>
      <c r="L189" s="178"/>
      <c r="M189" s="178"/>
    </row>
    <row r="190" spans="1:13">
      <c r="A190" s="156">
        <f>INPUTS!C34</f>
        <v>0</v>
      </c>
      <c r="B190" s="53" t="str">
        <f>'GHG Manure'!G93</f>
        <v/>
      </c>
      <c r="C190" s="76" t="str">
        <f t="shared" si="21"/>
        <v/>
      </c>
      <c r="D190" s="53" t="str">
        <f>IFERROR(C190*INPUTS!H34,"")</f>
        <v/>
      </c>
      <c r="E190" s="53" t="str">
        <f>IFERROR(C190*INPUTS!I34,"")</f>
        <v/>
      </c>
      <c r="F190" s="53" t="str">
        <f>IFERROR(INPUTS!J34*C190,"")</f>
        <v/>
      </c>
      <c r="G190" s="53" t="str">
        <f>IFERROR(INPUTS!K34*C190,"")</f>
        <v/>
      </c>
      <c r="H190" s="53" t="str">
        <f>IFERROR(((D190*(1-C143))*INPUTS!M34*INPUTS!Q34),"")</f>
        <v/>
      </c>
      <c r="I190" s="53" t="str">
        <f>IFERROR(((E190*(1-D143))*INPUTS!N34*INPUTS!Q34),"")</f>
        <v/>
      </c>
      <c r="J190" s="76" t="str">
        <f t="shared" si="22"/>
        <v/>
      </c>
      <c r="K190" s="180" t="e">
        <f>SUM(J176:J180)+SUM(K182:K184)</f>
        <v>#N/A</v>
      </c>
      <c r="L190" s="11"/>
      <c r="M190" s="11"/>
    </row>
    <row r="191" spans="1:13" s="178" customFormat="1">
      <c r="A191" s="78" t="s">
        <v>132</v>
      </c>
      <c r="B191" s="74">
        <f>SUM(C177:C190)</f>
        <v>195.4663361333053</v>
      </c>
      <c r="C191" s="1300">
        <f>SUMIF(C177:C190,"&lt;&gt;#N/A")</f>
        <v>195.4663361333053</v>
      </c>
      <c r="D191" s="1300">
        <f>SUMIF(D177:D190,"&lt;&gt;#N/A")</f>
        <v>170.6474340326285</v>
      </c>
      <c r="E191" s="77">
        <f>SUM(G177:G190)</f>
        <v>0</v>
      </c>
      <c r="F191" s="1300">
        <f>SUMIF(F177:F190,"&lt;&gt;#N/A")</f>
        <v>29.319950419995795</v>
      </c>
      <c r="G191" s="1300">
        <f>SUMIF(G177:G190,"&lt;&gt;#N/A")</f>
        <v>0</v>
      </c>
      <c r="H191" s="1300">
        <f>SUMIF(H177:H190,"&lt;&gt;#N/A")</f>
        <v>96.757095096500365</v>
      </c>
      <c r="I191" s="1300">
        <f>SUMIF(I177:I190,"&lt;&gt;#N/A")</f>
        <v>0</v>
      </c>
      <c r="J191" s="1300">
        <f>SUMIF(J177:J190,"&lt;&gt;#N/A")</f>
        <v>95.55690139258023</v>
      </c>
      <c r="K191"/>
      <c r="L191"/>
      <c r="M191"/>
    </row>
    <row r="192" spans="1:13" s="178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</row>
    <row r="193" spans="1:13" s="178" customFormat="1">
      <c r="A193"/>
      <c r="B193"/>
      <c r="C193"/>
      <c r="D193"/>
      <c r="E193" s="174" t="s">
        <v>1604</v>
      </c>
      <c r="F193" s="1048">
        <f>SUM(G177:G183)</f>
        <v>0</v>
      </c>
      <c r="G193"/>
      <c r="H193"/>
      <c r="I193"/>
      <c r="J193"/>
      <c r="K193"/>
      <c r="L193"/>
      <c r="M193"/>
    </row>
    <row r="194" spans="1:13" s="11" customFormat="1">
      <c r="A194"/>
      <c r="B194"/>
      <c r="C194"/>
      <c r="D194"/>
      <c r="E194" s="174" t="s">
        <v>1309</v>
      </c>
      <c r="F194" s="1048">
        <f>SUM(G184:G190)</f>
        <v>0</v>
      </c>
      <c r="G194"/>
      <c r="H194"/>
      <c r="I194"/>
      <c r="J194"/>
      <c r="K194"/>
      <c r="L194"/>
      <c r="M194"/>
    </row>
    <row r="198" spans="1:13" ht="15.75" customHeight="1">
      <c r="A198" s="13"/>
      <c r="B198" s="1542" t="s">
        <v>499</v>
      </c>
      <c r="C198" s="1543"/>
      <c r="D198" s="1543"/>
      <c r="E198" s="1544"/>
    </row>
    <row r="199" spans="1:13">
      <c r="A199" s="13"/>
      <c r="B199" s="1560" t="s">
        <v>407</v>
      </c>
      <c r="C199" s="1560"/>
      <c r="D199" s="1560" t="s">
        <v>406</v>
      </c>
      <c r="E199" s="1560"/>
    </row>
    <row r="200" spans="1:13">
      <c r="A200" s="13" t="s">
        <v>911</v>
      </c>
      <c r="B200" s="13" t="s">
        <v>909</v>
      </c>
      <c r="C200" s="13" t="s">
        <v>910</v>
      </c>
      <c r="D200" s="13" t="s">
        <v>909</v>
      </c>
      <c r="E200" s="13" t="s">
        <v>910</v>
      </c>
    </row>
    <row r="201" spans="1:13">
      <c r="A201" s="1301" t="s">
        <v>211</v>
      </c>
      <c r="B201" s="1048">
        <f>SUM(SUMIF($A$153:$A$166, {"Cows (local)","Cows (improved)","Adult cattle - male","Steers/heifers","Calves","Buffalo (dairy)","Buffalo steers/heifers","Buffalo calves","Pigs - lactating/pregnant sows","Pigs - dry sows/boars","Pigs - dry sows/boars"}, $F$153:$F$166))</f>
        <v>61.872974999999997</v>
      </c>
      <c r="C201" s="1048">
        <f>SUM(SUMIF($A$153:$A$166, {"Cows (local)","Cows (improved)","Adult cattle - male","Steers/heifers","Calves","Buffalo (dairy)","Buffalo steers/heifers","Buffalo calves","Pigs - lactating/pregnant sows","Pigs - dry sows/boars","Pigs - dry sows/boars"}, $G$153:$G$166))</f>
        <v>0</v>
      </c>
      <c r="D201" s="1048">
        <f>SUM(SUMIF($A$177:$A$190, {"Cows (local)","Cows (improved)","Adult cattle - male","Steers/heifers","Calves","Buffalo (dairy)","Buffalo steers/heifers","Buffalo calves","Pigs - lactating/pregnant sows","Pigs - dry sows/boars","Pigs - dry sows/boars"}, $F$177:$F$190))</f>
        <v>22.484976412836264</v>
      </c>
      <c r="E201" s="1048">
        <f>SUM(SUMIF($A$177:$A$190, {"Cows (local)","Cows (improved)","Adult cattle - male","Steers/heifers","Calves","Buffalo (dairy)","Buffalo steers/heifers","Buffalo calves","Pigs - lactating/pregnant sows","Pigs - dry sows/boars","Pigs - dry sows/boars"}, $G$177:$G$190))</f>
        <v>0</v>
      </c>
    </row>
    <row r="202" spans="1:13">
      <c r="A202" s="1292" t="s">
        <v>210</v>
      </c>
      <c r="B202" s="1048">
        <f>SUM(SUMIF($A$153:$A$166, {"Sheep/Goats - Ewes/Does","Sheep/Goats - Breeding Rams/Bucks","Sheep/Goats - Fattening Rams/Bucks","Sheep/Goats - Lambs/Kids"}, $F$153:$F$166))</f>
        <v>1.9217249999999999</v>
      </c>
      <c r="C202" s="1048">
        <f>SUM(SUMIF($A$153:$A$166, {"Sheep/Goats - Ewes/Does","Sheep/Goats - Breeding Rams/Bucks","Sheep/Goats - Fattening Rams/Bucks","Sheep/Goats - Lambs/Kids"}, $G$153:$G$166))</f>
        <v>0</v>
      </c>
      <c r="D202" s="1048">
        <f>SUM(SUMIF($A$177:$A$190, {"Sheep/Goats - Ewes/Does","Sheep/Goats - Breeding Rams/Bucks","Sheep/Goats - Fattening Rams/Bucks","Sheep/Goats - Lambs/Kids"}, $F$177:$F$190))</f>
        <v>0.94932884059801215</v>
      </c>
      <c r="E202" s="1048">
        <f>SUM(SUMIF($A$153:$A$166, {"Sheep/Goats - Ewes/Does","Sheep/Goats - Breeding Rams/Bucks","Sheep/Goats - Fattening Rams/Bucks","Sheep/Goats - Lambs/Kids"}, $G$153:$G$166))</f>
        <v>0</v>
      </c>
    </row>
    <row r="205" spans="1:13" ht="22.5">
      <c r="A205" s="1361"/>
      <c r="C205" s="1362"/>
    </row>
    <row r="206" spans="1:13">
      <c r="A206" s="1361"/>
    </row>
    <row r="207" spans="1:13">
      <c r="A207" s="1361"/>
    </row>
    <row r="208" spans="1:13">
      <c r="A208" s="1361"/>
    </row>
    <row r="209" spans="1:1">
      <c r="A209" s="1361"/>
    </row>
    <row r="210" spans="1:1">
      <c r="A210" s="1361"/>
    </row>
    <row r="211" spans="1:1">
      <c r="A211" s="1361"/>
    </row>
    <row r="212" spans="1:1">
      <c r="A212" s="1361"/>
    </row>
    <row r="213" spans="1:1">
      <c r="A213" s="1361"/>
    </row>
    <row r="214" spans="1:1" ht="39" customHeight="1">
      <c r="A214" s="1361"/>
    </row>
    <row r="215" spans="1:1" ht="33" customHeight="1">
      <c r="A215" s="1361"/>
    </row>
    <row r="216" spans="1:1">
      <c r="A216" s="1361"/>
    </row>
    <row r="217" spans="1:1">
      <c r="A217" s="1361"/>
    </row>
    <row r="218" spans="1:1">
      <c r="A218" s="1361"/>
    </row>
    <row r="219" spans="1:1">
      <c r="A219" s="1361"/>
    </row>
    <row r="220" spans="1:1">
      <c r="A220" s="1286"/>
    </row>
  </sheetData>
  <mergeCells count="55">
    <mergeCell ref="G105:H105"/>
    <mergeCell ref="C126:D126"/>
    <mergeCell ref="G126:H126"/>
    <mergeCell ref="B54:B56"/>
    <mergeCell ref="B103:B105"/>
    <mergeCell ref="G103:H103"/>
    <mergeCell ref="C103:D103"/>
    <mergeCell ref="G104:H104"/>
    <mergeCell ref="D29:D30"/>
    <mergeCell ref="E29:E30"/>
    <mergeCell ref="B46:O46"/>
    <mergeCell ref="L27:N27"/>
    <mergeCell ref="L28:N28"/>
    <mergeCell ref="L30:N30"/>
    <mergeCell ref="A174:A176"/>
    <mergeCell ref="D174:E174"/>
    <mergeCell ref="C174:C175"/>
    <mergeCell ref="B174:B175"/>
    <mergeCell ref="B150:B151"/>
    <mergeCell ref="C150:C151"/>
    <mergeCell ref="D150:E150"/>
    <mergeCell ref="A172:A173"/>
    <mergeCell ref="D172:E172"/>
    <mergeCell ref="H172:I172"/>
    <mergeCell ref="A150:A152"/>
    <mergeCell ref="G127:H127"/>
    <mergeCell ref="L29:N29"/>
    <mergeCell ref="E103:F103"/>
    <mergeCell ref="E104:F104"/>
    <mergeCell ref="C104:D104"/>
    <mergeCell ref="E105:F105"/>
    <mergeCell ref="G59:G62"/>
    <mergeCell ref="F29:F30"/>
    <mergeCell ref="G29:G30"/>
    <mergeCell ref="A148:A149"/>
    <mergeCell ref="D148:E148"/>
    <mergeCell ref="H148:I148"/>
    <mergeCell ref="B27:B30"/>
    <mergeCell ref="C29:C30"/>
    <mergeCell ref="B198:E198"/>
    <mergeCell ref="B199:C199"/>
    <mergeCell ref="D199:E199"/>
    <mergeCell ref="C4:E4"/>
    <mergeCell ref="I27:K27"/>
    <mergeCell ref="I28:K28"/>
    <mergeCell ref="I30:K30"/>
    <mergeCell ref="B5:B7"/>
    <mergeCell ref="G128:H128"/>
    <mergeCell ref="B144:H144"/>
    <mergeCell ref="B126:B128"/>
    <mergeCell ref="E128:F128"/>
    <mergeCell ref="C128:D128"/>
    <mergeCell ref="C127:D127"/>
    <mergeCell ref="E127:F127"/>
    <mergeCell ref="E126:F126"/>
  </mergeCells>
  <pageMargins left="0.75" right="0.75" top="1" bottom="1" header="0.5" footer="0.5"/>
  <pageSetup paperSize="9" orientation="portrait" horizontalDpi="4294967292" verticalDpi="4294967292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6">
    <tabColor rgb="FF00B050"/>
  </sheetPr>
  <dimension ref="A2:T78"/>
  <sheetViews>
    <sheetView topLeftCell="E1" workbookViewId="0">
      <selection activeCell="K38" sqref="K38"/>
    </sheetView>
  </sheetViews>
  <sheetFormatPr defaultColWidth="11" defaultRowHeight="15.75"/>
  <cols>
    <col min="1" max="1" width="29.375" customWidth="1"/>
    <col min="2" max="2" width="40.875" customWidth="1"/>
    <col min="3" max="3" width="33.875" style="12" bestFit="1" customWidth="1"/>
    <col min="4" max="4" width="48.625" customWidth="1"/>
    <col min="5" max="5" width="21.5" customWidth="1"/>
    <col min="6" max="6" width="22.5" style="2" customWidth="1"/>
    <col min="7" max="7" width="21.625" customWidth="1"/>
    <col min="8" max="8" width="32.625" style="12" customWidth="1"/>
    <col min="9" max="9" width="20.5" customWidth="1"/>
    <col min="10" max="10" width="35.5" bestFit="1" customWidth="1"/>
    <col min="11" max="11" width="35.875" bestFit="1" customWidth="1"/>
    <col min="12" max="12" width="25.125" bestFit="1" customWidth="1"/>
    <col min="13" max="15" width="11" customWidth="1"/>
    <col min="16" max="16" width="15.125" bestFit="1" customWidth="1"/>
  </cols>
  <sheetData>
    <row r="2" spans="2:16">
      <c r="B2" t="s">
        <v>919</v>
      </c>
      <c r="C2" s="12" t="s">
        <v>920</v>
      </c>
    </row>
    <row r="3" spans="2:16" ht="31.5">
      <c r="B3" s="46" t="s">
        <v>234</v>
      </c>
      <c r="C3" s="46" t="s">
        <v>234</v>
      </c>
    </row>
    <row r="4" spans="2:16">
      <c r="B4" s="46" t="s">
        <v>237</v>
      </c>
      <c r="C4" s="46" t="s">
        <v>237</v>
      </c>
    </row>
    <row r="5" spans="2:16" ht="31.5">
      <c r="B5" s="46" t="s">
        <v>661</v>
      </c>
      <c r="C5" s="46" t="s">
        <v>661</v>
      </c>
    </row>
    <row r="6" spans="2:16">
      <c r="B6" s="47" t="e">
        <f ca="1">(H22)*(44/28)</f>
        <v>#NAME?</v>
      </c>
      <c r="C6" s="47" t="e">
        <f ca="1">(P22)*(44/28)</f>
        <v>#NAME?</v>
      </c>
    </row>
    <row r="8" spans="2:16">
      <c r="B8" s="46" t="s">
        <v>613</v>
      </c>
      <c r="C8" s="1596" t="s">
        <v>917</v>
      </c>
      <c r="D8" s="1597"/>
      <c r="E8" s="1597"/>
      <c r="F8" s="1597"/>
      <c r="G8" s="1597"/>
      <c r="H8" s="1597"/>
      <c r="L8" s="1598" t="s">
        <v>918</v>
      </c>
      <c r="M8" s="1598"/>
      <c r="N8" s="1598"/>
      <c r="O8" s="1598"/>
      <c r="P8" s="1598"/>
    </row>
    <row r="9" spans="2:16">
      <c r="B9" s="1550" t="s">
        <v>172</v>
      </c>
      <c r="C9" s="1550"/>
      <c r="D9" s="1550" t="s">
        <v>217</v>
      </c>
      <c r="E9" s="1550"/>
      <c r="F9" s="1550"/>
      <c r="G9" s="1550"/>
      <c r="H9" s="1550"/>
      <c r="J9" s="1550" t="s">
        <v>172</v>
      </c>
      <c r="K9" s="1550"/>
      <c r="L9" s="1550" t="s">
        <v>217</v>
      </c>
      <c r="M9" s="1550"/>
      <c r="N9" s="1550"/>
      <c r="O9" s="1550"/>
      <c r="P9" s="1550"/>
    </row>
    <row r="10" spans="2:16" ht="63">
      <c r="B10" s="1478" t="s">
        <v>216</v>
      </c>
      <c r="C10" s="1478"/>
      <c r="D10" s="1478" t="s">
        <v>236</v>
      </c>
      <c r="E10" s="1478"/>
      <c r="F10" s="1471" t="s">
        <v>235</v>
      </c>
      <c r="G10" s="1471"/>
      <c r="H10" s="24" t="s">
        <v>234</v>
      </c>
      <c r="J10" s="1478" t="s">
        <v>216</v>
      </c>
      <c r="K10" s="1478"/>
      <c r="L10" s="1478" t="s">
        <v>236</v>
      </c>
      <c r="M10" s="1478"/>
      <c r="N10" s="1471" t="s">
        <v>235</v>
      </c>
      <c r="O10" s="1471"/>
      <c r="P10" s="24" t="s">
        <v>234</v>
      </c>
    </row>
    <row r="11" spans="2:16">
      <c r="B11" s="1478"/>
      <c r="C11" s="1478"/>
      <c r="D11" s="1478" t="s">
        <v>233</v>
      </c>
      <c r="E11" s="1478"/>
      <c r="F11" s="1478" t="s">
        <v>232</v>
      </c>
      <c r="G11" s="1478"/>
      <c r="H11" s="24" t="s">
        <v>231</v>
      </c>
      <c r="J11" s="1478"/>
      <c r="K11" s="1478"/>
      <c r="L11" s="1478" t="s">
        <v>233</v>
      </c>
      <c r="M11" s="1478"/>
      <c r="N11" s="1478" t="s">
        <v>232</v>
      </c>
      <c r="O11" s="1478"/>
      <c r="P11" s="24" t="s">
        <v>231</v>
      </c>
    </row>
    <row r="12" spans="2:16" ht="31.5">
      <c r="B12" s="1478"/>
      <c r="C12" s="1478"/>
      <c r="D12" s="1478"/>
      <c r="E12" s="1478"/>
      <c r="F12" s="1478" t="s">
        <v>230</v>
      </c>
      <c r="G12" s="1478"/>
      <c r="H12" s="24" t="s">
        <v>229</v>
      </c>
      <c r="J12" s="1478"/>
      <c r="K12" s="1478"/>
      <c r="L12" s="1478"/>
      <c r="M12" s="1478"/>
      <c r="N12" s="1478" t="s">
        <v>230</v>
      </c>
      <c r="O12" s="1478"/>
      <c r="P12" s="24" t="s">
        <v>229</v>
      </c>
    </row>
    <row r="13" spans="2:16">
      <c r="B13" s="1478"/>
      <c r="C13" s="1478"/>
      <c r="D13" s="1478" t="s">
        <v>228</v>
      </c>
      <c r="E13" s="1478"/>
      <c r="F13" s="1478" t="s">
        <v>0</v>
      </c>
      <c r="G13" s="1478"/>
      <c r="H13" s="24" t="s">
        <v>227</v>
      </c>
      <c r="J13" s="1478"/>
      <c r="K13" s="1478"/>
      <c r="L13" s="1478" t="s">
        <v>228</v>
      </c>
      <c r="M13" s="1478"/>
      <c r="N13" s="1478" t="s">
        <v>0</v>
      </c>
      <c r="O13" s="1478"/>
      <c r="P13" s="24" t="s">
        <v>227</v>
      </c>
    </row>
    <row r="14" spans="2:16" ht="15.75" customHeight="1">
      <c r="B14" s="1534" t="s">
        <v>226</v>
      </c>
      <c r="C14" s="27" t="s">
        <v>224</v>
      </c>
      <c r="D14" s="26" t="s">
        <v>223</v>
      </c>
      <c r="E14" s="70" t="e">
        <f ca="1">'N balance'!AI16</f>
        <v>#NAME?</v>
      </c>
      <c r="F14" s="1550" t="s">
        <v>225</v>
      </c>
      <c r="G14" s="27">
        <f>'GHG Parameters'!D120</f>
        <v>0.01</v>
      </c>
      <c r="H14" s="45" t="e">
        <f t="shared" ref="H14:H19" ca="1" si="0">E14*G14</f>
        <v>#NAME?</v>
      </c>
      <c r="J14" s="1534" t="s">
        <v>226</v>
      </c>
      <c r="K14" s="27" t="s">
        <v>224</v>
      </c>
      <c r="L14" s="26" t="s">
        <v>223</v>
      </c>
      <c r="M14" s="70" t="e">
        <f ca="1">'N balance'!AI16</f>
        <v>#NAME?</v>
      </c>
      <c r="N14" s="1550" t="s">
        <v>225</v>
      </c>
      <c r="O14" s="27">
        <f>'GHG Parameters'!D120</f>
        <v>0.01</v>
      </c>
      <c r="P14" s="45" t="e">
        <f t="shared" ref="P14:P19" ca="1" si="1">M14*O14</f>
        <v>#NAME?</v>
      </c>
    </row>
    <row r="15" spans="2:16" ht="47.25">
      <c r="B15" s="1534"/>
      <c r="C15" s="27" t="s">
        <v>221</v>
      </c>
      <c r="D15" s="26" t="s">
        <v>220</v>
      </c>
      <c r="E15" s="70">
        <f>(SUM(INPUTS!D42:'INPUTS'!D45)-INPUTS!D46+'GHG Manure'!J167)</f>
        <v>308.15038859999993</v>
      </c>
      <c r="F15" s="1550"/>
      <c r="G15" s="27">
        <f>'GHG Parameters'!D120</f>
        <v>0.01</v>
      </c>
      <c r="H15" s="45">
        <f t="shared" si="0"/>
        <v>3.0815038859999992</v>
      </c>
      <c r="J15" s="1534"/>
      <c r="K15" s="27" t="s">
        <v>221</v>
      </c>
      <c r="L15" s="26" t="s">
        <v>220</v>
      </c>
      <c r="M15" s="170">
        <f>(SUM(INPUTS!D42:'INPUTS'!D45)-INPUTS!D46+'GHG Manure'!J191)</f>
        <v>95.55690139258023</v>
      </c>
      <c r="N15" s="1550"/>
      <c r="O15" s="27">
        <f>'GHG Parameters'!D120</f>
        <v>0.01</v>
      </c>
      <c r="P15" s="45">
        <f>M15*O15</f>
        <v>0.95556901392580229</v>
      </c>
    </row>
    <row r="16" spans="2:16" ht="16.5" thickBot="1">
      <c r="B16" s="1599"/>
      <c r="C16" s="96" t="s">
        <v>219</v>
      </c>
      <c r="D16" s="97" t="s">
        <v>218</v>
      </c>
      <c r="E16" s="98">
        <f>F39</f>
        <v>190.36013914275736</v>
      </c>
      <c r="F16" s="1600"/>
      <c r="G16" s="96">
        <f>'GHG Parameters'!D120</f>
        <v>0.01</v>
      </c>
      <c r="H16" s="99">
        <f t="shared" si="0"/>
        <v>1.9036013914275736</v>
      </c>
      <c r="J16" s="1599"/>
      <c r="K16" s="96" t="s">
        <v>219</v>
      </c>
      <c r="L16" s="97" t="s">
        <v>218</v>
      </c>
      <c r="M16" s="98">
        <f>F39</f>
        <v>190.36013914275736</v>
      </c>
      <c r="N16" s="1600"/>
      <c r="O16" s="96">
        <f>'GHG Parameters'!D120</f>
        <v>0.01</v>
      </c>
      <c r="P16" s="99">
        <f t="shared" si="1"/>
        <v>1.9036013914275736</v>
      </c>
    </row>
    <row r="17" spans="2:16" ht="15.75" customHeight="1" thickTop="1">
      <c r="B17" s="1541" t="s">
        <v>610</v>
      </c>
      <c r="C17" s="91" t="s">
        <v>224</v>
      </c>
      <c r="D17" s="90" t="s">
        <v>611</v>
      </c>
      <c r="E17" s="100">
        <f>INPUTS!E118*INPUTS!E113</f>
        <v>0</v>
      </c>
      <c r="F17" s="1589" t="s">
        <v>222</v>
      </c>
      <c r="G17" s="91">
        <f>'GHG Parameters'!D126</f>
        <v>3.0000000000000001E-3</v>
      </c>
      <c r="H17" s="95">
        <f t="shared" si="0"/>
        <v>0</v>
      </c>
      <c r="J17" s="1541" t="s">
        <v>610</v>
      </c>
      <c r="K17" s="91" t="s">
        <v>224</v>
      </c>
      <c r="L17" s="90" t="s">
        <v>611</v>
      </c>
      <c r="M17" s="100">
        <f>SUM(INPUTS!E118:I118)*SUM(INPUTS!E113:I113)</f>
        <v>0</v>
      </c>
      <c r="N17" s="1589" t="s">
        <v>222</v>
      </c>
      <c r="O17" s="91">
        <f>'GHG Parameters'!D126</f>
        <v>3.0000000000000001E-3</v>
      </c>
      <c r="P17" s="95">
        <f t="shared" si="1"/>
        <v>0</v>
      </c>
    </row>
    <row r="18" spans="2:16" ht="47.25">
      <c r="B18" s="1534"/>
      <c r="C18" s="27" t="s">
        <v>221</v>
      </c>
      <c r="D18" s="26" t="s">
        <v>647</v>
      </c>
      <c r="E18" s="70"/>
      <c r="F18" s="1550"/>
      <c r="G18" s="27">
        <f>'GHG Parameters'!D126</f>
        <v>3.0000000000000001E-3</v>
      </c>
      <c r="H18" s="45">
        <f t="shared" si="0"/>
        <v>0</v>
      </c>
      <c r="J18" s="1534"/>
      <c r="K18" s="27" t="s">
        <v>221</v>
      </c>
      <c r="L18" s="26" t="s">
        <v>647</v>
      </c>
      <c r="M18" s="70"/>
      <c r="N18" s="1550"/>
      <c r="O18" s="27">
        <f>'GHG Parameters'!D126</f>
        <v>3.0000000000000001E-3</v>
      </c>
      <c r="P18" s="45">
        <f t="shared" si="1"/>
        <v>0</v>
      </c>
    </row>
    <row r="19" spans="2:16" ht="16.5" thickBot="1">
      <c r="B19" s="1599"/>
      <c r="C19" s="96" t="s">
        <v>219</v>
      </c>
      <c r="D19" s="97" t="s">
        <v>218</v>
      </c>
      <c r="E19" s="168"/>
      <c r="F19" s="1600"/>
      <c r="G19" s="96">
        <f>'GHG Parameters'!D126</f>
        <v>3.0000000000000001E-3</v>
      </c>
      <c r="H19" s="99">
        <f t="shared" si="0"/>
        <v>0</v>
      </c>
      <c r="J19" s="1599"/>
      <c r="K19" s="96" t="s">
        <v>219</v>
      </c>
      <c r="L19" s="97" t="s">
        <v>218</v>
      </c>
      <c r="M19" s="168"/>
      <c r="N19" s="1600"/>
      <c r="O19" s="96">
        <f>'GHG Parameters'!D126</f>
        <v>3.0000000000000001E-3</v>
      </c>
      <c r="P19" s="99">
        <f t="shared" si="1"/>
        <v>0</v>
      </c>
    </row>
    <row r="20" spans="2:16" ht="48" thickTop="1">
      <c r="B20" s="1541" t="s">
        <v>607</v>
      </c>
      <c r="C20" s="91" t="s">
        <v>211</v>
      </c>
      <c r="D20" s="90" t="s">
        <v>608</v>
      </c>
      <c r="E20" s="68">
        <f>'GHG Manure'!B201</f>
        <v>61.872974999999997</v>
      </c>
      <c r="F20" s="93" t="s">
        <v>212</v>
      </c>
      <c r="G20" s="91">
        <f>'GHG Parameters'!D122</f>
        <v>0.02</v>
      </c>
      <c r="H20" s="88">
        <f>G20*E20</f>
        <v>1.2374594999999999</v>
      </c>
      <c r="J20" s="1541" t="s">
        <v>607</v>
      </c>
      <c r="K20" s="91" t="s">
        <v>211</v>
      </c>
      <c r="L20" s="90" t="s">
        <v>608</v>
      </c>
      <c r="M20" s="88">
        <f>'GHG Manure'!D201</f>
        <v>22.484976412836264</v>
      </c>
      <c r="N20" s="93" t="s">
        <v>212</v>
      </c>
      <c r="O20" s="91">
        <f>'GHG Parameters'!D122</f>
        <v>0.02</v>
      </c>
      <c r="P20" s="88">
        <f>O20*M20</f>
        <v>0.44969952825672532</v>
      </c>
    </row>
    <row r="21" spans="2:16" ht="47.25">
      <c r="B21" s="1534"/>
      <c r="C21" s="27" t="s">
        <v>210</v>
      </c>
      <c r="D21" s="26" t="s">
        <v>609</v>
      </c>
      <c r="E21" s="68">
        <f>'GHG Manure'!B202</f>
        <v>1.9217249999999999</v>
      </c>
      <c r="F21" s="23" t="s">
        <v>212</v>
      </c>
      <c r="G21" s="27">
        <f>'GHG Parameters'!D123</f>
        <v>0.01</v>
      </c>
      <c r="H21" s="68">
        <f>G21*E21</f>
        <v>1.9217249999999998E-2</v>
      </c>
      <c r="J21" s="1534"/>
      <c r="K21" s="27" t="s">
        <v>210</v>
      </c>
      <c r="L21" s="26" t="s">
        <v>609</v>
      </c>
      <c r="M21" s="88">
        <f>'GHG Manure'!D202</f>
        <v>0.94932884059801215</v>
      </c>
      <c r="N21" s="23" t="s">
        <v>212</v>
      </c>
      <c r="O21" s="27">
        <f>'GHG Parameters'!D123</f>
        <v>0.01</v>
      </c>
      <c r="P21" s="68">
        <f>O21*M21</f>
        <v>9.4932884059801218E-3</v>
      </c>
    </row>
    <row r="22" spans="2:16">
      <c r="B22" s="1550" t="s">
        <v>209</v>
      </c>
      <c r="C22" s="1550"/>
      <c r="D22" s="23"/>
      <c r="E22" s="23"/>
      <c r="F22" s="23"/>
      <c r="G22" s="23"/>
      <c r="H22" s="47" t="e">
        <f ca="1">SUM(H14:H21)</f>
        <v>#NAME?</v>
      </c>
      <c r="J22" s="1550" t="s">
        <v>209</v>
      </c>
      <c r="K22" s="1550"/>
      <c r="L22" s="23"/>
      <c r="M22" s="23"/>
      <c r="N22" s="23"/>
      <c r="O22" s="23"/>
      <c r="P22" s="73" t="e">
        <f ca="1">SUM(P14:P21)</f>
        <v>#NAME?</v>
      </c>
    </row>
    <row r="25" spans="2:16">
      <c r="B25" t="s">
        <v>614</v>
      </c>
    </row>
    <row r="28" spans="2:16" ht="31.5">
      <c r="B28" s="1535" t="s">
        <v>349</v>
      </c>
      <c r="C28" s="24" t="s">
        <v>347</v>
      </c>
      <c r="D28" s="24" t="s">
        <v>1329</v>
      </c>
      <c r="E28" s="24" t="s">
        <v>355</v>
      </c>
      <c r="F28" s="24" t="s">
        <v>350</v>
      </c>
      <c r="H28"/>
    </row>
    <row r="29" spans="2:16">
      <c r="B29" s="1588"/>
      <c r="C29" s="24" t="s">
        <v>215</v>
      </c>
      <c r="D29" s="24" t="s">
        <v>153</v>
      </c>
      <c r="E29" s="24" t="s">
        <v>348</v>
      </c>
      <c r="F29" s="24" t="s">
        <v>233</v>
      </c>
      <c r="H29"/>
    </row>
    <row r="30" spans="2:16">
      <c r="B30" s="1588"/>
      <c r="C30" s="24"/>
      <c r="D30" s="24"/>
      <c r="E30" s="24"/>
      <c r="F30" s="24" t="s">
        <v>354</v>
      </c>
      <c r="H30"/>
    </row>
    <row r="31" spans="2:16">
      <c r="B31" s="1589"/>
      <c r="C31" s="24" t="s">
        <v>144</v>
      </c>
      <c r="D31" s="24" t="s">
        <v>353</v>
      </c>
      <c r="E31" s="24" t="s">
        <v>352</v>
      </c>
      <c r="F31" s="24" t="s">
        <v>351</v>
      </c>
      <c r="H31"/>
    </row>
    <row r="32" spans="2:16">
      <c r="B32" s="23" t="str">
        <f>INPUTS!D73</f>
        <v>Purchased</v>
      </c>
      <c r="C32" s="88">
        <f>'Land requirements'!E4</f>
        <v>0</v>
      </c>
      <c r="D32" s="100">
        <f>1-(INPUTS!F88+INPUTS!G88)</f>
        <v>1</v>
      </c>
      <c r="E32" s="570">
        <f>VLOOKUP(B32,'Crop parameters'!$A$2:$Z$43,9, FALSE)</f>
        <v>0</v>
      </c>
      <c r="F32" s="571">
        <f>C32*E32*D32</f>
        <v>0</v>
      </c>
      <c r="H32"/>
    </row>
    <row r="33" spans="1:20">
      <c r="B33" s="23" t="str">
        <f>INPUTS!D74</f>
        <v>Maize</v>
      </c>
      <c r="C33" s="88">
        <f>'Land requirements'!E5</f>
        <v>0</v>
      </c>
      <c r="D33" s="100">
        <f>1-(INPUTS!F89+INPUTS!G89)</f>
        <v>1</v>
      </c>
      <c r="E33" s="570">
        <f>VLOOKUP(B33,'Crop parameters'!$A$2:$Z$43,9, FALSE)</f>
        <v>21</v>
      </c>
      <c r="F33" s="571">
        <f t="shared" ref="F33:F38" si="2">C33*E33*D33</f>
        <v>0</v>
      </c>
      <c r="H33"/>
    </row>
    <row r="34" spans="1:20">
      <c r="B34" s="23" t="str">
        <f>INPUTS!D75</f>
        <v xml:space="preserve">Brachiaria brizantha </v>
      </c>
      <c r="C34" s="88">
        <f>'Land requirements'!E6</f>
        <v>0.40367398851420322</v>
      </c>
      <c r="D34" s="100">
        <f>1-(INPUTS!F90+INPUTS!G90)</f>
        <v>1</v>
      </c>
      <c r="E34" s="570">
        <f>VLOOKUP(B34,'Crop parameters'!$A$2:$Z$43,9, FALSE)</f>
        <v>275.37972602739728</v>
      </c>
      <c r="F34" s="531">
        <f>IFERROR(C34*E34*D34, 0)</f>
        <v>111.163632361428</v>
      </c>
      <c r="H34"/>
    </row>
    <row r="35" spans="1:20">
      <c r="B35" s="23" t="str">
        <f>INPUTS!D76</f>
        <v>Purchased</v>
      </c>
      <c r="C35" s="88">
        <f>'Land requirements'!E7</f>
        <v>0</v>
      </c>
      <c r="D35" s="100">
        <f>1-(INPUTS!F91+INPUTS!G91)</f>
        <v>1</v>
      </c>
      <c r="E35" s="570">
        <f>VLOOKUP(B35,'Crop parameters'!$A$2:$Z$43,9, FALSE)</f>
        <v>0</v>
      </c>
      <c r="F35" s="531">
        <f t="shared" si="2"/>
        <v>0</v>
      </c>
      <c r="H35"/>
    </row>
    <row r="36" spans="1:20">
      <c r="B36" s="23" t="str">
        <f>INPUTS!D77</f>
        <v>Rice</v>
      </c>
      <c r="C36" s="88">
        <f>'Land requirements'!E8</f>
        <v>1.5403319790111962</v>
      </c>
      <c r="D36" s="100">
        <f>1-(INPUTS!F92+INPUTS!G92)</f>
        <v>0.19999999999999996</v>
      </c>
      <c r="E36" s="570">
        <f>VLOOKUP(B36,'Crop parameters'!$A$2:$Z$43,9, FALSE)</f>
        <v>14.435371428571429</v>
      </c>
      <c r="F36" s="531">
        <f t="shared" si="2"/>
        <v>4.4470528480666207</v>
      </c>
      <c r="H36"/>
    </row>
    <row r="37" spans="1:20">
      <c r="B37" s="23" t="str">
        <f>INPUTS!D78</f>
        <v>Natural pasture</v>
      </c>
      <c r="C37" s="88">
        <f>'Land requirements'!E9</f>
        <v>0</v>
      </c>
      <c r="D37" s="100">
        <f>1-(INPUTS!F93+INPUTS!G93)</f>
        <v>1</v>
      </c>
      <c r="E37" s="570">
        <f>VLOOKUP(B37,'Crop parameters'!$A$2:$Z$43,9, FALSE)</f>
        <v>0</v>
      </c>
      <c r="F37" s="531">
        <f t="shared" si="2"/>
        <v>0</v>
      </c>
      <c r="H37"/>
    </row>
    <row r="38" spans="1:20">
      <c r="B38" s="23" t="str">
        <f>INPUTS!D79</f>
        <v>Pennisetum purpureum</v>
      </c>
      <c r="C38" s="88">
        <f>'Land requirements'!E10</f>
        <v>0.54166270966132413</v>
      </c>
      <c r="D38" s="100">
        <f>1-(INPUTS!F94+INPUTS!G94)</f>
        <v>1</v>
      </c>
      <c r="E38" s="570">
        <f>VLOOKUP(B38,'Crop parameters'!$A$2:$Z$43,9, FALSE)</f>
        <v>138</v>
      </c>
      <c r="F38" s="531">
        <f t="shared" si="2"/>
        <v>74.749453933262728</v>
      </c>
      <c r="H38"/>
    </row>
    <row r="39" spans="1:20">
      <c r="B39" s="1593" t="s">
        <v>668</v>
      </c>
      <c r="C39" s="1593"/>
      <c r="D39" s="1593"/>
      <c r="E39" s="1593"/>
      <c r="F39" s="530">
        <f>SUM(F32:F38)</f>
        <v>190.36013914275736</v>
      </c>
    </row>
    <row r="40" spans="1:20">
      <c r="C40"/>
      <c r="F40"/>
      <c r="H40"/>
    </row>
    <row r="41" spans="1:20">
      <c r="B41" s="12" t="s">
        <v>612</v>
      </c>
      <c r="C41" s="12" t="s">
        <v>919</v>
      </c>
      <c r="D41" s="12"/>
      <c r="E41" s="12"/>
      <c r="F41" s="12"/>
      <c r="H41"/>
    </row>
    <row r="42" spans="1:20" s="12" customFormat="1">
      <c r="B42" s="23" t="s">
        <v>254</v>
      </c>
      <c r="C42" s="1035" t="s">
        <v>255</v>
      </c>
      <c r="D42" s="1036"/>
      <c r="E42" s="1036"/>
      <c r="F42" s="1036"/>
      <c r="L42"/>
      <c r="M42"/>
      <c r="N42"/>
      <c r="O42"/>
      <c r="P42"/>
      <c r="Q42"/>
      <c r="R42"/>
      <c r="S42"/>
      <c r="T42"/>
    </row>
    <row r="43" spans="1:20" s="12" customFormat="1" ht="94.5">
      <c r="B43" s="24" t="s">
        <v>216</v>
      </c>
      <c r="C43" s="24" t="s">
        <v>238</v>
      </c>
      <c r="D43" s="24" t="s">
        <v>239</v>
      </c>
      <c r="E43" s="24" t="s">
        <v>240</v>
      </c>
      <c r="F43" s="24" t="s">
        <v>241</v>
      </c>
      <c r="G43" s="1036"/>
      <c r="H43" s="1036"/>
      <c r="I43" s="1037"/>
      <c r="J43" s="23"/>
    </row>
    <row r="44" spans="1:20" ht="110.25">
      <c r="A44" s="12"/>
      <c r="B44" s="24"/>
      <c r="C44" s="24" t="s">
        <v>214</v>
      </c>
      <c r="D44" s="24" t="s">
        <v>245</v>
      </c>
      <c r="E44" s="24" t="s">
        <v>214</v>
      </c>
      <c r="F44" s="24" t="s">
        <v>214</v>
      </c>
      <c r="G44" s="24" t="s">
        <v>242</v>
      </c>
      <c r="H44" s="24" t="s">
        <v>484</v>
      </c>
      <c r="I44" s="24" t="s">
        <v>485</v>
      </c>
      <c r="J44" s="24" t="s">
        <v>485</v>
      </c>
      <c r="K44" s="12"/>
      <c r="L44" s="12"/>
      <c r="M44" s="12"/>
    </row>
    <row r="45" spans="1:20" ht="31.5">
      <c r="A45" s="12"/>
      <c r="B45" s="27"/>
      <c r="C45" s="27"/>
      <c r="D45" s="27" t="s">
        <v>247</v>
      </c>
      <c r="E45" s="27"/>
      <c r="F45" s="27"/>
      <c r="G45" s="24" t="s">
        <v>244</v>
      </c>
      <c r="H45" s="24" t="s">
        <v>243</v>
      </c>
      <c r="I45" s="24" t="s">
        <v>246</v>
      </c>
      <c r="J45" s="24" t="s">
        <v>257</v>
      </c>
      <c r="K45" s="12"/>
      <c r="L45" s="12"/>
      <c r="M45" s="12"/>
    </row>
    <row r="46" spans="1:20" ht="63">
      <c r="A46" s="12"/>
      <c r="B46" s="27"/>
      <c r="C46" s="27" t="s">
        <v>248</v>
      </c>
      <c r="D46" s="27" t="s">
        <v>249</v>
      </c>
      <c r="E46" s="27" t="s">
        <v>250</v>
      </c>
      <c r="F46" s="27" t="s">
        <v>213</v>
      </c>
      <c r="G46" s="27" t="s">
        <v>247</v>
      </c>
      <c r="H46" s="27" t="s">
        <v>247</v>
      </c>
      <c r="I46" s="24" t="s">
        <v>256</v>
      </c>
      <c r="J46" s="23"/>
      <c r="K46" s="12"/>
      <c r="L46" s="12"/>
      <c r="M46" s="12"/>
    </row>
    <row r="47" spans="1:20">
      <c r="A47" s="12"/>
      <c r="B47" s="68"/>
      <c r="C47" s="68" t="e">
        <f ca="1">'GHG Soil'!E14+E17</f>
        <v>#NAME?</v>
      </c>
      <c r="D47" s="68">
        <f>'GHG Parameters'!D128</f>
        <v>0.1</v>
      </c>
      <c r="E47" s="68">
        <f>SUM(E15:E19)</f>
        <v>498.51052774275729</v>
      </c>
      <c r="F47" s="68">
        <f>E20+E21</f>
        <v>63.794699999999999</v>
      </c>
      <c r="G47" s="27" t="s">
        <v>251</v>
      </c>
      <c r="H47" s="27" t="s">
        <v>125</v>
      </c>
      <c r="I47" s="27" t="s">
        <v>252</v>
      </c>
      <c r="J47" s="23"/>
      <c r="K47" s="12"/>
      <c r="L47" s="12"/>
      <c r="M47" s="12"/>
    </row>
    <row r="48" spans="1:20">
      <c r="A48" s="12"/>
      <c r="B48" s="1038" t="s">
        <v>253</v>
      </c>
      <c r="C48" s="1039"/>
      <c r="D48" s="1039"/>
      <c r="E48" s="1039"/>
      <c r="F48" s="1039"/>
      <c r="G48" s="68">
        <f>'GHG Parameters'!D129</f>
        <v>0.2</v>
      </c>
      <c r="H48" s="68">
        <f>'GHG Parameters'!D124</f>
        <v>0.01</v>
      </c>
      <c r="I48" s="68" t="e">
        <f ca="1">((C47*D47)+((E47+F47)*G48))*H48</f>
        <v>#NAME?</v>
      </c>
      <c r="J48" s="71"/>
      <c r="K48" s="12"/>
      <c r="L48" s="12"/>
      <c r="M48" s="12"/>
    </row>
    <row r="49" spans="1:13">
      <c r="A49" s="12"/>
      <c r="G49" s="1039"/>
      <c r="H49" s="1039"/>
      <c r="I49" s="1040"/>
      <c r="J49" s="69" t="e">
        <f ca="1">I48*(44/28)</f>
        <v>#NAME?</v>
      </c>
      <c r="K49" s="12"/>
      <c r="L49" s="12"/>
      <c r="M49" s="12"/>
    </row>
    <row r="51" spans="1:13">
      <c r="B51" s="12" t="s">
        <v>612</v>
      </c>
      <c r="C51" s="12" t="s">
        <v>920</v>
      </c>
      <c r="D51" s="12"/>
      <c r="E51" s="12"/>
      <c r="F51" s="12"/>
    </row>
    <row r="52" spans="1:13">
      <c r="B52" s="23" t="s">
        <v>254</v>
      </c>
      <c r="C52" s="1035" t="s">
        <v>255</v>
      </c>
      <c r="D52" s="1036"/>
      <c r="E52" s="1036"/>
      <c r="F52" s="1036"/>
      <c r="G52" s="12"/>
      <c r="I52" s="12"/>
      <c r="J52" s="12"/>
    </row>
    <row r="53" spans="1:13" ht="94.5">
      <c r="B53" s="24" t="s">
        <v>216</v>
      </c>
      <c r="C53" s="24" t="s">
        <v>238</v>
      </c>
      <c r="D53" s="24" t="s">
        <v>239</v>
      </c>
      <c r="E53" s="24" t="s">
        <v>240</v>
      </c>
      <c r="F53" s="24" t="s">
        <v>241</v>
      </c>
      <c r="G53" s="1036"/>
      <c r="H53" s="1036"/>
      <c r="I53" s="1037"/>
      <c r="J53" s="23"/>
    </row>
    <row r="54" spans="1:13" ht="110.25">
      <c r="B54" s="24"/>
      <c r="C54" s="24" t="s">
        <v>214</v>
      </c>
      <c r="D54" s="24" t="s">
        <v>245</v>
      </c>
      <c r="E54" s="24" t="s">
        <v>214</v>
      </c>
      <c r="F54" s="24" t="s">
        <v>214</v>
      </c>
      <c r="G54" s="24" t="s">
        <v>242</v>
      </c>
      <c r="H54" s="24" t="s">
        <v>484</v>
      </c>
      <c r="I54" s="24" t="s">
        <v>485</v>
      </c>
      <c r="J54" s="24" t="s">
        <v>485</v>
      </c>
    </row>
    <row r="55" spans="1:13" ht="31.5">
      <c r="B55" s="27"/>
      <c r="C55" s="27"/>
      <c r="D55" s="27" t="s">
        <v>247</v>
      </c>
      <c r="E55" s="27"/>
      <c r="F55" s="27"/>
      <c r="G55" s="24" t="s">
        <v>244</v>
      </c>
      <c r="H55" s="24" t="s">
        <v>243</v>
      </c>
      <c r="I55" s="24" t="s">
        <v>246</v>
      </c>
      <c r="J55" s="24" t="s">
        <v>257</v>
      </c>
    </row>
    <row r="56" spans="1:13" ht="63">
      <c r="B56" s="27"/>
      <c r="C56" s="27" t="s">
        <v>248</v>
      </c>
      <c r="D56" s="27" t="s">
        <v>249</v>
      </c>
      <c r="E56" s="27" t="s">
        <v>250</v>
      </c>
      <c r="F56" s="27" t="s">
        <v>213</v>
      </c>
      <c r="G56" s="27" t="s">
        <v>247</v>
      </c>
      <c r="H56" s="27" t="s">
        <v>247</v>
      </c>
      <c r="I56" s="24" t="s">
        <v>256</v>
      </c>
      <c r="J56" s="23"/>
    </row>
    <row r="57" spans="1:13">
      <c r="B57" s="68"/>
      <c r="C57" s="68" t="e">
        <f ca="1">'GHG Soil'!M14+M17</f>
        <v>#NAME?</v>
      </c>
      <c r="D57" s="68">
        <f>'GHG Parameters'!D128</f>
        <v>0.1</v>
      </c>
      <c r="E57" s="68">
        <f>SUM(M15:M19)</f>
        <v>285.91704053533761</v>
      </c>
      <c r="F57" s="68">
        <f>M20+M21</f>
        <v>23.434305253434278</v>
      </c>
      <c r="G57" s="27" t="s">
        <v>251</v>
      </c>
      <c r="H57" s="27" t="s">
        <v>125</v>
      </c>
      <c r="I57" s="27" t="s">
        <v>252</v>
      </c>
      <c r="J57" s="23"/>
    </row>
    <row r="58" spans="1:13">
      <c r="B58" s="1038" t="s">
        <v>253</v>
      </c>
      <c r="C58" s="1039"/>
      <c r="D58" s="1039"/>
      <c r="E58" s="1039"/>
      <c r="F58" s="1039"/>
      <c r="G58" s="68">
        <f>'GHG Parameters'!D129</f>
        <v>0.2</v>
      </c>
      <c r="H58" s="68">
        <f>'GHG Parameters'!D124</f>
        <v>0.01</v>
      </c>
      <c r="I58" s="68" t="e">
        <f ca="1">((C57*D57)+((E57+F57)*G58))*H58</f>
        <v>#NAME?</v>
      </c>
      <c r="J58" s="71"/>
    </row>
    <row r="59" spans="1:13">
      <c r="G59" s="1039"/>
      <c r="H59" s="1039"/>
      <c r="I59" s="1040"/>
      <c r="J59" s="69" t="e">
        <f ca="1">I58*(44/28)</f>
        <v>#NAME?</v>
      </c>
    </row>
    <row r="63" spans="1:13">
      <c r="B63" t="s">
        <v>947</v>
      </c>
    </row>
    <row r="64" spans="1:13">
      <c r="B64" t="s">
        <v>919</v>
      </c>
      <c r="C64" s="12" t="s">
        <v>920</v>
      </c>
    </row>
    <row r="65" spans="2:11" ht="31.5">
      <c r="B65" s="46" t="s">
        <v>951</v>
      </c>
      <c r="C65" s="46" t="s">
        <v>951</v>
      </c>
    </row>
    <row r="66" spans="2:11">
      <c r="B66" s="46" t="s">
        <v>237</v>
      </c>
      <c r="C66" s="46" t="s">
        <v>237</v>
      </c>
    </row>
    <row r="67" spans="2:11" ht="31.5">
      <c r="B67" s="46" t="s">
        <v>661</v>
      </c>
      <c r="C67" s="46" t="s">
        <v>661</v>
      </c>
    </row>
    <row r="68" spans="2:11">
      <c r="B68" s="73">
        <f>H74+H75</f>
        <v>0</v>
      </c>
      <c r="C68" s="73">
        <f>H77+H78</f>
        <v>0</v>
      </c>
    </row>
    <row r="69" spans="2:11" ht="31.5">
      <c r="B69" s="1590"/>
      <c r="C69" s="1591"/>
      <c r="D69" s="1478" t="s">
        <v>236</v>
      </c>
      <c r="E69" s="1478"/>
      <c r="F69" s="24" t="s">
        <v>235</v>
      </c>
    </row>
    <row r="70" spans="2:11" ht="110.25">
      <c r="B70" s="1555"/>
      <c r="C70" s="1592"/>
      <c r="D70" s="1478" t="s">
        <v>233</v>
      </c>
      <c r="E70" s="1478"/>
      <c r="F70" s="27" t="s">
        <v>232</v>
      </c>
      <c r="G70" s="24"/>
      <c r="H70" s="24" t="s">
        <v>951</v>
      </c>
      <c r="I70" s="24" t="s">
        <v>242</v>
      </c>
      <c r="J70" s="24" t="s">
        <v>484</v>
      </c>
      <c r="K70" s="24" t="s">
        <v>485</v>
      </c>
    </row>
    <row r="71" spans="2:11" ht="31.5">
      <c r="B71" s="1555"/>
      <c r="C71" s="1592"/>
      <c r="D71" s="1478"/>
      <c r="E71" s="1478"/>
      <c r="F71" s="27" t="s">
        <v>230</v>
      </c>
      <c r="G71" s="27"/>
      <c r="H71" s="24" t="s">
        <v>231</v>
      </c>
      <c r="I71" s="24" t="s">
        <v>244</v>
      </c>
      <c r="J71" s="24" t="s">
        <v>243</v>
      </c>
      <c r="K71" s="24" t="s">
        <v>257</v>
      </c>
    </row>
    <row r="72" spans="2:11">
      <c r="B72" t="s">
        <v>949</v>
      </c>
      <c r="D72" s="1478" t="s">
        <v>228</v>
      </c>
      <c r="E72" s="1478"/>
      <c r="F72" s="27" t="s">
        <v>0</v>
      </c>
      <c r="G72" s="27"/>
      <c r="H72" s="24" t="s">
        <v>229</v>
      </c>
      <c r="I72" s="27" t="s">
        <v>247</v>
      </c>
      <c r="J72" s="211" t="s">
        <v>247</v>
      </c>
      <c r="K72" s="1594"/>
    </row>
    <row r="73" spans="2:11" ht="31.5">
      <c r="B73" s="1541" t="s">
        <v>948</v>
      </c>
      <c r="C73" s="91" t="s">
        <v>211</v>
      </c>
      <c r="D73" s="90" t="s">
        <v>608</v>
      </c>
      <c r="E73" s="88">
        <f>'GHG Manure'!C201</f>
        <v>0</v>
      </c>
      <c r="F73" s="93" t="s">
        <v>212</v>
      </c>
      <c r="G73" s="27"/>
      <c r="H73" s="24" t="s">
        <v>227</v>
      </c>
      <c r="I73" s="27" t="s">
        <v>251</v>
      </c>
      <c r="J73" s="211" t="s">
        <v>125</v>
      </c>
      <c r="K73" s="1595"/>
    </row>
    <row r="74" spans="2:11" ht="31.5">
      <c r="B74" s="1534"/>
      <c r="C74" s="27" t="s">
        <v>210</v>
      </c>
      <c r="D74" s="26" t="s">
        <v>609</v>
      </c>
      <c r="E74" s="68">
        <f>'GHG Manure'!C202</f>
        <v>0</v>
      </c>
      <c r="F74" s="23" t="s">
        <v>212</v>
      </c>
      <c r="G74" s="91">
        <f>'GHG Parameters'!D122</f>
        <v>0.02</v>
      </c>
      <c r="H74" s="212">
        <f>G74*E73</f>
        <v>0</v>
      </c>
      <c r="I74" s="68">
        <f>'GHG Parameters'!D129</f>
        <v>0.2</v>
      </c>
      <c r="J74" s="214">
        <f>'GHG Parameters'!D124</f>
        <v>0.01</v>
      </c>
      <c r="K74" s="273">
        <f>H74*I74*J74 *(44/28)</f>
        <v>0</v>
      </c>
    </row>
    <row r="75" spans="2:11">
      <c r="G75" s="27">
        <f>'GHG Parameters'!D123</f>
        <v>0.01</v>
      </c>
      <c r="H75" s="69">
        <f>G75*E74</f>
        <v>0</v>
      </c>
      <c r="I75" s="68">
        <f>'GHG Parameters'!D129</f>
        <v>0.2</v>
      </c>
      <c r="J75" s="214">
        <f>'GHG Parameters'!D124</f>
        <v>0.01</v>
      </c>
      <c r="K75" s="273">
        <f>H75*I75*J75 *(44/28)</f>
        <v>0</v>
      </c>
    </row>
    <row r="76" spans="2:11">
      <c r="B76" t="s">
        <v>950</v>
      </c>
      <c r="H76" s="213"/>
      <c r="K76" s="274"/>
    </row>
    <row r="77" spans="2:11" ht="31.5">
      <c r="B77" s="1541" t="s">
        <v>948</v>
      </c>
      <c r="C77" s="91" t="s">
        <v>211</v>
      </c>
      <c r="D77" s="90" t="s">
        <v>608</v>
      </c>
      <c r="E77" s="88">
        <f>'GHG Manure'!E201</f>
        <v>0</v>
      </c>
      <c r="F77" s="93" t="s">
        <v>212</v>
      </c>
      <c r="G77" s="91">
        <f>'GHG Parameters'!D122</f>
        <v>0.02</v>
      </c>
      <c r="H77" s="212">
        <f>G77*E77</f>
        <v>0</v>
      </c>
      <c r="I77" s="68">
        <f>'GHG Parameters'!D129</f>
        <v>0.2</v>
      </c>
      <c r="J77" s="214">
        <f>'GHG Parameters'!D124</f>
        <v>0.01</v>
      </c>
      <c r="K77" s="273">
        <f>H77*I77*J77 *(44/28)</f>
        <v>0</v>
      </c>
    </row>
    <row r="78" spans="2:11" ht="31.5">
      <c r="B78" s="1534"/>
      <c r="C78" s="27" t="s">
        <v>210</v>
      </c>
      <c r="D78" s="26" t="s">
        <v>609</v>
      </c>
      <c r="E78" s="68">
        <f>'GHG Manure'!E202</f>
        <v>0</v>
      </c>
      <c r="F78" s="23" t="s">
        <v>212</v>
      </c>
      <c r="G78" s="27">
        <f>'GHG Parameters'!D123</f>
        <v>0.01</v>
      </c>
      <c r="H78" s="69">
        <f>G78*E78</f>
        <v>0</v>
      </c>
      <c r="I78" s="68">
        <f>'GHG Parameters'!D129</f>
        <v>0.2</v>
      </c>
      <c r="J78" s="214">
        <f>'GHG Parameters'!D124</f>
        <v>0.01</v>
      </c>
      <c r="K78" s="273">
        <f>H78*I78*J78 *(44/28)</f>
        <v>0</v>
      </c>
    </row>
  </sheetData>
  <mergeCells count="46">
    <mergeCell ref="B20:B21"/>
    <mergeCell ref="F11:G11"/>
    <mergeCell ref="F13:G13"/>
    <mergeCell ref="B14:B16"/>
    <mergeCell ref="B17:B19"/>
    <mergeCell ref="F14:F16"/>
    <mergeCell ref="F17:F19"/>
    <mergeCell ref="L8:P8"/>
    <mergeCell ref="J14:J16"/>
    <mergeCell ref="N14:N16"/>
    <mergeCell ref="J17:J19"/>
    <mergeCell ref="N17:N19"/>
    <mergeCell ref="N12:O12"/>
    <mergeCell ref="L13:M13"/>
    <mergeCell ref="N13:O13"/>
    <mergeCell ref="L9:P9"/>
    <mergeCell ref="J10:K13"/>
    <mergeCell ref="L10:M10"/>
    <mergeCell ref="N10:O10"/>
    <mergeCell ref="L11:M11"/>
    <mergeCell ref="N11:O11"/>
    <mergeCell ref="L12:M12"/>
    <mergeCell ref="K72:K73"/>
    <mergeCell ref="D69:E69"/>
    <mergeCell ref="D70:E70"/>
    <mergeCell ref="C8:H8"/>
    <mergeCell ref="J22:K22"/>
    <mergeCell ref="J20:J21"/>
    <mergeCell ref="J9:K9"/>
    <mergeCell ref="B9:C9"/>
    <mergeCell ref="D10:E10"/>
    <mergeCell ref="D11:E11"/>
    <mergeCell ref="D12:E12"/>
    <mergeCell ref="D13:E13"/>
    <mergeCell ref="D9:H9"/>
    <mergeCell ref="F10:G10"/>
    <mergeCell ref="B10:C13"/>
    <mergeCell ref="F12:G12"/>
    <mergeCell ref="B77:B78"/>
    <mergeCell ref="D72:E72"/>
    <mergeCell ref="B69:C71"/>
    <mergeCell ref="B28:B31"/>
    <mergeCell ref="B22:C22"/>
    <mergeCell ref="B39:E39"/>
    <mergeCell ref="D71:E71"/>
    <mergeCell ref="B73:B74"/>
  </mergeCells>
  <pageMargins left="0.75" right="0.75" top="1" bottom="1" header="0.5" footer="0.5"/>
  <pageSetup paperSize="9" orientation="portrait" horizontalDpi="4294967292" verticalDpi="429496729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5">
    <tabColor rgb="FF00B050"/>
  </sheetPr>
  <dimension ref="A1:O26"/>
  <sheetViews>
    <sheetView workbookViewId="0">
      <selection activeCell="D37" sqref="D37"/>
    </sheetView>
  </sheetViews>
  <sheetFormatPr defaultColWidth="8.875" defaultRowHeight="15.75"/>
  <cols>
    <col min="1" max="1" width="13" bestFit="1" customWidth="1"/>
    <col min="2" max="2" width="19.875" customWidth="1"/>
    <col min="3" max="3" width="32.125" bestFit="1" customWidth="1"/>
    <col min="4" max="4" width="16.375" bestFit="1" customWidth="1"/>
    <col min="5" max="8" width="16.375" customWidth="1"/>
    <col min="9" max="9" width="15.625" bestFit="1" customWidth="1"/>
    <col min="10" max="10" width="30.625" bestFit="1" customWidth="1"/>
  </cols>
  <sheetData>
    <row r="1" spans="1:15">
      <c r="A1" t="s">
        <v>617</v>
      </c>
    </row>
    <row r="2" spans="1:15">
      <c r="A2" t="s">
        <v>648</v>
      </c>
      <c r="C2" t="s">
        <v>651</v>
      </c>
    </row>
    <row r="5" spans="1:15">
      <c r="J5" t="s">
        <v>680</v>
      </c>
    </row>
    <row r="6" spans="1:15">
      <c r="C6" s="24" t="s">
        <v>669</v>
      </c>
      <c r="D6" s="24" t="s">
        <v>671</v>
      </c>
      <c r="E6" s="1471" t="s">
        <v>674</v>
      </c>
      <c r="F6" s="1471"/>
      <c r="G6" s="1471"/>
      <c r="H6" s="1471"/>
      <c r="I6" s="1471"/>
      <c r="J6" s="1471" t="s">
        <v>677</v>
      </c>
      <c r="K6" s="1471"/>
      <c r="L6" s="1471"/>
      <c r="M6" s="1471"/>
      <c r="N6" s="1471"/>
      <c r="O6" s="27"/>
    </row>
    <row r="7" spans="1:15">
      <c r="C7" s="24" t="s">
        <v>894</v>
      </c>
      <c r="D7" s="24" t="s">
        <v>672</v>
      </c>
      <c r="E7" s="1471" t="s">
        <v>675</v>
      </c>
      <c r="F7" s="1471"/>
      <c r="G7" s="1471"/>
      <c r="H7" s="1471"/>
      <c r="I7" s="1471"/>
      <c r="J7" s="1471" t="s">
        <v>678</v>
      </c>
      <c r="K7" s="1471"/>
      <c r="L7" s="1471"/>
      <c r="M7" s="1471"/>
      <c r="N7" s="1471"/>
      <c r="O7" s="27" t="s">
        <v>688</v>
      </c>
    </row>
    <row r="8" spans="1:15">
      <c r="C8" s="24"/>
      <c r="D8" s="24" t="s">
        <v>649</v>
      </c>
      <c r="E8" s="1471" t="s">
        <v>650</v>
      </c>
      <c r="F8" s="1471"/>
      <c r="G8" s="1471"/>
      <c r="H8" s="1471"/>
      <c r="I8" s="1471"/>
      <c r="J8" s="1471" t="s">
        <v>682</v>
      </c>
      <c r="K8" s="1471"/>
      <c r="L8" s="1471"/>
      <c r="M8" s="1471"/>
      <c r="N8" s="1471"/>
      <c r="O8" s="27"/>
    </row>
    <row r="9" spans="1:15">
      <c r="C9" s="24" t="s">
        <v>670</v>
      </c>
      <c r="D9" s="24" t="s">
        <v>673</v>
      </c>
      <c r="E9" s="1471" t="s">
        <v>676</v>
      </c>
      <c r="F9" s="1471"/>
      <c r="G9" s="1471"/>
      <c r="H9" s="1471"/>
      <c r="I9" s="1471"/>
      <c r="J9" s="1471" t="s">
        <v>679</v>
      </c>
      <c r="K9" s="1471"/>
      <c r="L9" s="1471"/>
      <c r="M9" s="1471"/>
      <c r="N9" s="1471"/>
      <c r="O9" s="27"/>
    </row>
    <row r="10" spans="1:15" s="12" customFormat="1" ht="47.25">
      <c r="A10" s="30" t="s">
        <v>681</v>
      </c>
      <c r="B10"/>
      <c r="C10" s="27" t="s">
        <v>687</v>
      </c>
      <c r="E10" s="24" t="s">
        <v>683</v>
      </c>
      <c r="F10" s="568" t="s">
        <v>684</v>
      </c>
      <c r="G10" s="24" t="s">
        <v>685</v>
      </c>
      <c r="H10" s="24" t="s">
        <v>87</v>
      </c>
      <c r="I10" s="568" t="s">
        <v>686</v>
      </c>
      <c r="J10" s="24" t="s">
        <v>683</v>
      </c>
      <c r="K10" s="167" t="s">
        <v>684</v>
      </c>
      <c r="L10" s="24" t="s">
        <v>685</v>
      </c>
      <c r="M10" s="24" t="s">
        <v>87</v>
      </c>
      <c r="N10" s="167" t="s">
        <v>686</v>
      </c>
      <c r="O10" s="27" t="s">
        <v>640</v>
      </c>
    </row>
    <row r="11" spans="1:15">
      <c r="C11" s="68">
        <f>E26</f>
        <v>0</v>
      </c>
      <c r="D11" s="68">
        <v>0.8</v>
      </c>
      <c r="E11" s="27">
        <v>1515</v>
      </c>
      <c r="F11" s="569">
        <v>92</v>
      </c>
      <c r="G11" s="27">
        <v>2.7</v>
      </c>
      <c r="H11" s="27">
        <v>7.0000000000000007E-2</v>
      </c>
      <c r="I11" s="569">
        <v>2.5</v>
      </c>
      <c r="J11" s="68">
        <f>C11*D11*E11</f>
        <v>0</v>
      </c>
      <c r="K11" s="170">
        <f>C11*D11*F11</f>
        <v>0</v>
      </c>
      <c r="L11" s="68">
        <f>C11*D11*G11</f>
        <v>0</v>
      </c>
      <c r="M11" s="131">
        <f>C11*D11*H11</f>
        <v>0</v>
      </c>
      <c r="N11" s="170">
        <f>C11*D11*I11</f>
        <v>0</v>
      </c>
      <c r="O11" s="68">
        <f>(J11+(L11*'GHG emissions'!C26)+(M11*'GHG emissions'!C27))/1000</f>
        <v>0</v>
      </c>
    </row>
    <row r="17" spans="2:5">
      <c r="B17" t="s">
        <v>789</v>
      </c>
      <c r="C17" t="s">
        <v>892</v>
      </c>
      <c r="D17" t="s">
        <v>891</v>
      </c>
      <c r="E17" t="s">
        <v>893</v>
      </c>
    </row>
    <row r="18" spans="2:5">
      <c r="B18" t="str">
        <f>INPUTS!D73</f>
        <v>Purchased</v>
      </c>
      <c r="C18" s="39" t="e">
        <f>VLOOKUP(B18,crop_parameters,8, FALSE)</f>
        <v>#N/A</v>
      </c>
      <c r="D18" s="39">
        <f>INPUTS!G88</f>
        <v>0</v>
      </c>
      <c r="E18" s="39" t="str">
        <f>IF(ISERROR(D18*C18*'Land requirements'!E4),"",(D18*C18*'Land requirements'!E4))</f>
        <v/>
      </c>
    </row>
    <row r="19" spans="2:5">
      <c r="B19" t="str">
        <f>INPUTS!D74</f>
        <v>Maize</v>
      </c>
      <c r="C19" s="39">
        <f>VLOOKUP(B19,crop_parameters,8, FALSE)</f>
        <v>3</v>
      </c>
      <c r="D19" s="39">
        <f>INPUTS!G89</f>
        <v>0</v>
      </c>
      <c r="E19" s="39">
        <f>IF(ISERROR(D19*C19*'Land requirements'!E5),"",(D19*C19*'Land requirements'!E5))</f>
        <v>0</v>
      </c>
    </row>
    <row r="20" spans="2:5">
      <c r="B20" t="str">
        <f>INPUTS!D75</f>
        <v xml:space="preserve">Brachiaria brizantha </v>
      </c>
      <c r="C20" s="39">
        <f>VLOOKUP(B20,crop_parameters,8, FALSE)</f>
        <v>0</v>
      </c>
      <c r="D20" s="39">
        <f>INPUTS!G90</f>
        <v>0</v>
      </c>
      <c r="E20" s="39">
        <f>IF(ISERROR(D20*C20*'Land requirements'!E6),"",(D20*C20*'Land requirements'!E6))</f>
        <v>0</v>
      </c>
    </row>
    <row r="21" spans="2:5">
      <c r="B21" t="str">
        <f>INPUTS!D76</f>
        <v>Purchased</v>
      </c>
      <c r="C21" s="39" t="str">
        <f t="shared" ref="C21:C24" si="0">IFERROR(VLOOKUP(B21,crop_parameters,8, FALSE), "")</f>
        <v/>
      </c>
      <c r="D21" s="39">
        <f>INPUTS!G91</f>
        <v>0</v>
      </c>
      <c r="E21" s="39" t="str">
        <f>IF(ISERROR(D21*C21*'Land requirements'!E7),"",(D21*C21*'Land requirements'!E7))</f>
        <v/>
      </c>
    </row>
    <row r="22" spans="2:5">
      <c r="B22" t="str">
        <f>INPUTS!D77</f>
        <v>Rice</v>
      </c>
      <c r="C22" s="39" t="str">
        <f t="shared" si="0"/>
        <v/>
      </c>
      <c r="D22" s="39">
        <f>INPUTS!G92</f>
        <v>0</v>
      </c>
      <c r="E22" s="39" t="str">
        <f>IF(ISERROR(D22*C22*'Land requirements'!E8),"",(D22*C22*'Land requirements'!E8))</f>
        <v/>
      </c>
    </row>
    <row r="23" spans="2:5">
      <c r="B23" t="str">
        <f>INPUTS!D78</f>
        <v>Natural pasture</v>
      </c>
      <c r="C23" s="39">
        <f t="shared" si="0"/>
        <v>6.6041816870944542E-2</v>
      </c>
      <c r="D23" s="39">
        <f>INPUTS!G93</f>
        <v>0</v>
      </c>
      <c r="E23" s="39">
        <f>IF(ISERROR(D23*C23*'Land requirements'!E9),"",(D23*C23*'Land requirements'!E9))</f>
        <v>0</v>
      </c>
    </row>
    <row r="24" spans="2:5">
      <c r="B24" t="str">
        <f>INPUTS!D79</f>
        <v>Pennisetum purpureum</v>
      </c>
      <c r="C24" s="39" t="str">
        <f t="shared" si="0"/>
        <v/>
      </c>
      <c r="D24" s="39">
        <f>INPUTS!G94</f>
        <v>0</v>
      </c>
      <c r="E24" s="39" t="str">
        <f>IF(ISERROR(D24*C24*'Land requirements'!E10),"",(D24*C24*'Land requirements'!E10))</f>
        <v/>
      </c>
    </row>
    <row r="25" spans="2:5">
      <c r="C25" s="39"/>
      <c r="D25" s="39"/>
      <c r="E25" s="39"/>
    </row>
    <row r="26" spans="2:5">
      <c r="C26" s="39"/>
      <c r="D26" s="39" t="s">
        <v>132</v>
      </c>
      <c r="E26" s="39">
        <f>SUM(E18:E24)</f>
        <v>0</v>
      </c>
    </row>
  </sheetData>
  <mergeCells count="8">
    <mergeCell ref="E6:I6"/>
    <mergeCell ref="E7:I7"/>
    <mergeCell ref="E8:I8"/>
    <mergeCell ref="E9:I9"/>
    <mergeCell ref="J9:N9"/>
    <mergeCell ref="J8:N8"/>
    <mergeCell ref="J7:N7"/>
    <mergeCell ref="J6:N6"/>
  </mergeCells>
  <pageMargins left="0.7" right="0.7" top="0.75" bottom="0.75" header="0.3" footer="0.3"/>
  <pageSetup paperSize="9" orientation="portrait" horizontalDpi="4294967292" verticalDpi="429496729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>
    <tabColor rgb="FF00B050"/>
  </sheetPr>
  <dimension ref="A2:E16"/>
  <sheetViews>
    <sheetView workbookViewId="0">
      <selection activeCell="D10" sqref="D10"/>
    </sheetView>
  </sheetViews>
  <sheetFormatPr defaultColWidth="8.875" defaultRowHeight="15.75"/>
  <cols>
    <col min="1" max="1" width="20.125" customWidth="1"/>
    <col min="2" max="2" width="19.125" bestFit="1" customWidth="1"/>
    <col min="3" max="3" width="33.625" bestFit="1" customWidth="1"/>
    <col min="4" max="4" width="27.625" bestFit="1" customWidth="1"/>
    <col min="5" max="5" width="35" bestFit="1" customWidth="1"/>
  </cols>
  <sheetData>
    <row r="2" spans="1:5">
      <c r="A2" t="s">
        <v>1027</v>
      </c>
    </row>
    <row r="4" spans="1:5">
      <c r="A4" t="s">
        <v>1028</v>
      </c>
      <c r="B4" t="s">
        <v>1029</v>
      </c>
      <c r="C4" t="s">
        <v>1030</v>
      </c>
      <c r="D4" t="s">
        <v>1031</v>
      </c>
    </row>
    <row r="5" spans="1:5">
      <c r="A5" s="9" t="s">
        <v>1032</v>
      </c>
      <c r="B5">
        <f>INPUTS!D106</f>
        <v>50</v>
      </c>
      <c r="C5">
        <v>0.78500000000000003</v>
      </c>
      <c r="D5" s="39">
        <f>C5*B5</f>
        <v>39.25</v>
      </c>
    </row>
    <row r="6" spans="1:5">
      <c r="A6" s="9" t="s">
        <v>1033</v>
      </c>
      <c r="B6">
        <f>INPUTS!D107</f>
        <v>0</v>
      </c>
      <c r="C6">
        <f>E16</f>
        <v>2.3382000000000001</v>
      </c>
      <c r="D6" s="39">
        <f>C6*B6</f>
        <v>0</v>
      </c>
    </row>
    <row r="7" spans="1:5">
      <c r="A7" s="9" t="s">
        <v>1034</v>
      </c>
      <c r="B7">
        <f>INPUTS!D108</f>
        <v>20</v>
      </c>
      <c r="C7">
        <f>E15</f>
        <v>0.504</v>
      </c>
      <c r="D7" s="39">
        <f>C7*B7</f>
        <v>10.08</v>
      </c>
    </row>
    <row r="8" spans="1:5">
      <c r="A8" s="9" t="s">
        <v>1035</v>
      </c>
      <c r="B8">
        <f>INPUTS!D109</f>
        <v>0</v>
      </c>
      <c r="C8">
        <v>1.21</v>
      </c>
      <c r="D8" s="39">
        <f>C8*B8</f>
        <v>0</v>
      </c>
    </row>
    <row r="9" spans="1:5">
      <c r="A9" s="9" t="s">
        <v>1038</v>
      </c>
      <c r="B9">
        <f>INPUTS!D110</f>
        <v>0</v>
      </c>
      <c r="D9" s="39">
        <f>C9*B9</f>
        <v>0</v>
      </c>
      <c r="E9" s="294" t="s">
        <v>1045</v>
      </c>
    </row>
    <row r="10" spans="1:5">
      <c r="C10" s="294" t="s">
        <v>209</v>
      </c>
      <c r="D10" s="295">
        <f>SUM(D5:D9)</f>
        <v>49.33</v>
      </c>
      <c r="E10" s="295">
        <f>D10/'Land requirements'!E11</f>
        <v>19.845766434097573</v>
      </c>
    </row>
    <row r="11" spans="1:5">
      <c r="E11" s="39"/>
    </row>
    <row r="12" spans="1:5">
      <c r="E12" s="39"/>
    </row>
    <row r="13" spans="1:5">
      <c r="E13" s="39"/>
    </row>
    <row r="14" spans="1:5">
      <c r="B14" t="s">
        <v>1040</v>
      </c>
      <c r="C14" t="s">
        <v>1041</v>
      </c>
      <c r="D14" t="s">
        <v>1042</v>
      </c>
      <c r="E14" s="39" t="s">
        <v>1043</v>
      </c>
    </row>
    <row r="15" spans="1:5">
      <c r="A15" t="s">
        <v>1039</v>
      </c>
      <c r="B15">
        <v>18</v>
      </c>
      <c r="C15">
        <v>2.8</v>
      </c>
      <c r="D15">
        <v>0.18</v>
      </c>
      <c r="E15" s="39">
        <f>D15*C15</f>
        <v>0.504</v>
      </c>
    </row>
    <row r="16" spans="1:5">
      <c r="A16" t="s">
        <v>1033</v>
      </c>
      <c r="B16">
        <v>27</v>
      </c>
      <c r="C16">
        <v>8.66</v>
      </c>
      <c r="D16">
        <v>0.27</v>
      </c>
      <c r="E16" s="39">
        <f>D16*C16</f>
        <v>2.3382000000000001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7">
    <tabColor rgb="FF00B050"/>
  </sheetPr>
  <dimension ref="A1:M68"/>
  <sheetViews>
    <sheetView workbookViewId="0">
      <selection activeCell="C8" sqref="C8"/>
    </sheetView>
  </sheetViews>
  <sheetFormatPr defaultColWidth="11" defaultRowHeight="15.75"/>
  <cols>
    <col min="1" max="1" width="41.125" customWidth="1"/>
    <col min="2" max="2" width="35" customWidth="1"/>
    <col min="3" max="3" width="20.5" customWidth="1"/>
    <col min="4" max="4" width="16.625" customWidth="1"/>
    <col min="5" max="5" width="15" customWidth="1"/>
    <col min="6" max="6" width="13.125" customWidth="1"/>
    <col min="7" max="7" width="15.125" customWidth="1"/>
    <col min="10" max="10" width="23.625" customWidth="1"/>
    <col min="12" max="12" width="24" customWidth="1"/>
    <col min="13" max="13" width="18.125" customWidth="1"/>
  </cols>
  <sheetData>
    <row r="1" spans="1:13">
      <c r="A1" t="s">
        <v>173</v>
      </c>
      <c r="D1" t="s">
        <v>205</v>
      </c>
    </row>
    <row r="2" spans="1:13">
      <c r="D2" t="s">
        <v>206</v>
      </c>
    </row>
    <row r="3" spans="1:13">
      <c r="A3" s="13" t="s">
        <v>172</v>
      </c>
      <c r="B3" s="13" t="s">
        <v>171</v>
      </c>
      <c r="C3" s="1560" t="s">
        <v>168</v>
      </c>
      <c r="D3" s="1560"/>
      <c r="E3" s="1560" t="s">
        <v>169</v>
      </c>
      <c r="F3" s="1560"/>
      <c r="G3" s="1560"/>
      <c r="H3" s="1604" t="s">
        <v>170</v>
      </c>
      <c r="I3" s="1604"/>
      <c r="J3" s="1604"/>
      <c r="K3" s="1604" t="s">
        <v>169</v>
      </c>
      <c r="L3" s="1604"/>
      <c r="M3" s="64" t="s">
        <v>168</v>
      </c>
    </row>
    <row r="4" spans="1:13" s="10" customFormat="1" ht="141.75">
      <c r="A4" s="109" t="s">
        <v>624</v>
      </c>
      <c r="B4" s="109"/>
      <c r="C4" s="18" t="s">
        <v>166</v>
      </c>
      <c r="D4" s="15" t="s">
        <v>165</v>
      </c>
      <c r="E4" s="15" t="s">
        <v>208</v>
      </c>
      <c r="F4" s="15" t="s">
        <v>164</v>
      </c>
      <c r="G4" s="15" t="s">
        <v>207</v>
      </c>
      <c r="H4" s="18" t="s">
        <v>163</v>
      </c>
      <c r="I4" s="15" t="s">
        <v>162</v>
      </c>
      <c r="J4" s="15" t="s">
        <v>161</v>
      </c>
      <c r="K4" s="15" t="s">
        <v>160</v>
      </c>
      <c r="L4" s="15" t="s">
        <v>159</v>
      </c>
      <c r="M4" s="65" t="s">
        <v>158</v>
      </c>
    </row>
    <row r="5" spans="1:13" s="103" customFormat="1" ht="31.5">
      <c r="A5" s="110"/>
      <c r="B5" s="110"/>
      <c r="C5" s="24" t="s">
        <v>157</v>
      </c>
      <c r="D5" s="24" t="s">
        <v>156</v>
      </c>
      <c r="E5" s="24" t="s">
        <v>155</v>
      </c>
      <c r="F5" s="24" t="s">
        <v>153</v>
      </c>
      <c r="G5" s="24" t="s">
        <v>153</v>
      </c>
      <c r="H5" s="101" t="s">
        <v>154</v>
      </c>
      <c r="I5" s="101" t="s">
        <v>153</v>
      </c>
      <c r="J5" s="101" t="s">
        <v>153</v>
      </c>
      <c r="K5" s="101" t="s">
        <v>153</v>
      </c>
      <c r="L5" s="101" t="s">
        <v>152</v>
      </c>
      <c r="M5" s="102" t="s">
        <v>151</v>
      </c>
    </row>
    <row r="6" spans="1:13" s="103" customFormat="1" ht="31.5">
      <c r="A6" s="110"/>
      <c r="B6" s="110"/>
      <c r="C6" s="87"/>
      <c r="D6" s="87"/>
      <c r="E6" s="87" t="s">
        <v>150</v>
      </c>
      <c r="F6" s="87" t="s">
        <v>149</v>
      </c>
      <c r="G6" s="87" t="s">
        <v>148</v>
      </c>
      <c r="H6" s="104"/>
      <c r="I6" s="104" t="s">
        <v>147</v>
      </c>
      <c r="J6" s="104" t="s">
        <v>146</v>
      </c>
      <c r="K6" s="104"/>
      <c r="L6" s="104" t="s">
        <v>203</v>
      </c>
      <c r="M6" s="105" t="s">
        <v>145</v>
      </c>
    </row>
    <row r="7" spans="1:13" s="103" customFormat="1" ht="16.5" thickBot="1">
      <c r="A7" s="111"/>
      <c r="B7" s="111" t="s">
        <v>623</v>
      </c>
      <c r="C7" s="106" t="s">
        <v>144</v>
      </c>
      <c r="D7" s="106" t="s">
        <v>143</v>
      </c>
      <c r="E7" s="106" t="s">
        <v>142</v>
      </c>
      <c r="F7" s="106" t="s">
        <v>141</v>
      </c>
      <c r="G7" s="106" t="s">
        <v>140</v>
      </c>
      <c r="H7" s="106" t="s">
        <v>139</v>
      </c>
      <c r="I7" s="106" t="s">
        <v>138</v>
      </c>
      <c r="J7" s="106" t="s">
        <v>137</v>
      </c>
      <c r="K7" s="107" t="s">
        <v>136</v>
      </c>
      <c r="L7" s="107" t="s">
        <v>135</v>
      </c>
      <c r="M7" s="108" t="s">
        <v>134</v>
      </c>
    </row>
    <row r="8" spans="1:13" ht="17.25" thickTop="1" thickBot="1">
      <c r="A8" s="112" t="s">
        <v>618</v>
      </c>
      <c r="B8" s="4" t="str">
        <f>INPUTS!E115</f>
        <v xml:space="preserve">None </v>
      </c>
      <c r="C8" s="3">
        <f>INPUTS!E113</f>
        <v>0</v>
      </c>
      <c r="D8" s="3">
        <f>INPUTS!E114</f>
        <v>0</v>
      </c>
      <c r="E8" s="83">
        <f>'GHG Parameters'!C$197</f>
        <v>1.3</v>
      </c>
      <c r="F8" s="83">
        <f>VLOOKUP(B8,A$53:B$60,2,FALSE)</f>
        <v>0</v>
      </c>
      <c r="G8" s="83">
        <f>IFERROR(VLOOKUP(INPUTS!E116,'GHG Rice'!A65:B68,2,FALSE), "")</f>
        <v>1</v>
      </c>
      <c r="H8" s="3">
        <f>INPUTS!E118</f>
        <v>0</v>
      </c>
      <c r="I8" s="83">
        <f>IFERROR(VLOOKUP(INPUTS!E117,'GHG Rice'!A$42:B$47, 2, FALSE), 0)</f>
        <v>0.05</v>
      </c>
      <c r="J8" s="132">
        <f>IFERROR((1+H8*I8)^0.59, 0)</f>
        <v>1</v>
      </c>
      <c r="K8" s="3">
        <v>1</v>
      </c>
      <c r="L8" s="132">
        <f>E8*F8*G8*J8*K8</f>
        <v>0</v>
      </c>
      <c r="M8" s="133">
        <f>IF(ISERROR(C8*D8*L8),"",C8*D8*L8)</f>
        <v>0</v>
      </c>
    </row>
    <row r="9" spans="1:13" ht="17.25" thickTop="1" thickBot="1">
      <c r="A9" s="112" t="s">
        <v>619</v>
      </c>
      <c r="B9" s="4" t="str">
        <f>INPUTS!F115</f>
        <v xml:space="preserve">None </v>
      </c>
      <c r="C9" s="3">
        <f>INPUTS!F113</f>
        <v>0</v>
      </c>
      <c r="D9" s="3">
        <f>INPUTS!F114</f>
        <v>0</v>
      </c>
      <c r="E9" s="83">
        <f>'GHG Parameters'!C$197</f>
        <v>1.3</v>
      </c>
      <c r="F9" s="83">
        <f>VLOOKUP(B9,A$53:B$60,2,FALSE)</f>
        <v>0</v>
      </c>
      <c r="G9" s="83">
        <f>IFERROR(VLOOKUP(INPUTS!F116,'GHG Rice'!A65:B68,2,FALSE), 0)</f>
        <v>0</v>
      </c>
      <c r="H9" s="13">
        <f>INPUTS!F118</f>
        <v>0</v>
      </c>
      <c r="I9" s="83">
        <f>IFERROR(VLOOKUP(INPUTS!F117,'GHG Rice'!A$42:B$47, 2, FALSE), 0)</f>
        <v>0</v>
      </c>
      <c r="J9" s="132">
        <f>IFERROR((1+H9*I9)^0.59, 0)</f>
        <v>1</v>
      </c>
      <c r="K9" s="13">
        <v>1</v>
      </c>
      <c r="L9" s="132">
        <f>E9*F9*G9*J9*K9</f>
        <v>0</v>
      </c>
      <c r="M9" s="133">
        <f>IF(ISERROR(C9*D9*L9),"",C9*D9*L9)</f>
        <v>0</v>
      </c>
    </row>
    <row r="10" spans="1:13" ht="17.25" thickTop="1" thickBot="1">
      <c r="A10" s="112" t="s">
        <v>620</v>
      </c>
      <c r="B10" s="4" t="str">
        <f>INPUTS!G115</f>
        <v xml:space="preserve">None </v>
      </c>
      <c r="C10" s="3">
        <f>INPUTS!G113</f>
        <v>0</v>
      </c>
      <c r="D10" s="3">
        <f>INPUTS!G114</f>
        <v>0</v>
      </c>
      <c r="E10" s="83">
        <f>'GHG Parameters'!C$197</f>
        <v>1.3</v>
      </c>
      <c r="F10" s="83">
        <f>VLOOKUP(B10,A$53:B$60,2,FALSE)</f>
        <v>0</v>
      </c>
      <c r="G10" s="83">
        <f>IFERROR(VLOOKUP(INPUTS!G116,'GHG Rice'!A65:B68,2,FALSE), 0)</f>
        <v>0</v>
      </c>
      <c r="H10" s="13">
        <f>INPUTS!G118</f>
        <v>0</v>
      </c>
      <c r="I10" s="83">
        <f>IFERROR(VLOOKUP(INPUTS!G117,'GHG Rice'!A$42:B$47, 2, FALSE), 0)</f>
        <v>0</v>
      </c>
      <c r="J10" s="132">
        <f>IFERROR((1+H10*I10)^0.59, 0)</f>
        <v>1</v>
      </c>
      <c r="K10" s="13">
        <v>1</v>
      </c>
      <c r="L10" s="132">
        <f>E10*F10*G10*J10*K10</f>
        <v>0</v>
      </c>
      <c r="M10" s="133">
        <f>IF(ISERROR(C10*D10*L10),"",C10*D10*L10)</f>
        <v>0</v>
      </c>
    </row>
    <row r="11" spans="1:13" ht="15.75" customHeight="1" thickTop="1" thickBot="1">
      <c r="A11" s="112" t="s">
        <v>621</v>
      </c>
      <c r="B11" s="4" t="str">
        <f>INPUTS!H115</f>
        <v xml:space="preserve">None </v>
      </c>
      <c r="C11" s="3">
        <f>INPUTS!H113</f>
        <v>0</v>
      </c>
      <c r="D11" s="3">
        <f>INPUTS!H114</f>
        <v>0</v>
      </c>
      <c r="E11" s="83">
        <f>'GHG Parameters'!C$197</f>
        <v>1.3</v>
      </c>
      <c r="F11" s="83">
        <f>VLOOKUP(B11,A$53:B$60,2,FALSE)</f>
        <v>0</v>
      </c>
      <c r="G11" s="83">
        <f>IFERROR(VLOOKUP(INPUTS!H116,'GHG Rice'!A65:B68,2,FALSE), 0)</f>
        <v>0</v>
      </c>
      <c r="H11" s="13">
        <f>INPUTS!H118</f>
        <v>0</v>
      </c>
      <c r="I11" s="83">
        <f>IFERROR(VLOOKUP(INPUTS!H117,'GHG Rice'!A$42:B$47, 2, FALSE), 0)</f>
        <v>0</v>
      </c>
      <c r="J11" s="132">
        <f>IFERROR((1+H11*I11)^0.59, 0)</f>
        <v>1</v>
      </c>
      <c r="K11" s="13">
        <v>1</v>
      </c>
      <c r="L11" s="132">
        <f>E11*F11*G11*J11*K11</f>
        <v>0</v>
      </c>
      <c r="M11" s="133">
        <f>IF(ISERROR(C11*D11*L11),"",C11*D11*L11)</f>
        <v>0</v>
      </c>
    </row>
    <row r="12" spans="1:13" ht="16.5" thickTop="1">
      <c r="A12" s="112" t="s">
        <v>622</v>
      </c>
      <c r="B12" s="4" t="str">
        <f>INPUTS!I115</f>
        <v xml:space="preserve">None </v>
      </c>
      <c r="C12" s="3">
        <f>INPUTS!I113</f>
        <v>0</v>
      </c>
      <c r="D12" s="3">
        <f>INPUTS!I114</f>
        <v>0</v>
      </c>
      <c r="E12" s="83">
        <f>'GHG Parameters'!C$197</f>
        <v>1.3</v>
      </c>
      <c r="F12" s="83">
        <f>VLOOKUP(B12,A$53:B$60,2,FALSE)</f>
        <v>0</v>
      </c>
      <c r="G12" s="83">
        <f>IFERROR(VLOOKUP(INPUTS!I116,'GHG Rice'!A65:B68,2,FALSE), 0)</f>
        <v>0</v>
      </c>
      <c r="H12" s="13">
        <f>INPUTS!I118</f>
        <v>0</v>
      </c>
      <c r="I12" s="83">
        <f>IFERROR(VLOOKUP(INPUTS!I117,'GHG Rice'!A$42:B$47, 2, FALSE), 0)</f>
        <v>0</v>
      </c>
      <c r="J12" s="132">
        <f>IFERROR((1+H12*I12)^0.59, 0)</f>
        <v>1</v>
      </c>
      <c r="K12" s="13">
        <v>1</v>
      </c>
      <c r="L12" s="132">
        <f>E12*F12*G12*J12*K12</f>
        <v>0</v>
      </c>
      <c r="M12" s="133">
        <f>IF(ISERROR(C12*D12*L12),"",C12*D12*L12)</f>
        <v>0</v>
      </c>
    </row>
    <row r="13" spans="1:13">
      <c r="A13" s="1601" t="s">
        <v>132</v>
      </c>
      <c r="B13" s="1602"/>
      <c r="C13" s="1602"/>
      <c r="D13" s="1602"/>
      <c r="E13" s="1602"/>
      <c r="F13" s="1602"/>
      <c r="G13" s="1602"/>
      <c r="H13" s="1602"/>
      <c r="I13" s="1602"/>
      <c r="J13" s="1602"/>
      <c r="K13" s="1602"/>
      <c r="L13" s="1603"/>
      <c r="M13" s="134">
        <f>SUM(M8:M12)</f>
        <v>0</v>
      </c>
    </row>
    <row r="17" spans="1:4" ht="57" customHeight="1">
      <c r="A17" t="s">
        <v>149</v>
      </c>
      <c r="B17" t="s">
        <v>185</v>
      </c>
    </row>
    <row r="18" spans="1:4">
      <c r="C18" s="13" t="s">
        <v>183</v>
      </c>
      <c r="D18" s="13" t="s">
        <v>184</v>
      </c>
    </row>
    <row r="19" spans="1:4">
      <c r="C19" s="13" t="s">
        <v>182</v>
      </c>
      <c r="D19" s="13" t="s">
        <v>182</v>
      </c>
    </row>
    <row r="20" spans="1:4">
      <c r="A20" s="1478" t="s">
        <v>174</v>
      </c>
      <c r="B20" s="16" t="s">
        <v>689</v>
      </c>
      <c r="C20" s="122">
        <v>0.78</v>
      </c>
      <c r="D20" s="13">
        <v>1</v>
      </c>
    </row>
    <row r="21" spans="1:4">
      <c r="A21" s="1478"/>
      <c r="B21" s="16" t="s">
        <v>177</v>
      </c>
      <c r="C21" s="123"/>
      <c r="D21" s="13">
        <v>0.6</v>
      </c>
    </row>
    <row r="22" spans="1:4">
      <c r="A22" s="1478"/>
      <c r="B22" s="16" t="s">
        <v>178</v>
      </c>
      <c r="C22" s="3"/>
      <c r="D22" s="13">
        <v>0.52</v>
      </c>
    </row>
    <row r="23" spans="1:4">
      <c r="A23" s="1471" t="s">
        <v>175</v>
      </c>
      <c r="B23" s="16" t="s">
        <v>690</v>
      </c>
      <c r="C23" s="122">
        <v>0.27</v>
      </c>
      <c r="D23" s="13">
        <v>0.28000000000000003</v>
      </c>
    </row>
    <row r="24" spans="1:4">
      <c r="A24" s="1471"/>
      <c r="B24" s="16" t="s">
        <v>691</v>
      </c>
      <c r="C24" s="123"/>
      <c r="D24" s="13">
        <v>0.25</v>
      </c>
    </row>
    <row r="25" spans="1:4">
      <c r="A25" s="1471"/>
      <c r="B25" s="16" t="s">
        <v>692</v>
      </c>
      <c r="C25" s="3"/>
      <c r="D25" s="13">
        <v>0.31</v>
      </c>
    </row>
    <row r="26" spans="1:4">
      <c r="A26" s="16" t="s">
        <v>133</v>
      </c>
      <c r="B26" s="16" t="s">
        <v>133</v>
      </c>
      <c r="C26" s="13">
        <v>0</v>
      </c>
      <c r="D26" s="13">
        <v>0</v>
      </c>
    </row>
    <row r="29" spans="1:4">
      <c r="A29" t="s">
        <v>192</v>
      </c>
    </row>
    <row r="30" spans="1:4">
      <c r="A30" t="s">
        <v>193</v>
      </c>
      <c r="C30" s="13" t="s">
        <v>183</v>
      </c>
      <c r="D30" s="13" t="s">
        <v>184</v>
      </c>
    </row>
    <row r="31" spans="1:4">
      <c r="B31" s="17" t="s">
        <v>187</v>
      </c>
      <c r="C31" s="13" t="s">
        <v>186</v>
      </c>
      <c r="D31" s="13" t="s">
        <v>186</v>
      </c>
    </row>
    <row r="32" spans="1:4" ht="31.5">
      <c r="B32" s="17" t="s">
        <v>190</v>
      </c>
      <c r="C32" s="13">
        <v>1.22</v>
      </c>
      <c r="D32" s="13">
        <v>1</v>
      </c>
    </row>
    <row r="33" spans="1:4" ht="47.25">
      <c r="B33" s="17" t="s">
        <v>191</v>
      </c>
      <c r="C33" s="13"/>
      <c r="D33" s="13">
        <v>0.68</v>
      </c>
    </row>
    <row r="34" spans="1:4">
      <c r="B34" s="135" t="s">
        <v>694</v>
      </c>
      <c r="C34" s="3"/>
      <c r="D34" s="3">
        <v>1.9</v>
      </c>
    </row>
    <row r="35" spans="1:4">
      <c r="B35" s="17" t="s">
        <v>693</v>
      </c>
      <c r="C35" s="13"/>
      <c r="D35" s="13">
        <v>0</v>
      </c>
    </row>
    <row r="36" spans="1:4">
      <c r="B36" t="s">
        <v>189</v>
      </c>
    </row>
    <row r="38" spans="1:4">
      <c r="A38" s="126" t="s">
        <v>194</v>
      </c>
      <c r="B38" s="126"/>
    </row>
    <row r="39" spans="1:4">
      <c r="A39" s="126" t="s">
        <v>195</v>
      </c>
      <c r="B39" s="126"/>
    </row>
    <row r="40" spans="1:4">
      <c r="A40" s="126"/>
      <c r="B40" s="126"/>
    </row>
    <row r="41" spans="1:4">
      <c r="A41" s="130" t="s">
        <v>202</v>
      </c>
      <c r="B41" s="136" t="s">
        <v>196</v>
      </c>
    </row>
    <row r="42" spans="1:4" ht="31.5">
      <c r="A42" s="129" t="s">
        <v>197</v>
      </c>
      <c r="B42" s="130">
        <v>1</v>
      </c>
    </row>
    <row r="43" spans="1:4" ht="31.5">
      <c r="A43" s="129" t="s">
        <v>198</v>
      </c>
      <c r="B43" s="130">
        <v>0.28999999999999998</v>
      </c>
    </row>
    <row r="44" spans="1:4">
      <c r="A44" s="129" t="s">
        <v>199</v>
      </c>
      <c r="B44" s="130">
        <v>0.05</v>
      </c>
    </row>
    <row r="45" spans="1:4">
      <c r="A45" s="129" t="s">
        <v>200</v>
      </c>
      <c r="B45" s="130">
        <v>0.14000000000000001</v>
      </c>
    </row>
    <row r="46" spans="1:4">
      <c r="A46" s="130" t="s">
        <v>201</v>
      </c>
      <c r="B46" s="130">
        <v>0.5</v>
      </c>
    </row>
    <row r="47" spans="1:4">
      <c r="A47" s="129" t="s">
        <v>204</v>
      </c>
      <c r="B47" s="130">
        <v>0</v>
      </c>
    </row>
    <row r="51" spans="1:2">
      <c r="A51" s="126" t="s">
        <v>696</v>
      </c>
      <c r="B51" s="126"/>
    </row>
    <row r="52" spans="1:2">
      <c r="A52" s="126" t="s">
        <v>697</v>
      </c>
      <c r="B52" s="126"/>
    </row>
    <row r="53" spans="1:2">
      <c r="A53" s="126" t="s">
        <v>787</v>
      </c>
      <c r="B53" s="126">
        <v>0</v>
      </c>
    </row>
    <row r="54" spans="1:2">
      <c r="A54" s="127" t="s">
        <v>133</v>
      </c>
      <c r="B54" s="128">
        <v>0</v>
      </c>
    </row>
    <row r="55" spans="1:2">
      <c r="A55" s="127" t="s">
        <v>691</v>
      </c>
      <c r="B55" s="128">
        <v>0.25</v>
      </c>
    </row>
    <row r="56" spans="1:2">
      <c r="A56" s="127" t="s">
        <v>690</v>
      </c>
      <c r="B56" s="128">
        <v>0.28000000000000003</v>
      </c>
    </row>
    <row r="57" spans="1:2">
      <c r="A57" s="127" t="s">
        <v>692</v>
      </c>
      <c r="B57" s="128">
        <v>0.31</v>
      </c>
    </row>
    <row r="58" spans="1:2">
      <c r="A58" s="127" t="s">
        <v>178</v>
      </c>
      <c r="B58" s="128">
        <v>0.52</v>
      </c>
    </row>
    <row r="59" spans="1:2">
      <c r="A59" s="127" t="s">
        <v>695</v>
      </c>
      <c r="B59" s="128">
        <v>0.6</v>
      </c>
    </row>
    <row r="60" spans="1:2">
      <c r="A60" s="127" t="s">
        <v>689</v>
      </c>
      <c r="B60" s="128">
        <v>1</v>
      </c>
    </row>
    <row r="64" spans="1:2">
      <c r="A64" s="129" t="s">
        <v>187</v>
      </c>
      <c r="B64" s="130"/>
    </row>
    <row r="65" spans="1:2" ht="31.5">
      <c r="A65" s="129" t="s">
        <v>190</v>
      </c>
      <c r="B65" s="130">
        <v>1</v>
      </c>
    </row>
    <row r="66" spans="1:2" ht="31.5">
      <c r="A66" s="129" t="s">
        <v>191</v>
      </c>
      <c r="B66" s="130">
        <v>0.68</v>
      </c>
    </row>
    <row r="67" spans="1:2">
      <c r="A67" s="129" t="s">
        <v>694</v>
      </c>
      <c r="B67" s="130">
        <v>1.9</v>
      </c>
    </row>
    <row r="68" spans="1:2">
      <c r="A68" s="129" t="s">
        <v>693</v>
      </c>
      <c r="B68" s="130">
        <v>0</v>
      </c>
    </row>
  </sheetData>
  <mergeCells count="7">
    <mergeCell ref="A20:A22"/>
    <mergeCell ref="A23:A25"/>
    <mergeCell ref="A13:L13"/>
    <mergeCell ref="K3:L3"/>
    <mergeCell ref="C3:D3"/>
    <mergeCell ref="E3:G3"/>
    <mergeCell ref="H3:J3"/>
  </mergeCells>
  <pageMargins left="0.75" right="0.75" top="1" bottom="1" header="0.5" footer="0.5"/>
  <pageSetup paperSize="9" orientation="portrait" horizontalDpi="4294967292" verticalDpi="429496729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">
    <tabColor rgb="FF00B050"/>
  </sheetPr>
  <dimension ref="A1:S24"/>
  <sheetViews>
    <sheetView workbookViewId="0">
      <selection activeCell="S50" sqref="S50"/>
    </sheetView>
  </sheetViews>
  <sheetFormatPr defaultRowHeight="15.75"/>
  <sheetData>
    <row r="1" spans="1:19" ht="63">
      <c r="A1" s="1223" t="s">
        <v>1747</v>
      </c>
      <c r="B1" s="1223" t="s">
        <v>1748</v>
      </c>
      <c r="C1" s="1223" t="s">
        <v>1749</v>
      </c>
      <c r="D1" s="1223" t="s">
        <v>1750</v>
      </c>
      <c r="E1" s="1228" t="s">
        <v>1751</v>
      </c>
      <c r="F1" s="1223" t="s">
        <v>1752</v>
      </c>
      <c r="G1" s="1223" t="s">
        <v>1753</v>
      </c>
      <c r="H1" s="1223" t="s">
        <v>1754</v>
      </c>
      <c r="I1" s="1223" t="s">
        <v>1755</v>
      </c>
      <c r="J1" s="1223" t="s">
        <v>1756</v>
      </c>
      <c r="K1" s="1223" t="s">
        <v>1757</v>
      </c>
      <c r="L1" s="1223" t="s">
        <v>1758</v>
      </c>
      <c r="M1" s="1223" t="s">
        <v>1759</v>
      </c>
      <c r="N1" s="1223" t="s">
        <v>1760</v>
      </c>
      <c r="O1" s="1224" t="s">
        <v>1761</v>
      </c>
      <c r="P1" s="1224" t="s">
        <v>1762</v>
      </c>
      <c r="Q1" s="1224" t="s">
        <v>1763</v>
      </c>
      <c r="R1" s="1224" t="s">
        <v>1764</v>
      </c>
      <c r="S1" s="1224" t="s">
        <v>1765</v>
      </c>
    </row>
    <row r="2" spans="1:19">
      <c r="A2" s="1223" t="s">
        <v>1766</v>
      </c>
      <c r="B2" s="1226"/>
      <c r="C2" s="1227"/>
      <c r="D2" s="1229">
        <f t="shared" ref="D2:D5" si="0">B2*C2</f>
        <v>0</v>
      </c>
      <c r="E2" s="1227"/>
      <c r="F2" s="1227"/>
      <c r="G2" s="1227"/>
      <c r="H2" s="1224">
        <f>F2+E2*G2</f>
        <v>0</v>
      </c>
      <c r="I2" s="1230">
        <f t="shared" ref="I2:I3" si="1">IFERROR(EXP(-1.996+2.32*LN(F2)),0)</f>
        <v>0</v>
      </c>
      <c r="J2" s="1231">
        <f t="shared" ref="J2:J3" si="2">IFERROR(EXP(-1.996+2.32*LN(H2)),0)</f>
        <v>0</v>
      </c>
      <c r="K2" s="1230">
        <f t="shared" ref="K2:K8" si="3">(J2-I2)*D2/1000</f>
        <v>0</v>
      </c>
      <c r="L2" s="1230">
        <f t="shared" ref="L2:L3" si="4">IFERROR(K2/E2,0)</f>
        <v>0</v>
      </c>
      <c r="M2" s="1232">
        <v>0.48</v>
      </c>
      <c r="N2" s="1230">
        <f t="shared" ref="N2:N8" si="5">L2*M2</f>
        <v>0</v>
      </c>
      <c r="O2" s="1233">
        <f t="shared" ref="O2:O8" si="6">N2*44/12</f>
        <v>0</v>
      </c>
      <c r="P2" s="1233">
        <f t="shared" ref="P2:Q8" si="7">N2*0.25</f>
        <v>0</v>
      </c>
      <c r="Q2" s="1233">
        <f t="shared" si="7"/>
        <v>0</v>
      </c>
      <c r="R2" s="1233">
        <f t="shared" ref="R2:S8" si="8">N2+P2</f>
        <v>0</v>
      </c>
      <c r="S2" s="1233">
        <f t="shared" si="8"/>
        <v>0</v>
      </c>
    </row>
    <row r="3" spans="1:19">
      <c r="A3" s="1223" t="s">
        <v>1767</v>
      </c>
      <c r="B3" s="1226" t="e">
        <f>INPUTS!#REF!</f>
        <v>#REF!</v>
      </c>
      <c r="C3" s="1227">
        <v>15</v>
      </c>
      <c r="D3" s="1229" t="e">
        <f t="shared" si="0"/>
        <v>#REF!</v>
      </c>
      <c r="E3" s="1227">
        <v>12</v>
      </c>
      <c r="F3" s="1227">
        <v>20</v>
      </c>
      <c r="G3" s="1227">
        <v>2</v>
      </c>
      <c r="H3" s="1224">
        <f t="shared" ref="H3:H8" si="9">F3+E3*G3</f>
        <v>44</v>
      </c>
      <c r="I3" s="45">
        <f t="shared" si="1"/>
        <v>141.75480994790612</v>
      </c>
      <c r="J3" s="68">
        <f t="shared" si="2"/>
        <v>882.99536433846345</v>
      </c>
      <c r="K3" s="1230" t="e">
        <f t="shared" si="3"/>
        <v>#REF!</v>
      </c>
      <c r="L3" s="45">
        <f t="shared" si="4"/>
        <v>0</v>
      </c>
      <c r="M3" s="1226">
        <v>0.48</v>
      </c>
      <c r="N3" s="45">
        <f t="shared" si="5"/>
        <v>0</v>
      </c>
      <c r="O3" s="76">
        <f t="shared" si="6"/>
        <v>0</v>
      </c>
      <c r="P3" s="76">
        <f t="shared" si="7"/>
        <v>0</v>
      </c>
      <c r="Q3" s="76">
        <f t="shared" si="7"/>
        <v>0</v>
      </c>
      <c r="R3" s="76">
        <f t="shared" si="8"/>
        <v>0</v>
      </c>
      <c r="S3" s="76">
        <f t="shared" si="8"/>
        <v>0</v>
      </c>
    </row>
    <row r="4" spans="1:19">
      <c r="A4" s="1223" t="s">
        <v>1767</v>
      </c>
      <c r="B4" s="1226"/>
      <c r="C4" s="1227"/>
      <c r="D4" s="1229">
        <f t="shared" si="0"/>
        <v>0</v>
      </c>
      <c r="E4" s="1227"/>
      <c r="F4" s="1227"/>
      <c r="G4" s="1227"/>
      <c r="H4" s="1224">
        <f t="shared" si="9"/>
        <v>0</v>
      </c>
      <c r="I4" s="45">
        <f>IFERROR(EXP(-1.996+2.32*LN(F4)),0)</f>
        <v>0</v>
      </c>
      <c r="J4" s="68">
        <f>IFERROR(EXP(-1.996+2.32*LN(H4)),0)</f>
        <v>0</v>
      </c>
      <c r="K4" s="45">
        <f t="shared" si="3"/>
        <v>0</v>
      </c>
      <c r="L4" s="45">
        <f>IFERROR(K4/E4,0)</f>
        <v>0</v>
      </c>
      <c r="M4" s="1226">
        <v>0.48</v>
      </c>
      <c r="N4" s="45">
        <f t="shared" si="5"/>
        <v>0</v>
      </c>
      <c r="O4" s="76">
        <f t="shared" si="6"/>
        <v>0</v>
      </c>
      <c r="P4" s="76">
        <f t="shared" si="7"/>
        <v>0</v>
      </c>
      <c r="Q4" s="76">
        <f t="shared" si="7"/>
        <v>0</v>
      </c>
      <c r="R4" s="76">
        <f t="shared" si="8"/>
        <v>0</v>
      </c>
      <c r="S4" s="76">
        <f t="shared" si="8"/>
        <v>0</v>
      </c>
    </row>
    <row r="5" spans="1:19">
      <c r="A5" s="1223" t="s">
        <v>1767</v>
      </c>
      <c r="B5" s="1226"/>
      <c r="C5" s="1227"/>
      <c r="D5" s="1229">
        <f t="shared" si="0"/>
        <v>0</v>
      </c>
      <c r="E5" s="1227"/>
      <c r="F5" s="1227"/>
      <c r="G5" s="1227"/>
      <c r="H5" s="1224">
        <f t="shared" si="9"/>
        <v>0</v>
      </c>
      <c r="I5" s="45">
        <f t="shared" ref="I5:I8" si="10">IFERROR(EXP(-1.996+2.32*LN(F5)),0)</f>
        <v>0</v>
      </c>
      <c r="J5" s="68">
        <f t="shared" ref="J5:J8" si="11">IFERROR(EXP(-1.996+2.32*LN(H5)),0)</f>
        <v>0</v>
      </c>
      <c r="K5" s="45">
        <f t="shared" si="3"/>
        <v>0</v>
      </c>
      <c r="L5" s="45">
        <f t="shared" ref="L5:L8" si="12">IFERROR(K5/E5,0)</f>
        <v>0</v>
      </c>
      <c r="M5" s="1226">
        <v>0.48</v>
      </c>
      <c r="N5" s="45">
        <f t="shared" si="5"/>
        <v>0</v>
      </c>
      <c r="O5" s="76">
        <f t="shared" si="6"/>
        <v>0</v>
      </c>
      <c r="P5" s="76">
        <f t="shared" si="7"/>
        <v>0</v>
      </c>
      <c r="Q5" s="76">
        <f t="shared" si="7"/>
        <v>0</v>
      </c>
      <c r="R5" s="76">
        <f t="shared" si="8"/>
        <v>0</v>
      </c>
      <c r="S5" s="76">
        <f t="shared" si="8"/>
        <v>0</v>
      </c>
    </row>
    <row r="6" spans="1:19">
      <c r="A6" s="1223"/>
      <c r="B6" s="1226"/>
      <c r="C6" s="1227"/>
      <c r="D6" s="1229">
        <f t="shared" ref="D6:D8" si="13">B6*C6</f>
        <v>0</v>
      </c>
      <c r="E6" s="1227"/>
      <c r="F6" s="1227"/>
      <c r="G6" s="1227"/>
      <c r="H6" s="1224">
        <f t="shared" si="9"/>
        <v>0</v>
      </c>
      <c r="I6" s="45">
        <f t="shared" si="10"/>
        <v>0</v>
      </c>
      <c r="J6" s="68">
        <f t="shared" si="11"/>
        <v>0</v>
      </c>
      <c r="K6" s="45">
        <f t="shared" si="3"/>
        <v>0</v>
      </c>
      <c r="L6" s="45">
        <f t="shared" si="12"/>
        <v>0</v>
      </c>
      <c r="M6" s="1226">
        <v>0.48</v>
      </c>
      <c r="N6" s="45">
        <f t="shared" si="5"/>
        <v>0</v>
      </c>
      <c r="O6" s="76">
        <f t="shared" si="6"/>
        <v>0</v>
      </c>
      <c r="P6" s="76">
        <f t="shared" si="7"/>
        <v>0</v>
      </c>
      <c r="Q6" s="76">
        <f t="shared" si="7"/>
        <v>0</v>
      </c>
      <c r="R6" s="76">
        <f t="shared" si="8"/>
        <v>0</v>
      </c>
      <c r="S6" s="76">
        <f t="shared" si="8"/>
        <v>0</v>
      </c>
    </row>
    <row r="7" spans="1:19">
      <c r="A7" s="1223"/>
      <c r="B7" s="1226"/>
      <c r="C7" s="1227"/>
      <c r="D7" s="1229">
        <f t="shared" si="13"/>
        <v>0</v>
      </c>
      <c r="E7" s="1227"/>
      <c r="F7" s="1227"/>
      <c r="G7" s="1227"/>
      <c r="H7" s="1224">
        <f t="shared" si="9"/>
        <v>0</v>
      </c>
      <c r="I7" s="45">
        <f t="shared" si="10"/>
        <v>0</v>
      </c>
      <c r="J7" s="68">
        <f t="shared" si="11"/>
        <v>0</v>
      </c>
      <c r="K7" s="45">
        <f t="shared" si="3"/>
        <v>0</v>
      </c>
      <c r="L7" s="45">
        <f t="shared" si="12"/>
        <v>0</v>
      </c>
      <c r="M7" s="1226">
        <v>0.48</v>
      </c>
      <c r="N7" s="45">
        <f t="shared" si="5"/>
        <v>0</v>
      </c>
      <c r="O7" s="76">
        <f t="shared" si="6"/>
        <v>0</v>
      </c>
      <c r="P7" s="76">
        <f t="shared" si="7"/>
        <v>0</v>
      </c>
      <c r="Q7" s="76">
        <f t="shared" si="7"/>
        <v>0</v>
      </c>
      <c r="R7" s="76">
        <f t="shared" si="8"/>
        <v>0</v>
      </c>
      <c r="S7" s="76">
        <f t="shared" si="8"/>
        <v>0</v>
      </c>
    </row>
    <row r="8" spans="1:19">
      <c r="A8" s="1223"/>
      <c r="B8" s="1226"/>
      <c r="C8" s="1227"/>
      <c r="D8" s="1229">
        <f t="shared" si="13"/>
        <v>0</v>
      </c>
      <c r="E8" s="1227"/>
      <c r="F8" s="1227"/>
      <c r="G8" s="1227"/>
      <c r="H8" s="1224">
        <f t="shared" si="9"/>
        <v>0</v>
      </c>
      <c r="I8" s="45">
        <f t="shared" si="10"/>
        <v>0</v>
      </c>
      <c r="J8" s="68">
        <f t="shared" si="11"/>
        <v>0</v>
      </c>
      <c r="K8" s="45">
        <f t="shared" si="3"/>
        <v>0</v>
      </c>
      <c r="L8" s="45">
        <f t="shared" si="12"/>
        <v>0</v>
      </c>
      <c r="M8" s="1226">
        <v>0.48</v>
      </c>
      <c r="N8" s="45">
        <f t="shared" si="5"/>
        <v>0</v>
      </c>
      <c r="O8" s="76">
        <f t="shared" si="6"/>
        <v>0</v>
      </c>
      <c r="P8" s="76">
        <f t="shared" si="7"/>
        <v>0</v>
      </c>
      <c r="Q8" s="76">
        <f t="shared" si="7"/>
        <v>0</v>
      </c>
      <c r="R8" s="76">
        <f t="shared" si="8"/>
        <v>0</v>
      </c>
      <c r="S8" s="76">
        <f t="shared" si="8"/>
        <v>0</v>
      </c>
    </row>
    <row r="9" spans="1:19">
      <c r="A9" s="14" t="s">
        <v>209</v>
      </c>
      <c r="B9" s="14"/>
      <c r="C9" s="14"/>
      <c r="D9" s="14"/>
      <c r="E9" s="14"/>
      <c r="F9" s="14"/>
      <c r="G9" s="14"/>
      <c r="H9" s="14"/>
      <c r="I9" s="45">
        <f>SUM(I2:I8)</f>
        <v>141.75480994790612</v>
      </c>
      <c r="J9" s="45">
        <f t="shared" ref="J9:L9" si="14">SUM(J2:J8)</f>
        <v>882.99536433846345</v>
      </c>
      <c r="K9" s="45" t="e">
        <f t="shared" si="14"/>
        <v>#REF!</v>
      </c>
      <c r="L9" s="45">
        <f t="shared" si="14"/>
        <v>0</v>
      </c>
      <c r="M9" s="45"/>
      <c r="N9" s="45">
        <f t="shared" ref="N9:S9" si="15">SUM(N2:N8)</f>
        <v>0</v>
      </c>
      <c r="O9" s="45">
        <f t="shared" si="15"/>
        <v>0</v>
      </c>
      <c r="P9" s="45">
        <f t="shared" si="15"/>
        <v>0</v>
      </c>
      <c r="Q9" s="45">
        <f t="shared" si="15"/>
        <v>0</v>
      </c>
      <c r="R9" s="45">
        <f t="shared" si="15"/>
        <v>0</v>
      </c>
      <c r="S9" s="45">
        <f t="shared" si="15"/>
        <v>0</v>
      </c>
    </row>
    <row r="10" spans="1:19">
      <c r="A10" s="1225"/>
      <c r="B10" s="1225"/>
      <c r="C10" s="1225"/>
      <c r="D10" s="1225"/>
      <c r="E10" s="1225"/>
      <c r="F10" s="1225"/>
      <c r="G10" s="1225"/>
      <c r="H10" s="1225"/>
      <c r="I10" s="1225"/>
      <c r="J10" s="1225"/>
      <c r="K10" s="1225"/>
      <c r="L10" s="1225"/>
      <c r="M10" s="1225"/>
      <c r="N10" s="1225"/>
      <c r="O10" s="1225"/>
      <c r="P10" s="1225"/>
      <c r="Q10" s="1225"/>
      <c r="R10" s="1225"/>
      <c r="S10" s="1225"/>
    </row>
    <row r="11" spans="1:19">
      <c r="A11" s="37" t="s">
        <v>1610</v>
      </c>
      <c r="B11" s="1225"/>
      <c r="C11" s="1225"/>
      <c r="D11" s="1225"/>
      <c r="E11" s="1225"/>
      <c r="F11" s="37" t="s">
        <v>1214</v>
      </c>
      <c r="G11" s="1225"/>
      <c r="H11" s="1225"/>
      <c r="I11" s="1225"/>
      <c r="J11" s="1225"/>
      <c r="K11" s="1225"/>
      <c r="L11" s="1225"/>
      <c r="M11" s="1225"/>
      <c r="N11" s="1225"/>
      <c r="O11" s="1225"/>
      <c r="P11" s="1225"/>
      <c r="Q11" s="1225"/>
      <c r="R11" s="1225"/>
      <c r="S11" s="1225"/>
    </row>
    <row r="12" spans="1:19">
      <c r="A12" s="1225" t="s">
        <v>1768</v>
      </c>
      <c r="B12" s="1225" t="s">
        <v>464</v>
      </c>
      <c r="C12" s="1225" t="s">
        <v>1769</v>
      </c>
      <c r="D12" s="1225" t="s">
        <v>1770</v>
      </c>
      <c r="E12" s="1225" t="s">
        <v>1771</v>
      </c>
      <c r="F12" s="1225" t="s">
        <v>1768</v>
      </c>
      <c r="G12" s="1225" t="s">
        <v>464</v>
      </c>
      <c r="H12" s="1225" t="s">
        <v>1769</v>
      </c>
      <c r="I12" s="1225" t="s">
        <v>1770</v>
      </c>
      <c r="J12" s="1225" t="s">
        <v>1771</v>
      </c>
      <c r="K12" s="1225"/>
      <c r="L12" s="1225"/>
      <c r="M12" s="1225"/>
      <c r="N12" s="1225"/>
      <c r="O12" s="1225"/>
      <c r="P12" s="1225"/>
      <c r="Q12" s="1225"/>
      <c r="R12" s="1225"/>
      <c r="S12" s="1225"/>
    </row>
    <row r="13" spans="1:19">
      <c r="A13" s="1225">
        <v>1</v>
      </c>
      <c r="B13" s="1225">
        <v>1.25</v>
      </c>
      <c r="C13" s="1225">
        <f>0.7*A13</f>
        <v>0.7</v>
      </c>
      <c r="D13" s="1075">
        <f>(3.14*((B13/100)/2)^2)*C13*0.5</f>
        <v>4.2929687500000006E-5</v>
      </c>
      <c r="E13" s="39">
        <f>EXP(-1.996+2.32*LN(B13))</f>
        <v>0.2280234143116556</v>
      </c>
      <c r="F13" s="1225">
        <v>1</v>
      </c>
      <c r="G13" s="1225">
        <v>2</v>
      </c>
      <c r="H13" s="1225">
        <f t="shared" ref="H13:H24" si="16">0.7*F13</f>
        <v>0.7</v>
      </c>
      <c r="I13" s="1075">
        <f>(3.14*((G13/100)/2)^2)*H13*0.5</f>
        <v>1.099E-4</v>
      </c>
      <c r="J13" s="39">
        <f>EXP(-1.996+2.32*LN(G13))</f>
        <v>0.67848117772544447</v>
      </c>
      <c r="K13" s="1225"/>
      <c r="L13" s="1225"/>
      <c r="M13" s="1225"/>
      <c r="N13" s="1225"/>
      <c r="O13" s="1225"/>
      <c r="P13" s="1225"/>
      <c r="Q13" s="1225"/>
      <c r="R13" s="1225"/>
      <c r="S13" s="1225"/>
    </row>
    <row r="14" spans="1:19">
      <c r="A14" s="1225">
        <v>2</v>
      </c>
      <c r="B14" s="1225">
        <f>B13+1.25</f>
        <v>2.5</v>
      </c>
      <c r="C14" s="1225">
        <f t="shared" ref="C14:C24" si="17">0.7*A14</f>
        <v>1.4</v>
      </c>
      <c r="D14" s="1075">
        <f t="shared" ref="D14:D24" si="18">(3.14*((B14/100)/2)^2)*C14*0.5</f>
        <v>3.4343750000000005E-4</v>
      </c>
      <c r="E14" s="39">
        <f t="shared" ref="E14:E24" si="19">EXP(-1.996+2.32*LN(B14))</f>
        <v>1.1385943758003547</v>
      </c>
      <c r="F14" s="1225">
        <v>2</v>
      </c>
      <c r="G14" s="1225">
        <f>G13+2</f>
        <v>4</v>
      </c>
      <c r="H14" s="1225">
        <f t="shared" si="16"/>
        <v>1.4</v>
      </c>
      <c r="I14" s="1075">
        <f t="shared" ref="I14:I24" si="20">(3.14*((G14/100)/2)^2)*H14*0.5</f>
        <v>8.7920000000000001E-4</v>
      </c>
      <c r="J14" s="39">
        <f t="shared" ref="J14:J24" si="21">EXP(-1.996+2.32*LN(G14))</f>
        <v>3.3878751240376643</v>
      </c>
      <c r="K14" s="1225"/>
      <c r="L14" s="1225"/>
      <c r="M14" s="1225"/>
      <c r="N14" s="1225"/>
      <c r="O14" s="1225"/>
      <c r="P14" s="1225"/>
      <c r="Q14" s="1225"/>
      <c r="R14" s="1225"/>
      <c r="S14" s="1225"/>
    </row>
    <row r="15" spans="1:19">
      <c r="A15" s="1225">
        <v>3</v>
      </c>
      <c r="B15" s="1225">
        <f t="shared" ref="B15:B24" si="22">B14+1.25</f>
        <v>3.75</v>
      </c>
      <c r="C15" s="1225">
        <f t="shared" si="17"/>
        <v>2.0999999999999996</v>
      </c>
      <c r="D15" s="1075">
        <f t="shared" si="18"/>
        <v>1.1591015625E-3</v>
      </c>
      <c r="E15" s="39">
        <f t="shared" si="19"/>
        <v>2.9167604012574082</v>
      </c>
      <c r="F15" s="1225">
        <v>3</v>
      </c>
      <c r="G15" s="1225">
        <f t="shared" ref="G15:G24" si="23">G14+2</f>
        <v>6</v>
      </c>
      <c r="H15" s="1225">
        <f t="shared" si="16"/>
        <v>2.0999999999999996</v>
      </c>
      <c r="I15" s="1075">
        <f t="shared" si="20"/>
        <v>2.9672999999999995E-3</v>
      </c>
      <c r="J15" s="39">
        <f t="shared" si="21"/>
        <v>8.6787887031779682</v>
      </c>
      <c r="K15" s="1225"/>
      <c r="L15" s="1225"/>
      <c r="M15" s="1225"/>
      <c r="N15" s="1225"/>
      <c r="O15" s="1225"/>
      <c r="P15" s="1225"/>
      <c r="Q15" s="1225"/>
      <c r="R15" s="1225"/>
      <c r="S15" s="1225"/>
    </row>
    <row r="16" spans="1:19">
      <c r="A16" s="1225">
        <v>4</v>
      </c>
      <c r="B16" s="1225">
        <f t="shared" si="22"/>
        <v>5</v>
      </c>
      <c r="C16" s="1225">
        <f t="shared" si="17"/>
        <v>2.8</v>
      </c>
      <c r="D16" s="1075">
        <f t="shared" si="18"/>
        <v>2.7475000000000004E-3</v>
      </c>
      <c r="E16" s="39">
        <f t="shared" si="19"/>
        <v>5.6853685684765791</v>
      </c>
      <c r="F16" s="1225">
        <v>4</v>
      </c>
      <c r="G16" s="1225">
        <f t="shared" si="23"/>
        <v>8</v>
      </c>
      <c r="H16" s="1225">
        <f t="shared" si="16"/>
        <v>2.8</v>
      </c>
      <c r="I16" s="1075">
        <f t="shared" si="20"/>
        <v>7.0336000000000001E-3</v>
      </c>
      <c r="J16" s="39">
        <f t="shared" si="21"/>
        <v>16.916752052800213</v>
      </c>
      <c r="K16" s="1225"/>
      <c r="L16" s="1225"/>
      <c r="M16" s="1225"/>
      <c r="N16" s="1225"/>
      <c r="O16" s="1225"/>
      <c r="P16" s="1225"/>
      <c r="Q16" s="1225"/>
      <c r="R16" s="1225"/>
      <c r="S16" s="1225"/>
    </row>
    <row r="17" spans="1:19">
      <c r="A17" s="1225">
        <v>5</v>
      </c>
      <c r="B17" s="1225">
        <f t="shared" si="22"/>
        <v>6.25</v>
      </c>
      <c r="C17" s="1225">
        <f t="shared" si="17"/>
        <v>3.5</v>
      </c>
      <c r="D17" s="1075">
        <f t="shared" si="18"/>
        <v>5.3662109375000001E-3</v>
      </c>
      <c r="E17" s="39">
        <f t="shared" si="19"/>
        <v>9.5409112130728211</v>
      </c>
      <c r="F17" s="1225">
        <v>5</v>
      </c>
      <c r="G17" s="1225">
        <f t="shared" si="23"/>
        <v>10</v>
      </c>
      <c r="H17" s="1225">
        <f t="shared" si="16"/>
        <v>3.5</v>
      </c>
      <c r="I17" s="1075">
        <f t="shared" si="20"/>
        <v>1.3737500000000001E-2</v>
      </c>
      <c r="J17" s="39">
        <f t="shared" si="21"/>
        <v>28.388877063177365</v>
      </c>
      <c r="K17" s="1225"/>
      <c r="L17" s="1225"/>
      <c r="M17" s="1225"/>
      <c r="N17" s="1225"/>
      <c r="O17" s="1225"/>
      <c r="P17" s="1225"/>
      <c r="Q17" s="1225"/>
      <c r="R17" s="1225"/>
      <c r="S17" s="1225"/>
    </row>
    <row r="18" spans="1:19">
      <c r="A18" s="1225">
        <v>6</v>
      </c>
      <c r="B18" s="1225">
        <f t="shared" si="22"/>
        <v>7.5</v>
      </c>
      <c r="C18" s="1225">
        <f t="shared" si="17"/>
        <v>4.1999999999999993</v>
      </c>
      <c r="D18" s="1075">
        <f t="shared" si="18"/>
        <v>9.2728124999999998E-3</v>
      </c>
      <c r="E18" s="39">
        <f t="shared" si="19"/>
        <v>14.564324450864577</v>
      </c>
      <c r="F18" s="1225">
        <v>6</v>
      </c>
      <c r="G18" s="1225">
        <f t="shared" si="23"/>
        <v>12</v>
      </c>
      <c r="H18" s="1225">
        <f t="shared" si="16"/>
        <v>4.1999999999999993</v>
      </c>
      <c r="I18" s="1075">
        <f t="shared" si="20"/>
        <v>2.3738399999999996E-2</v>
      </c>
      <c r="J18" s="39">
        <f t="shared" si="21"/>
        <v>43.335988262557045</v>
      </c>
      <c r="K18" s="1225"/>
      <c r="L18" s="1225"/>
      <c r="M18" s="1225"/>
      <c r="N18" s="1225"/>
      <c r="O18" s="1225"/>
      <c r="P18" s="1225"/>
      <c r="Q18" s="1225"/>
      <c r="R18" s="1225"/>
      <c r="S18" s="1225"/>
    </row>
    <row r="19" spans="1:19">
      <c r="A19" s="1225">
        <v>7</v>
      </c>
      <c r="B19" s="1225">
        <f t="shared" si="22"/>
        <v>8.75</v>
      </c>
      <c r="C19" s="1225">
        <f t="shared" si="17"/>
        <v>4.8999999999999995</v>
      </c>
      <c r="D19" s="1075">
        <f t="shared" si="18"/>
        <v>1.4724882812499998E-2</v>
      </c>
      <c r="E19" s="39">
        <f t="shared" si="19"/>
        <v>20.826049539897866</v>
      </c>
      <c r="F19" s="1225">
        <v>7</v>
      </c>
      <c r="G19" s="1225">
        <f t="shared" si="23"/>
        <v>14</v>
      </c>
      <c r="H19" s="1225">
        <f t="shared" si="16"/>
        <v>4.8999999999999995</v>
      </c>
      <c r="I19" s="1075">
        <f t="shared" si="20"/>
        <v>3.7695699999999999E-2</v>
      </c>
      <c r="J19" s="39">
        <f t="shared" si="21"/>
        <v>61.967682844559896</v>
      </c>
      <c r="K19" s="1225"/>
      <c r="L19" s="1225"/>
      <c r="M19" s="1225"/>
      <c r="N19" s="1225"/>
      <c r="O19" s="1225"/>
      <c r="P19" s="1225"/>
      <c r="Q19" s="1225"/>
      <c r="R19" s="1225"/>
      <c r="S19" s="1225"/>
    </row>
    <row r="20" spans="1:19">
      <c r="A20" s="1225">
        <v>8</v>
      </c>
      <c r="B20" s="1225">
        <f t="shared" si="22"/>
        <v>10</v>
      </c>
      <c r="C20" s="1225">
        <f t="shared" si="17"/>
        <v>5.6</v>
      </c>
      <c r="D20" s="1075">
        <f t="shared" si="18"/>
        <v>2.1980000000000003E-2</v>
      </c>
      <c r="E20" s="39">
        <f t="shared" si="19"/>
        <v>28.388877063177365</v>
      </c>
      <c r="F20" s="1225">
        <v>8</v>
      </c>
      <c r="G20" s="1225">
        <f t="shared" si="23"/>
        <v>16</v>
      </c>
      <c r="H20" s="1225">
        <f t="shared" si="16"/>
        <v>5.6</v>
      </c>
      <c r="I20" s="1075">
        <f t="shared" si="20"/>
        <v>5.6268800000000001E-2</v>
      </c>
      <c r="J20" s="39">
        <f t="shared" si="21"/>
        <v>84.470793502818196</v>
      </c>
      <c r="K20" s="1225"/>
      <c r="L20" s="1225"/>
      <c r="M20" s="1225"/>
      <c r="N20" s="1225"/>
      <c r="O20" s="1225"/>
      <c r="P20" s="1225"/>
      <c r="Q20" s="1225"/>
      <c r="R20" s="1225"/>
      <c r="S20" s="1225"/>
    </row>
    <row r="21" spans="1:19">
      <c r="A21" s="1225">
        <v>9</v>
      </c>
      <c r="B21" s="1225">
        <f t="shared" si="22"/>
        <v>11.25</v>
      </c>
      <c r="C21" s="1225">
        <f t="shared" si="17"/>
        <v>6.3</v>
      </c>
      <c r="D21" s="1075">
        <f t="shared" si="18"/>
        <v>3.1295742187500003E-2</v>
      </c>
      <c r="E21" s="39">
        <f t="shared" si="19"/>
        <v>37.309726564814468</v>
      </c>
      <c r="F21" s="1225">
        <v>9</v>
      </c>
      <c r="G21" s="1225">
        <f t="shared" si="23"/>
        <v>18</v>
      </c>
      <c r="H21" s="1225">
        <f t="shared" si="16"/>
        <v>6.3</v>
      </c>
      <c r="I21" s="1075">
        <f t="shared" si="20"/>
        <v>8.0117099999999997E-2</v>
      </c>
      <c r="J21" s="39">
        <f t="shared" si="21"/>
        <v>111.01468371888895</v>
      </c>
      <c r="K21" s="1225"/>
      <c r="L21" s="1225"/>
      <c r="M21" s="1225"/>
      <c r="N21" s="1225"/>
      <c r="O21" s="1225"/>
      <c r="P21" s="1225"/>
      <c r="Q21" s="1225"/>
      <c r="R21" s="1225"/>
      <c r="S21" s="1225"/>
    </row>
    <row r="22" spans="1:19">
      <c r="A22" s="1225">
        <v>10</v>
      </c>
      <c r="B22" s="1225">
        <f t="shared" si="22"/>
        <v>12.5</v>
      </c>
      <c r="C22" s="1225">
        <f t="shared" si="17"/>
        <v>7</v>
      </c>
      <c r="D22" s="1075">
        <f t="shared" si="18"/>
        <v>4.2929687500000001E-2</v>
      </c>
      <c r="E22" s="39">
        <f t="shared" si="19"/>
        <v>47.640843726546947</v>
      </c>
      <c r="F22" s="1225">
        <v>10</v>
      </c>
      <c r="G22" s="1225">
        <f t="shared" si="23"/>
        <v>20</v>
      </c>
      <c r="H22" s="1225">
        <f t="shared" si="16"/>
        <v>7</v>
      </c>
      <c r="I22" s="1075">
        <f t="shared" si="20"/>
        <v>0.10990000000000001</v>
      </c>
      <c r="J22" s="39">
        <f t="shared" si="21"/>
        <v>141.75480994790612</v>
      </c>
      <c r="K22" s="1225"/>
      <c r="L22" s="1225"/>
      <c r="M22" s="1225"/>
      <c r="N22" s="1225"/>
      <c r="O22" s="1225"/>
      <c r="P22" s="1225"/>
      <c r="Q22" s="1225"/>
      <c r="R22" s="1225"/>
      <c r="S22" s="1225"/>
    </row>
    <row r="23" spans="1:19">
      <c r="A23" s="1225">
        <v>11</v>
      </c>
      <c r="B23" s="1225">
        <f t="shared" si="22"/>
        <v>13.75</v>
      </c>
      <c r="C23" s="1225">
        <f t="shared" si="17"/>
        <v>7.6999999999999993</v>
      </c>
      <c r="D23" s="1075">
        <f t="shared" si="18"/>
        <v>5.7139414062500005E-2</v>
      </c>
      <c r="E23" s="39">
        <f t="shared" si="19"/>
        <v>59.43064913144142</v>
      </c>
      <c r="F23" s="1225">
        <v>11</v>
      </c>
      <c r="G23" s="1225">
        <f t="shared" si="23"/>
        <v>22</v>
      </c>
      <c r="H23" s="1225">
        <f t="shared" si="16"/>
        <v>7.6999999999999993</v>
      </c>
      <c r="I23" s="1075">
        <f t="shared" si="20"/>
        <v>0.14627689999999999</v>
      </c>
      <c r="J23" s="39">
        <f t="shared" si="21"/>
        <v>176.8352471057045</v>
      </c>
      <c r="K23" s="1225"/>
      <c r="L23" s="1225"/>
      <c r="M23" s="1225"/>
      <c r="N23" s="1225"/>
      <c r="O23" s="1225"/>
      <c r="P23" s="1225"/>
      <c r="Q23" s="1225"/>
      <c r="R23" s="1225"/>
      <c r="S23" s="1225"/>
    </row>
    <row r="24" spans="1:19">
      <c r="A24" s="1225">
        <v>12</v>
      </c>
      <c r="B24" s="1225">
        <f t="shared" si="22"/>
        <v>15</v>
      </c>
      <c r="C24" s="1225">
        <f t="shared" si="17"/>
        <v>8.3999999999999986</v>
      </c>
      <c r="D24" s="1075">
        <f t="shared" si="18"/>
        <v>7.4182499999999998E-2</v>
      </c>
      <c r="E24" s="39">
        <f t="shared" si="19"/>
        <v>72.724364544515794</v>
      </c>
      <c r="F24" s="1225">
        <v>12</v>
      </c>
      <c r="G24" s="1225">
        <f t="shared" si="23"/>
        <v>24</v>
      </c>
      <c r="H24" s="1225">
        <f t="shared" si="16"/>
        <v>8.3999999999999986</v>
      </c>
      <c r="I24" s="1075">
        <f t="shared" si="20"/>
        <v>0.18990719999999997</v>
      </c>
      <c r="J24" s="39">
        <f t="shared" si="21"/>
        <v>216.39055205996667</v>
      </c>
      <c r="K24" s="1225"/>
      <c r="L24" s="1225"/>
      <c r="M24" s="1225"/>
      <c r="N24" s="1225"/>
      <c r="O24" s="1225"/>
      <c r="P24" s="1225"/>
      <c r="Q24" s="1225"/>
      <c r="R24" s="1225"/>
      <c r="S24" s="122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51</vt:i4>
      </vt:variant>
    </vt:vector>
  </HeadingPairs>
  <TitlesOfParts>
    <vt:vector size="83" baseType="lpstr">
      <vt:lpstr>INPUTS</vt:lpstr>
      <vt:lpstr>Land requirements</vt:lpstr>
      <vt:lpstr>Productivity</vt:lpstr>
      <vt:lpstr>Economics </vt:lpstr>
      <vt:lpstr>Soil impacts</vt:lpstr>
      <vt:lpstr>Water Impacts</vt:lpstr>
      <vt:lpstr>GHG emissions</vt:lpstr>
      <vt:lpstr>SUMMARY</vt:lpstr>
      <vt:lpstr>Area Parameters</vt:lpstr>
      <vt:lpstr>Livestock parameters</vt:lpstr>
      <vt:lpstr>Crop parameters</vt:lpstr>
      <vt:lpstr>Feed parameters</vt:lpstr>
      <vt:lpstr>Economics_Parameters</vt:lpstr>
      <vt:lpstr>GHG Parameters</vt:lpstr>
      <vt:lpstr>SOC parameters</vt:lpstr>
      <vt:lpstr>Soil erosion parameters</vt:lpstr>
      <vt:lpstr>Feed</vt:lpstr>
      <vt:lpstr>Land Requirement </vt:lpstr>
      <vt:lpstr>Meat &amp; Milk </vt:lpstr>
      <vt:lpstr>Economics_Payback </vt:lpstr>
      <vt:lpstr>N balance</vt:lpstr>
      <vt:lpstr>Water</vt:lpstr>
      <vt:lpstr>SOC</vt:lpstr>
      <vt:lpstr>Biomass</vt:lpstr>
      <vt:lpstr>Soil erosion</vt:lpstr>
      <vt:lpstr>GHG Ent fermentation</vt:lpstr>
      <vt:lpstr>GHG Manure</vt:lpstr>
      <vt:lpstr>GHG Soil</vt:lpstr>
      <vt:lpstr>GHG Burning</vt:lpstr>
      <vt:lpstr>GHG Off-farm</vt:lpstr>
      <vt:lpstr>GHG Rice</vt:lpstr>
      <vt:lpstr>Trees-Carbon</vt:lpstr>
      <vt:lpstr>animalha</vt:lpstr>
      <vt:lpstr>Brach</vt:lpstr>
      <vt:lpstr>Cowimpr</vt:lpstr>
      <vt:lpstr>Cowloc</vt:lpstr>
      <vt:lpstr>crop_parameters</vt:lpstr>
      <vt:lpstr>Cstockch</vt:lpstr>
      <vt:lpstr>erosion</vt:lpstr>
      <vt:lpstr>erosion__t_yr</vt:lpstr>
      <vt:lpstr>'Feed parameters'!Feed</vt:lpstr>
      <vt:lpstr>Feed</vt:lpstr>
      <vt:lpstr>'Feed parameters'!feedlist</vt:lpstr>
      <vt:lpstr>feedlist</vt:lpstr>
      <vt:lpstr>'Feed parameters'!feedparameters_tbl</vt:lpstr>
      <vt:lpstr>feedparameters_tbl</vt:lpstr>
      <vt:lpstr>GHGha</vt:lpstr>
      <vt:lpstr>GHGmeat</vt:lpstr>
      <vt:lpstr>GHGmilk</vt:lpstr>
      <vt:lpstr>GHGprotein</vt:lpstr>
      <vt:lpstr>GHGtot</vt:lpstr>
      <vt:lpstr>Glir</vt:lpstr>
      <vt:lpstr>Hyp</vt:lpstr>
      <vt:lpstr>Land_cover_erosion</vt:lpstr>
      <vt:lpstr>land_req</vt:lpstr>
      <vt:lpstr>Landuse_System_RUSLE</vt:lpstr>
      <vt:lpstr>Maize</vt:lpstr>
      <vt:lpstr>meat</vt:lpstr>
      <vt:lpstr>milk</vt:lpstr>
      <vt:lpstr>MMS</vt:lpstr>
      <vt:lpstr>molasses</vt:lpstr>
      <vt:lpstr>Nbal</vt:lpstr>
      <vt:lpstr>Nbalha</vt:lpstr>
      <vt:lpstr>Nbaltot</vt:lpstr>
      <vt:lpstr>OrganicAmendment</vt:lpstr>
      <vt:lpstr>Penn</vt:lpstr>
      <vt:lpstr>protein</vt:lpstr>
      <vt:lpstr>RiceEcosystem</vt:lpstr>
      <vt:lpstr>Slope</vt:lpstr>
      <vt:lpstr>Slope_adj</vt:lpstr>
      <vt:lpstr>Slope_erosion</vt:lpstr>
      <vt:lpstr>Slope_length</vt:lpstr>
      <vt:lpstr>Soil_class</vt:lpstr>
      <vt:lpstr>soil_leaching</vt:lpstr>
      <vt:lpstr>soil_mining</vt:lpstr>
      <vt:lpstr>soilleach</vt:lpstr>
      <vt:lpstr>soilmining</vt:lpstr>
      <vt:lpstr>Sorghum</vt:lpstr>
      <vt:lpstr>wateregime</vt:lpstr>
      <vt:lpstr>waterha</vt:lpstr>
      <vt:lpstr>watermeat</vt:lpstr>
      <vt:lpstr>watermilk</vt:lpstr>
      <vt:lpstr>waterprotein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celine birnholz</dc:creator>
  <cp:lastModifiedBy>Carlos Quiros</cp:lastModifiedBy>
  <cp:lastPrinted>2019-02-05T12:26:46Z</cp:lastPrinted>
  <dcterms:created xsi:type="dcterms:W3CDTF">2014-10-29T15:17:25Z</dcterms:created>
  <dcterms:modified xsi:type="dcterms:W3CDTF">2020-06-09T15:55:22Z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cb7bccd0-7c7d-43e9-bbaa-f1f400dbfae0</vt:lpwstr>
  </property>
  <property fmtid="{D5CDD505-2E9C-101B-9397-08002B2CF9AE}" pid="3" name="ConnectionInfosStorage">
    <vt:lpwstr>WorkbookXmlParts</vt:lpwstr>
  </property>
</Properties>
</file>